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21.xml.rels" ContentType="application/vnd.openxmlformats-package.relationships+xml"/>
  <Override PartName="/xl/worksheets/_rels/sheet2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4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8.xml.rels" ContentType="application/vnd.openxmlformats-package.relationships+xml"/>
  <Override PartName="/xl/drawings/_rels/drawing17.xml.rels" ContentType="application/vnd.openxmlformats-package.relationships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16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19.xml.rels" ContentType="application/vnd.openxmlformats-package.relationships+xml"/>
  <Override PartName="/xl/drawings/_rels/drawing1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10.xml" ContentType="application/vnd.openxmlformats-officedocument.drawingml.chart+xml"/>
  <Override PartName="/xl/charts/chart34.xml" ContentType="application/vnd.openxmlformats-officedocument.drawingml.chart+xml"/>
  <Override PartName="/xl/charts/chart5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Leitfaden" sheetId="2" state="visible" r:id="rId4"/>
    <sheet name="S01 Objekt" sheetId="3" state="visible" r:id="rId5"/>
    <sheet name="S02 Kaufpreis &amp; Miete" sheetId="4" state="visible" r:id="rId6"/>
    <sheet name="S03 Kaufnebenkosten" sheetId="5" state="visible" r:id="rId7"/>
    <sheet name="S04 Kaufpreisaufteilung" sheetId="6" state="visible" r:id="rId8"/>
    <sheet name="S05 Maßnahmen &amp; Reserve" sheetId="7" state="visible" r:id="rId9"/>
    <sheet name="S06 Bewirtschaftung" sheetId="8" state="visible" r:id="rId10"/>
    <sheet name="S07 Finanzierung" sheetId="9" state="visible" r:id="rId11"/>
    <sheet name="S08 Zwischenergebnis" sheetId="10" state="visible" r:id="rId12"/>
    <sheet name="S09 Steuern" sheetId="11" state="visible" r:id="rId13"/>
    <sheet name="S10 Abschreibung" sheetId="12" state="visible" r:id="rId14"/>
    <sheet name="S11 Prognose &amp; Exit" sheetId="13" state="visible" r:id="rId15"/>
    <sheet name="S12 Ergebnis" sheetId="14" state="visible" r:id="rId16"/>
    <sheet name="Dashboard" sheetId="15" state="visible" r:id="rId17"/>
    <sheet name="Cockpit" sheetId="16" state="visible" r:id="rId18"/>
    <sheet name="Diagramme" sheetId="17" state="visible" r:id="rId19"/>
    <sheet name="Eingaben" sheetId="18" state="visible" r:id="rId20"/>
    <sheet name="Projektion" sheetId="19" state="visible" r:id="rId21"/>
    <sheet name="Steuern" sheetId="20" state="visible" r:id="rId22"/>
    <sheet name="AfA-Vergleich" sheetId="21" state="visible" r:id="rId23"/>
    <sheet name="Finanzierung" sheetId="22" state="visible" r:id="rId24"/>
    <sheet name="Sensitivität" sheetId="23" state="visible" r:id="rId25"/>
    <sheet name="Bankgespräch" sheetId="24" state="visible" r:id="rId26"/>
    <sheet name="Haushaltsrechnung" sheetId="25" state="visible" r:id="rId27"/>
    <sheet name="Vermögensaufstellung" sheetId="26" state="visible" r:id="rId28"/>
    <sheet name="Hinweise" sheetId="27" state="visible" r:id="rId29"/>
    <sheet name="Konfiguration" sheetId="28" state="visible" r:id="rId30"/>
  </sheets>
  <definedNames>
    <definedName name="_xlnm.Print_Area" function="false" hidden="false" localSheetId="20" vbProcedure="false">'AfA-Vergleich'!$A$1:$Q$74</definedName>
    <definedName name="_xlnm.Print_Area" function="false" hidden="false" localSheetId="23" vbProcedure="false">Bankgespräch!$A$1:$I$69</definedName>
    <definedName name="_xlnm.Print_Area" function="false" hidden="false" localSheetId="15" vbProcedure="false">Cockpit!$A$1:$L$76</definedName>
    <definedName name="_xlnm.Print_Area" function="false" hidden="false" localSheetId="14" vbProcedure="false">Dashboard!$A$1:$R$75</definedName>
    <definedName name="_xlnm.Print_Area" function="false" hidden="false" localSheetId="16" vbProcedure="false">Diagramme!$A$1:$P$210</definedName>
    <definedName name="_xlnm.Print_Area" function="false" hidden="false" localSheetId="17" vbProcedure="false">Eingaben!$A$1:$L$148</definedName>
    <definedName name="_xlnm.Print_Area" function="false" hidden="false" localSheetId="21" vbProcedure="false">Finanzierung!$A$1:$AQ$43</definedName>
    <definedName name="_xlnm.Print_Titles" function="false" hidden="false" localSheetId="21" vbProcedure="false">Finanzierung!$A:$C,Finanzierung!$8:$10</definedName>
    <definedName name="_xlnm.Print_Area" function="false" hidden="false" localSheetId="24" vbProcedure="false">Haushaltsrechnung!$A$1:$M$52</definedName>
    <definedName name="_xlnm.Print_Area" function="false" hidden="false" localSheetId="26" vbProcedure="false">Hinweise!$A$1:$E$39</definedName>
    <definedName name="_xlnm.Print_Area" function="false" hidden="false" localSheetId="27" vbProcedure="false">Konfiguration!$A$1:$G$83</definedName>
    <definedName name="_xlnm.Print_Area" function="false" hidden="false" localSheetId="1" vbProcedure="false">Leitfaden!$A$1:$I$34</definedName>
    <definedName name="_xlnm.Print_Area" function="false" hidden="false" localSheetId="18" vbProcedure="false">Projektion!$A$1:$AQ$52</definedName>
    <definedName name="_xlnm.Print_Titles" function="false" hidden="false" localSheetId="18" vbProcedure="false">Projektion!$A:$C,Projektion!$8:$10</definedName>
    <definedName name="_xlnm.Print_Area" function="false" hidden="false" localSheetId="2" vbProcedure="false">'S01 Objekt'!$A$1:$I$28</definedName>
    <definedName name="_xlnm.Print_Area" function="false" hidden="false" localSheetId="3" vbProcedure="false">'S02 Kaufpreis &amp; Miete'!$A$1:$I$28</definedName>
    <definedName name="_xlnm.Print_Area" function="false" hidden="false" localSheetId="4" vbProcedure="false">'S03 Kaufnebenkosten'!$A$1:$I$34</definedName>
    <definedName name="_xlnm.Print_Area" function="false" hidden="false" localSheetId="5" vbProcedure="false">'S04 Kaufpreisaufteilung'!$A$1:$I$32</definedName>
    <definedName name="_xlnm.Print_Area" function="false" hidden="false" localSheetId="6" vbProcedure="false">'S05 Maßnahmen &amp; Reserve'!$A$1:$I$34</definedName>
    <definedName name="_xlnm.Print_Area" function="false" hidden="false" localSheetId="7" vbProcedure="false">'S06 Bewirtschaftung'!$A$1:$I$33</definedName>
    <definedName name="_xlnm.Print_Area" function="false" hidden="false" localSheetId="8" vbProcedure="false">'S07 Finanzierung'!$A$1:$I$44</definedName>
    <definedName name="_xlnm.Print_Area" function="false" hidden="false" localSheetId="9" vbProcedure="false">'S08 Zwischenergebnis'!$A$1:$I$29</definedName>
    <definedName name="_xlnm.Print_Area" function="false" hidden="false" localSheetId="10" vbProcedure="false">'S09 Steuern'!$A$1:$I$34</definedName>
    <definedName name="_xlnm.Print_Area" function="false" hidden="false" localSheetId="11" vbProcedure="false">'S10 Abschreibung'!$A$1:$I$33</definedName>
    <definedName name="_xlnm.Print_Area" function="false" hidden="false" localSheetId="12" vbProcedure="false">'S11 Prognose &amp; Exit'!$A$1:$I$34</definedName>
    <definedName name="_xlnm.Print_Area" function="false" hidden="false" localSheetId="13" vbProcedure="false">'S12 Ergebnis'!$A$1:$I$32</definedName>
    <definedName name="_xlnm.Print_Area" function="false" hidden="false" localSheetId="22" vbProcedure="false">Sensitivität!$A$1:$M$120</definedName>
    <definedName name="_xlnm.Print_Area" function="false" hidden="false" localSheetId="0" vbProcedure="false">Start!$A$1:$H$65</definedName>
    <definedName name="_xlnm.Print_Area" function="false" hidden="false" localSheetId="19" vbProcedure="false">Steuern!$A$1:$AQ$102</definedName>
    <definedName name="_xlnm.Print_Titles" function="false" hidden="false" localSheetId="19" vbProcedure="false">Steuern!$A:$C,Steuern!$40:$42</definedName>
    <definedName name="_xlnm.Print_Area" function="false" hidden="false" localSheetId="25" vbProcedure="false">Vermögensaufstellung!$A$1:$M$39</definedName>
    <definedName name="Abgeltung_Satz" function="false" hidden="false" vbProcedure="false">Konfiguration!$C$71</definedName>
    <definedName name="AfA_10J_gewaehlt" function="false" hidden="false" vbProcedure="false">Steuern!$C$97</definedName>
    <definedName name="AfA_10J_Standard" function="false" hidden="false" vbProcedure="false">Steuern!$C$98</definedName>
    <definedName name="AfA_Idx" function="false" hidden="false" vbProcedure="false">Steuern!$C$15</definedName>
    <definedName name="AfA_J1" function="false" hidden="false" vbProcedure="false">Cockpit!$G$42</definedName>
    <definedName name="AfA_Jahr1_Standard" function="false" hidden="false" vbProcedure="false">Steuern!$C$37</definedName>
    <definedName name="AfA_Methode" function="false" hidden="false" vbProcedure="false">'S10 Abschreibung'!$D$12</definedName>
    <definedName name="AfA_Satz_auto" function="false" hidden="false" vbProcedure="false">Steuern!$C$25</definedName>
    <definedName name="AfA_Satz_linear" function="false" hidden="false" vbProcedure="false">Steuern!$C$26</definedName>
    <definedName name="AK_Boden" function="false" hidden="false" vbProcedure="false">Eingaben!$C$57</definedName>
    <definedName name="AK_Gebaeude" function="false" hidden="false" vbProcedure="false">Eingaben!$C$58</definedName>
    <definedName name="AK_Gesamt" function="false" hidden="false" vbProcedure="false">Eingaben!$C$59</definedName>
    <definedName name="Ampel_BMR_gelb" function="false" hidden="false" vbProcedure="false">Konfiguration!$D$76</definedName>
    <definedName name="Ampel_BMR_gruen" function="false" hidden="false" vbProcedure="false">Konfiguration!$C$76</definedName>
    <definedName name="Ampel_DSCR_gelb" function="false" hidden="false" vbProcedure="false">Konfiguration!$D$78</definedName>
    <definedName name="Ampel_DSCR_gruen" function="false" hidden="false" vbProcedure="false">Konfiguration!$C$78</definedName>
    <definedName name="Ampel_EKR_gelb" function="false" hidden="false" vbProcedure="false">Konfiguration!$D$80</definedName>
    <definedName name="Ampel_EKR_gruen" function="false" hidden="false" vbProcedure="false">Konfiguration!$C$80</definedName>
    <definedName name="Ampel_IRR_gelb" function="false" hidden="false" vbProcedure="false">Konfiguration!$D$79</definedName>
    <definedName name="Ampel_IRR_gruen" function="false" hidden="false" vbProcedure="false">Konfiguration!$C$79</definedName>
    <definedName name="Ampel_NMR_gelb" function="false" hidden="false" vbProcedure="false">Konfiguration!$D$77</definedName>
    <definedName name="Ampel_NMR_gruen" function="false" hidden="false" vbProcedure="false">Konfiguration!$C$77</definedName>
    <definedName name="Anschlusszins_I" function="false" hidden="false" vbProcedure="false">'S07 Finanzierung'!$D$16</definedName>
    <definedName name="Anschlusszins_II" function="false" hidden="false" vbProcedure="false">Eingaben!$C$108</definedName>
    <definedName name="AV_B" function="false" hidden="false" vbProcedure="false">'AfA-Vergleich'!$C$9</definedName>
    <definedName name="AV_S" function="false" hidden="false" vbProcedure="false">'AfA-Vergleich'!$C$11</definedName>
    <definedName name="AV_Satz" function="false" hidden="false" vbProcedure="false">'AfA-Vergleich'!$C$12</definedName>
    <definedName name="AV_S_BMG" function="false" hidden="false" vbProcedure="false">'AfA-Vergleich'!$C$10</definedName>
    <definedName name="Baujahr" function="false" hidden="false" vbProcedure="false">'S01 Objekt'!$D$17</definedName>
    <definedName name="Baukosten_qm" function="false" hidden="false" vbProcedure="false">Steuern!$C$31</definedName>
    <definedName name="Beleihung" function="false" hidden="false" vbProcedure="false">Eingaben!$C$116</definedName>
    <definedName name="BE_Miete_nSt" function="false" hidden="false" vbProcedure="false">Sensitivität!$D$12</definedName>
    <definedName name="BE_Miete_vSt" function="false" hidden="false" vbProcedure="false">Sensitivität!$D$10</definedName>
    <definedName name="BMG_Regel_Basis" function="false" hidden="false" vbProcedure="false">Steuern!$C$30</definedName>
    <definedName name="BMR_Cockpit" function="false" hidden="false" vbProcedure="false">Cockpit!$G$23</definedName>
    <definedName name="Bodenanteil_Pct" function="false" hidden="false" vbProcedure="false">'S04 Kaufpreisaufteilung'!$D$14</definedName>
    <definedName name="Bodenrichtwert" function="false" hidden="false" vbProcedure="false">'S04 Kaufpreisaufteilung'!$D$13</definedName>
    <definedName name="Bodenwert" function="false" hidden="false" vbProcedure="false">Eingaben!$C$55</definedName>
    <definedName name="Bruttomietrendite" function="false" hidden="false" vbProcedure="false">Eingaben!$C$92</definedName>
    <definedName name="Bundesland" function="false" hidden="false" vbProcedure="false">'S01 Objekt'!$D$19</definedName>
    <definedName name="BWK_J1" function="false" hidden="false" vbProcedure="false">Cockpit!$G$18</definedName>
    <definedName name="CF_nSt_J1" function="false" hidden="false" vbProcedure="false">Cockpit!$D$43</definedName>
    <definedName name="CF_nSt_Monat_J1" function="false" hidden="false" vbProcedure="false">Cockpit!$J$9</definedName>
    <definedName name="CF_vSt_J1" function="false" hidden="false" vbProcedure="false">Cockpit!$D$41</definedName>
    <definedName name="Darlehen_I" function="false" hidden="false" vbProcedure="false">'S07 Finanzierung'!$D$12</definedName>
    <definedName name="Darlehen_II" function="false" hidden="false" vbProcedure="false">Eingaben!$C$104</definedName>
    <definedName name="Darlehen_Summe" function="false" hidden="false" vbProcedure="false">Eingaben!$C$112</definedName>
    <definedName name="Degressiv_Satz" function="false" hidden="false" vbProcedure="false">Konfiguration!$C$63</definedName>
    <definedName name="Denkmal" function="false" hidden="false" vbProcedure="false">'S10 Abschreibung'!$D$16</definedName>
    <definedName name="Disagio_Betrag" function="false" hidden="false" vbProcedure="false">Eingaben!$C$45</definedName>
    <definedName name="Disagio_Grenze" function="false" hidden="false" vbProcedure="false">Konfiguration!$C$68</definedName>
    <definedName name="Disagio_Jahre" function="false" hidden="false" vbProcedure="false">Konfiguration!$C$69</definedName>
    <definedName name="Disagio_Pct" function="false" hidden="false" vbProcedure="false">'S07 Finanzierung'!$D$21</definedName>
    <definedName name="Disagio_sofort" function="false" hidden="false" vbProcedure="false">Steuern!$C$23</definedName>
    <definedName name="DSCR_J1" function="false" hidden="false" vbProcedure="false">Cockpit!$K$24</definedName>
    <definedName name="Eigenkapital" function="false" hidden="false" vbProcedure="false">Eingaben!$C$114</definedName>
    <definedName name="EKR_Tile" function="false" hidden="false" vbProcedure="false">Cockpit!$R$9</definedName>
    <definedName name="EK_Bedarf_gesamt" function="false" hidden="false" vbProcedure="false">Eingaben!$C$117</definedName>
    <definedName name="EK_IRR" function="false" hidden="false" vbProcedure="false">Steuern!$C$96</definedName>
    <definedName name="EK_Multiple" function="false" hidden="false" vbProcedure="false">Steuern!$C$95</definedName>
    <definedName name="EK_Quote" function="false" hidden="false" vbProcedure="false">Eingaben!$C$115</definedName>
    <definedName name="Ergebnis_J1" function="false" hidden="false" vbProcedure="false">Cockpit!$G$45</definedName>
    <definedName name="Erstellt_fuer" function="false" hidden="false" vbProcedure="false">Start!$G$7</definedName>
    <definedName name="Exit_Buchwert" function="false" hidden="false" vbProcedure="false">Steuern!$C$84</definedName>
    <definedName name="Exit_CF_kum" function="false" hidden="false" vbProcedure="false">Steuern!$C$92</definedName>
    <definedName name="Exit_Gewinn" function="false" hidden="false" vbProcedure="false">Steuern!$C$85</definedName>
    <definedName name="Exit_H" function="false" hidden="false" vbProcedure="false">Steuern!$C$78</definedName>
    <definedName name="Exit_HK_kum" function="false" hidden="false" vbProcedure="false">Steuern!$C$83</definedName>
    <definedName name="Exit_kumAfA" function="false" hidden="false" vbProcedure="false">Steuern!$C$82</definedName>
    <definedName name="Exit_Netto" function="false" hidden="false" vbProcedure="false">Steuern!$C$91</definedName>
    <definedName name="Exit_Restschuld" function="false" hidden="false" vbProcedure="false">Steuern!$C$90</definedName>
    <definedName name="Exit_Steuer" function="false" hidden="false" vbProcedure="false">Steuern!$C$89</definedName>
    <definedName name="Exit_steuerpflichtig" function="false" hidden="false" vbProcedure="false">Steuern!$C$86</definedName>
    <definedName name="Exit_Steuersatz" function="false" hidden="false" vbProcedure="false">Steuern!$C$87</definedName>
    <definedName name="Exit_Steuer_kum" function="false" hidden="false" vbProcedure="false">Steuern!$C$93</definedName>
    <definedName name="Exit_VK" function="false" hidden="false" vbProcedure="false">Steuern!$C$81</definedName>
    <definedName name="Exit_VP" function="false" hidden="false" vbProcedure="false">Steuern!$C$80</definedName>
    <definedName name="Exit_VV" function="false" hidden="false" vbProcedure="false">Steuern!$C$88</definedName>
    <definedName name="Exit_Wert" function="false" hidden="false" vbProcedure="false">Steuern!$C$79</definedName>
    <definedName name="FinNK_Summe" function="false" hidden="false" vbProcedure="false">Eingaben!$C$46</definedName>
    <definedName name="Fin_NK_Sonst" function="false" hidden="false" vbProcedure="false">'S07 Finanzierung'!$D$20</definedName>
    <definedName name="Frist_23" function="false" hidden="false" vbProcedure="false">Konfiguration!$C$66</definedName>
    <definedName name="Gebaeudeanteil_Pct" function="false" hidden="false" vbProcedure="false">Eingaben!$C$56</definedName>
    <definedName name="Gebaeudewert_Gutachten" function="false" hidden="false" vbProcedure="false">'S04 Kaufpreisaufteilung'!$D$15</definedName>
    <definedName name="Gesamtertrag" function="false" hidden="false" vbProcedure="false">Steuern!$C$94</definedName>
    <definedName name="Gesamtinvestition" function="false" hidden="false" vbProcedure="false">Eingaben!$C$113</definedName>
    <definedName name="GewSt_Messzahl" function="false" hidden="false" vbProcedure="false">Konfiguration!$C$70</definedName>
    <definedName name="GewSt_Satz" function="false" hidden="false" vbProcedure="false">Steuern!$C$20</definedName>
    <definedName name="Grenze_15" function="false" hidden="false" vbProcedure="false">Eingaben!$C$73</definedName>
    <definedName name="Grenze_15_Satz" function="false" hidden="false" vbProcedure="false">Konfiguration!$C$58</definedName>
    <definedName name="Grenze_7b_Baukosten" function="false" hidden="false" vbProcedure="false">Konfiguration!$C$61</definedName>
    <definedName name="Grenze_7b_BMG" function="false" hidden="false" vbProcedure="false">Konfiguration!$C$62</definedName>
    <definedName name="Grenzsteuersatz_eff" function="false" hidden="false" vbProcedure="false">Eingaben!$C$137</definedName>
    <definedName name="Grenzsteuersatz_Override" function="false" hidden="false" vbProcedure="false">'S09 Steuern'!$D$15</definedName>
    <definedName name="Grenzsteuersatz_Tarif" function="false" hidden="false" vbProcedure="false">Eingaben!$C$136</definedName>
    <definedName name="GrESt_Betrag" function="false" hidden="false" vbProcedure="false">Eingaben!$C$28</definedName>
    <definedName name="GrESt_Override" function="false" hidden="false" vbProcedure="false">'S03 Kaufnebenkosten'!$D$12</definedName>
    <definedName name="GrESt_Satz" function="false" hidden="false" vbProcedure="false">Eingaben!$C$27</definedName>
    <definedName name="GrESt_Tab" function="false" hidden="false" vbProcedure="false">Konfiguration!$B$10:$C$25</definedName>
    <definedName name="Grundbuch_Betrag" function="false" hidden="false" vbProcedure="false">Eingaben!$C$34</definedName>
    <definedName name="Grundbuch_Pct" function="false" hidden="false" vbProcedure="false">'S03 Kaufnebenkosten'!$D$14</definedName>
    <definedName name="Grundschuld_Betrag" function="false" hidden="false" vbProcedure="false">Eingaben!$C$44</definedName>
    <definedName name="Grundschuld_Pct" function="false" hidden="false" vbProcedure="false">'S07 Finanzierung'!$D$19</definedName>
    <definedName name="Grundstueck_qm" function="false" hidden="false" vbProcedure="false">'S01 Objekt'!$D$16</definedName>
    <definedName name="Haltedauer" function="false" hidden="false" vbProcedure="false">'S11 Prognose &amp; Exit'!$D$15</definedName>
    <definedName name="Hausgeld" function="false" hidden="false" vbProcedure="false">'S06 Bewirtschaftung'!$D$12</definedName>
    <definedName name="Hausgeld_nicht_umlagefaehig" function="false" hidden="false" vbProcedure="false">'S06 Bewirtschaftung'!$D$13</definedName>
    <definedName name="Hausgeld_Ruecklage" function="false" hidden="false" vbProcedure="false">'S06 Bewirtschaftung'!$D$14</definedName>
    <definedName name="Hebesatz" function="false" hidden="false" vbProcedure="false">'S09 Steuern'!$D$18</definedName>
    <definedName name="HH_Ausgaben" function="false" hidden="false" vbProcedure="false">Haushaltsrechnung!$C$43</definedName>
    <definedName name="HH_Einnahmen" function="false" hidden="false" vbProcedure="false">Haushaltsrechnung!$C$27</definedName>
    <definedName name="HH_Ueberschuss_pa" function="false" hidden="false" vbProcedure="false">Haushaltsrechnung!$D$46</definedName>
    <definedName name="HK_Flag" function="false" hidden="false" vbProcedure="false">Steuern!$C$35</definedName>
    <definedName name="IH_Ruecklage_qm" function="false" hidden="false" vbProcedure="false">'S06 Bewirtschaftung'!$D$16</definedName>
    <definedName name="Investition_J1" function="false" hidden="false" vbProcedure="false">Steuern!$C$36</definedName>
    <definedName name="IRR_Cockpit" function="false" hidden="false" vbProcedure="false">Cockpit!$K$47</definedName>
    <definedName name="IRR_Tile" function="false" hidden="false" vbProcedure="false">Cockpit!$V$9</definedName>
    <definedName name="Is_Degressiv" function="false" hidden="false" vbProcedure="false">Steuern!$C$28</definedName>
    <definedName name="Jahresmiete" function="false" hidden="false" vbProcedure="false">Eingaben!$C$90</definedName>
    <definedName name="Kalkulationszins" function="false" hidden="false" vbProcedure="false">Konfiguration!$C$72</definedName>
    <definedName name="Kapitaldienst_J1" function="false" hidden="false" vbProcedure="false">Cockpit!$K$23</definedName>
    <definedName name="Kapitaldienst_Monat_J1" function="false" hidden="false" vbProcedure="false">Cockpit!$K$22</definedName>
    <definedName name="Kaufdatum" function="false" hidden="false" vbProcedure="false">'S01 Objekt'!$D$18</definedName>
    <definedName name="Kaufpreis" function="false" hidden="false" vbProcedure="false">'S02 Kaufpreis &amp; Miete'!$D$12</definedName>
    <definedName name="Kaufpreisfaktor" function="false" hidden="false" vbProcedure="false">Eingaben!$C$93</definedName>
    <definedName name="KiSt" function="false" hidden="false" vbProcedure="false">'S09 Steuern'!$D$17</definedName>
    <definedName name="KiSt_8" function="false" hidden="false" vbProcedure="false">Konfiguration!$C$39</definedName>
    <definedName name="KiSt_9" function="false" hidden="false" vbProcedure="false">Konfiguration!$C$40</definedName>
    <definedName name="KiSt_Idx" function="false" hidden="false" vbProcedure="false">Steuern!$C$14</definedName>
    <definedName name="KiSt_Satz" function="false" hidden="false" vbProcedure="false">Steuern!$C$19</definedName>
    <definedName name="Kostensteigerung" function="false" hidden="false" vbProcedure="false">'S11 Prognose &amp; Exit'!$D$13</definedName>
    <definedName name="KPA_Idx" function="false" hidden="false" vbProcedure="false">Steuern!$C$10</definedName>
    <definedName name="KPA_Methode" function="false" hidden="false" vbProcedure="false">'S04 Kaufpreisaufteilung'!$D$12</definedName>
    <definedName name="KP_bewegl" function="false" hidden="false" vbProcedure="false">'S02 Kaufpreis &amp; Miete'!$D$13</definedName>
    <definedName name="KP_Immobilie" function="false" hidden="false" vbProcedure="false">Eingaben!$C$54</definedName>
    <definedName name="KSt_MaxJahr" function="false" hidden="false" vbProcedure="false">Konfiguration!$C$54</definedName>
    <definedName name="KSt_Tab" function="false" hidden="false" vbProcedure="false">Konfiguration!$B$45:$C$53</definedName>
    <definedName name="Leerstand_Monate" function="false" hidden="false" vbProcedure="false">'S06 Bewirtschaftung'!$D$18</definedName>
    <definedName name="LF_BMR" function="false" hidden="false" vbProcedure="false">Leitfaden!$E$13</definedName>
    <definedName name="LF_CFN" function="false" hidden="false" vbProcedure="false">Leitfaden!$H$10</definedName>
    <definedName name="LF_CFV" function="false" hidden="false" vbProcedure="false">Leitfaden!$C$13</definedName>
    <definedName name="LF_DSCR" function="false" hidden="false" vbProcedure="false">Leitfaden!$F$13</definedName>
    <definedName name="LF_IRR" function="false" hidden="false" vbProcedure="false">Leitfaden!$H$13</definedName>
    <definedName name="L_AfA" function="false" hidden="false" vbProcedure="false">Konfiguration!$G$44:$G$49</definedName>
    <definedName name="L_JaNein" function="false" hidden="false" vbProcedure="false">Konfiguration!$G$35:$G$36</definedName>
    <definedName name="L_KiSt" function="false" hidden="false" vbProcedure="false">Konfiguration!$G$39:$G$41</definedName>
    <definedName name="L_KPA" function="false" hidden="false" vbProcedure="false">Konfiguration!$G$16:$G$18</definedName>
    <definedName name="L_Objektart" function="false" hidden="false" vbProcedure="false">Konfiguration!$G$10:$G$13</definedName>
    <definedName name="L_Rechtsform" function="false" hidden="false" vbProcedure="false">Konfiguration!$G$26:$G$28</definedName>
    <definedName name="L_Reno" function="false" hidden="false" vbProcedure="false">Konfiguration!$G$21:$G$23</definedName>
    <definedName name="L_Veranlagung" function="false" hidden="false" vbProcedure="false">Konfiguration!$G$31:$G$32</definedName>
    <definedName name="L_Verlust" function="false" hidden="false" vbProcedure="false">Konfiguration!$G$52:$G$53</definedName>
    <definedName name="Makler_Betrag" function="false" hidden="false" vbProcedure="false">Eingaben!$C$35</definedName>
    <definedName name="Makler_Pct" function="false" hidden="false" vbProcedure="false">'S03 Kaufnebenkosten'!$D$15</definedName>
    <definedName name="Max_82b" function="false" hidden="false" vbProcedure="false">Konfiguration!$C$67</definedName>
    <definedName name="Max_Zins_vSt" function="false" hidden="false" vbProcedure="false">Sensitivität!$D$14</definedName>
    <definedName name="Methode_eff" function="false" hidden="false" vbProcedure="false">Steuern!$C$24</definedName>
    <definedName name="Mietausfall_Pct" function="false" hidden="false" vbProcedure="false">'S06 Bewirtschaftung'!$D$17</definedName>
    <definedName name="Miete_Ist_J1" function="false" hidden="false" vbProcedure="false">Cockpit!$G$17</definedName>
    <definedName name="Miete_Monat" function="false" hidden="false" vbProcedure="false">'S02 Kaufpreis &amp; Miete'!$D$16</definedName>
    <definedName name="Miete_qm" function="false" hidden="false" vbProcedure="false">Eingaben!$C$91</definedName>
    <definedName name="Mietsteigerung" function="false" hidden="false" vbProcedure="false">'S11 Prognose &amp; Exit'!$D$12</definedName>
    <definedName name="ND_bewegl" function="false" hidden="false" vbProcedure="false">'S02 Kaufpreis &amp; Miete'!$D$14</definedName>
    <definedName name="ND_lin" function="false" hidden="false" vbProcedure="false">Steuern!$C$27</definedName>
    <definedName name="Nettomietrendite" function="false" hidden="false" vbProcedure="false">Cockpit!$G$24</definedName>
    <definedName name="NK_Quote" function="false" hidden="false" vbProcedure="false">Eingaben!$C$37</definedName>
    <definedName name="NK_Sonst" function="false" hidden="false" vbProcedure="false">'S03 Kaufnebenkosten'!$D$16</definedName>
    <definedName name="NK_Summe" function="false" hidden="false" vbProcedure="false">Eingaben!$C$36</definedName>
    <definedName name="NK_umlagefaehig" function="false" hidden="false" vbProcedure="false">'S02 Kaufpreis &amp; Miete'!$D$17</definedName>
    <definedName name="NOI_J1" function="false" hidden="false" vbProcedure="false">Cockpit!$G$20</definedName>
    <definedName name="Notar_Betrag" function="false" hidden="false" vbProcedure="false">Eingaben!$C$33</definedName>
    <definedName name="Notar_Pct" function="false" hidden="false" vbProcedure="false">'S03 Kaufnebenkosten'!$D$13</definedName>
    <definedName name="Objektart" function="false" hidden="false" vbProcedure="false">'S01 Objekt'!$D$14</definedName>
    <definedName name="Objektart_Idx" function="false" hidden="false" vbProcedure="false">Steuern!$C$9</definedName>
    <definedName name="Obj_Adresse" function="false" hidden="false" vbProcedure="false">'S01 Objekt'!$D$13</definedName>
    <definedName name="Obj_Name" function="false" hidden="false" vbProcedure="false">'S01 Objekt'!$D$12</definedName>
    <definedName name="Rechtsform" function="false" hidden="false" vbProcedure="false">Start!$D$23</definedName>
    <definedName name="Rechtsform_Idx" function="false" hidden="false" vbProcedure="false">Steuern!$C$12</definedName>
    <definedName name="Reno_Behandlung" function="false" hidden="false" vbProcedure="false">'S05 Maßnahmen &amp; Reserve'!$D$16</definedName>
    <definedName name="Reno_Idx" function="false" hidden="false" vbProcedure="false">Steuern!$C$11</definedName>
    <definedName name="Reno_J1" function="false" hidden="false" vbProcedure="false">'S05 Maßnahmen &amp; Reserve'!$D$12</definedName>
    <definedName name="Reno_J2" function="false" hidden="false" vbProcedure="false">'S05 Maßnahmen &amp; Reserve'!$D$13</definedName>
    <definedName name="Reno_J3" function="false" hidden="false" vbProcedure="false">'S05 Maßnahmen &amp; Reserve'!$D$14</definedName>
    <definedName name="Reno_Netto" function="false" hidden="false" vbProcedure="false">Eingaben!$C$72</definedName>
    <definedName name="Reno_Summe" function="false" hidden="false" vbProcedure="false">Eingaben!$C$71</definedName>
    <definedName name="Reno_Wertsteigerung_Pct" function="false" hidden="false" vbProcedure="false">'S05 Maßnahmen &amp; Reserve'!$D$18</definedName>
    <definedName name="Reserve_Einmalig" function="false" hidden="false" vbProcedure="false">'S05 Maßnahmen &amp; Reserve'!$D$19</definedName>
    <definedName name="Restschuld_ZB_I" function="false" hidden="false" vbProcedure="false">Cockpit!$K$25</definedName>
    <definedName name="RND_Gutachten" function="false" hidden="false" vbProcedure="false">'S10 Abschreibung'!$D$13</definedName>
    <definedName name="Ruecklage_mitverkauft" function="false" hidden="false" vbProcedure="false">'S02 Kaufpreis &amp; Miete'!$D$15</definedName>
    <definedName name="S02_BMR" function="false" hidden="false" vbProcedure="false">'S02 Kaufpreis &amp; Miete'!$I$15</definedName>
    <definedName name="S06_NMR" function="false" hidden="false" vbProcedure="false">'S06 Bewirtschaftung'!$I$15</definedName>
    <definedName name="S08_CF" function="false" hidden="false" vbProcedure="false">'S08 Zwischenergebnis'!$E$15</definedName>
    <definedName name="S08_DSCR" function="false" hidden="false" vbProcedure="false">'S08 Zwischenergebnis'!$D$23</definedName>
    <definedName name="S11_IRR" function="false" hidden="false" vbProcedure="false">'S11 Prognose &amp; Exit'!$I$17</definedName>
    <definedName name="S12_CF" function="false" hidden="false" vbProcedure="false">'S12 Ergebnis'!$C$12</definedName>
    <definedName name="S12_EKR" function="false" hidden="false" vbProcedure="false">'S12 Ergebnis'!$C$15</definedName>
    <definedName name="S12_IRR" function="false" hidden="false" vbProcedure="false">'S12 Ergebnis'!$E$15</definedName>
    <definedName name="Sanierungskosten_7i" function="false" hidden="false" vbProcedure="false">'S10 Abschreibung'!$D$17</definedName>
    <definedName name="Sanierung_eff" function="false" hidden="false" vbProcedure="false">Steuern!$C$29</definedName>
    <definedName name="Satz_7i_1" function="false" hidden="false" vbProcedure="false">Konfiguration!$C$64</definedName>
    <definedName name="Satz_7i_2" function="false" hidden="false" vbProcedure="false">Konfiguration!$C$65</definedName>
    <definedName name="Sofort_Verrechnung" function="false" hidden="false" vbProcedure="false">Steuern!$C$21</definedName>
    <definedName name="Soli" function="false" hidden="false" vbProcedure="false">'S09 Steuern'!$D$16</definedName>
    <definedName name="Soli_eff" function="false" hidden="false" vbProcedure="false">Steuern!$C$18</definedName>
    <definedName name="Soli_Konst" function="false" hidden="false" vbProcedure="false">Konfiguration!$C$38</definedName>
    <definedName name="SonderAfA_7b" function="false" hidden="false" vbProcedure="false">'S10 Abschreibung'!$D$15</definedName>
    <definedName name="SonderAfA_aktiv" function="false" hidden="false" vbProcedure="false">Steuern!$C$32</definedName>
    <definedName name="SonderAfA_Betrag_pa" function="false" hidden="false" vbProcedure="false">Steuern!$C$34</definedName>
    <definedName name="SonderAfA_BMG" function="false" hidden="false" vbProcedure="false">Steuern!$C$33</definedName>
    <definedName name="SonderAfA_Jahre" function="false" hidden="false" vbProcedure="false">Konfiguration!$C$60</definedName>
    <definedName name="SonderAfA_Satz" function="false" hidden="false" vbProcedure="false">Konfiguration!$C$59</definedName>
    <definedName name="Sondertilgung_I" function="false" hidden="false" vbProcedure="false">'S07 Finanzierung'!$D$17</definedName>
    <definedName name="Sondertilgung_II" function="false" hidden="false" vbProcedure="false">Eingaben!$C$109</definedName>
    <definedName name="Sonderumlage" function="false" hidden="false" vbProcedure="false">'S05 Maßnahmen &amp; Reserve'!$D$15</definedName>
    <definedName name="Sonst_WK_pa" function="false" hidden="false" vbProcedure="false">'S06 Bewirtschaftung'!$D$19</definedName>
    <definedName name="Steuereffekt_10J" function="false" hidden="false" vbProcedure="false">Steuern!$C$99</definedName>
    <definedName name="Steuersatz_GmbH_J1" function="false" hidden="false" vbProcedure="false">Eingaben!$C$139</definedName>
    <definedName name="Steuersatz_J1" function="false" hidden="false" vbProcedure="false">Cockpit!$G$36</definedName>
    <definedName name="Steuersatz_Privat" function="false" hidden="false" vbProcedure="false">Eingaben!$C$138</definedName>
    <definedName name="Steuer_J1" function="false" hidden="false" vbProcedure="false">Cockpit!$D$42</definedName>
    <definedName name="ST_BMR" function="false" hidden="false" vbProcedure="false">Start!$E$28</definedName>
    <definedName name="ST_CF" function="false" hidden="false" vbProcedure="false">Start!$C$31</definedName>
    <definedName name="ST_DSCR" function="false" hidden="false" vbProcedure="false">Start!$E$31</definedName>
    <definedName name="ST_IRR" function="false" hidden="false" vbProcedure="false">Start!$F$31</definedName>
    <definedName name="Tarif_A" function="false" hidden="false" vbProcedure="false">Konfiguration!$C$32</definedName>
    <definedName name="Tarif_B" function="false" hidden="false" vbProcedure="false">Konfiguration!$C$33</definedName>
    <definedName name="Tarif_C" function="false" hidden="false" vbProcedure="false">Konfiguration!$C$34</definedName>
    <definedName name="Tarif_D" function="false" hidden="false" vbProcedure="false">Konfiguration!$C$35</definedName>
    <definedName name="Tarif_GFB" function="false" hidden="false" vbProcedure="false">Konfiguration!$C$28</definedName>
    <definedName name="Tarif_S42" function="false" hidden="false" vbProcedure="false">Konfiguration!$C$36</definedName>
    <definedName name="Tarif_S45" function="false" hidden="false" vbProcedure="false">Konfiguration!$C$37</definedName>
    <definedName name="Tarif_X" function="false" hidden="false" vbProcedure="false">Eingaben!$C$135</definedName>
    <definedName name="Tarif_Z1" function="false" hidden="false" vbProcedure="false">Konfiguration!$C$29</definedName>
    <definedName name="Tarif_Z2" function="false" hidden="false" vbProcedure="false">Konfiguration!$C$30</definedName>
    <definedName name="Tarif_Z3" function="false" hidden="false" vbProcedure="false">Konfiguration!$C$31</definedName>
    <definedName name="Tilgungsfrei_I" function="false" hidden="false" vbProcedure="false">'S07 Finanzierung'!$D$18</definedName>
    <definedName name="Tilgungsfrei_II" function="false" hidden="false" vbProcedure="false">Eingaben!$C$110</definedName>
    <definedName name="Tilgungszuschuss_II" function="false" hidden="false" vbProcedure="false">Eingaben!$C$111</definedName>
    <definedName name="Tilgung_I" function="false" hidden="false" vbProcedure="false">'S07 Finanzierung'!$D$14</definedName>
    <definedName name="Tilgung_II" function="false" hidden="false" vbProcedure="false">Eingaben!$C$106</definedName>
    <definedName name="Tilgung_J1" function="false" hidden="false" vbProcedure="false">Cockpit!$D$40</definedName>
    <definedName name="USt_Satz" function="false" hidden="false" vbProcedure="false">Konfiguration!$C$57</definedName>
    <definedName name="VA_Aktiva" function="false" hidden="false" vbProcedure="false">Vermögensaufstellung!$C$19</definedName>
    <definedName name="VA_Netto" function="false" hidden="false" vbProcedure="false">Vermögensaufstellung!$C$32</definedName>
    <definedName name="VA_Passiva" function="false" hidden="false" vbProcedure="false">Vermögensaufstellung!$C$29</definedName>
    <definedName name="Veranlagung" function="false" hidden="false" vbProcedure="false">'S09 Steuern'!$D$13</definedName>
    <definedName name="Veranlagung_Idx" function="false" hidden="false" vbProcedure="false">Steuern!$C$13</definedName>
    <definedName name="Verkaufskosten_Pct" function="false" hidden="false" vbProcedure="false">'S11 Prognose &amp; Exit'!$D$16</definedName>
    <definedName name="Verkaufspreis_Override" function="false" hidden="false" vbProcedure="false">'S11 Prognose &amp; Exit'!$D$17</definedName>
    <definedName name="Verlustverrechnung" function="false" hidden="false" vbProcedure="false">'S11 Prognose &amp; Exit'!$D$18</definedName>
    <definedName name="Verlust_Idx" function="false" hidden="false" vbProcedure="false">Steuern!$C$16</definedName>
    <definedName name="Verteilung_82b" function="false" hidden="false" vbProcedure="false">'S05 Maßnahmen &amp; Reserve'!$D$17</definedName>
    <definedName name="Verteilung_eff" function="false" hidden="false" vbProcedure="false">Steuern!$C$22</definedName>
    <definedName name="Verwaltung_Monat" function="false" hidden="false" vbProcedure="false">'S06 Bewirtschaftung'!$D$15</definedName>
    <definedName name="Volltilgung_Txt" function="false" hidden="false" vbProcedure="false">Cockpit!$K$26</definedName>
    <definedName name="Wechsel_linear" function="false" hidden="false" vbProcedure="false">'S10 Abschreibung'!$D$14</definedName>
    <definedName name="Wertsteigerung" function="false" hidden="false" vbProcedure="false">'S11 Prognose &amp; Exit'!$D$14</definedName>
    <definedName name="Wohnflaeche" function="false" hidden="false" vbProcedure="false">'S01 Objekt'!$D$15</definedName>
    <definedName name="Wohngebaeude" function="false" hidden="false" vbProcedure="false">Steuern!$C$17</definedName>
    <definedName name="Zinsbindung_I" function="false" hidden="false" vbProcedure="false">'S07 Finanzierung'!$D$15</definedName>
    <definedName name="Zinsbindung_II" function="false" hidden="false" vbProcedure="false">Eingaben!$C$107</definedName>
    <definedName name="Zins_gew_J1" function="false" hidden="false" vbProcedure="false">Cockpit!$K$19</definedName>
    <definedName name="Zins_I" function="false" hidden="false" vbProcedure="false">'S07 Finanzierung'!$D$13</definedName>
    <definedName name="Zins_II" function="false" hidden="false" vbProcedure="false">Eingaben!$C$105</definedName>
    <definedName name="Zins_J1" function="false" hidden="false" vbProcedure="false">Cockpit!$D$39</definedName>
    <definedName name="zvE" function="false" hidden="false" vbProcedure="false">'S09 Steuern'!$D$14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<sst xmlns="http://schemas.openxmlformats.org/spreadsheetml/2006/main" count="2322" uniqueCount="1572">
  <si>
    <t xml:space="preserve">MM HOLDING GMBH   ·   UNTERNEHMERISCHE BETEILIGUNGEN   ·   WEINGARTEN</t>
  </si>
  <si>
    <t xml:space="preserve">ERSTELLT FÜR</t>
  </si>
  <si>
    <t xml:space="preserve">Max Mustermann</t>
  </si>
  <si>
    <t xml:space="preserve">Immobilien-Kalkulation</t>
  </si>
  <si>
    <t xml:space="preserve">Kauf · Finanzierung · Cashflow · Steuern · Exit — für vermietete Immobilien im Privatvermögen oder in der GmbH</t>
  </si>
  <si>
    <t xml:space="preserve">GESAMTINVESTITION</t>
  </si>
  <si>
    <t xml:space="preserve">KAUFPREIS</t>
  </si>
  <si>
    <t xml:space="preserve">HALTEDAUER</t>
  </si>
  <si>
    <t xml:space="preserve">Zuerst: Kauf als wählen  ↓</t>
  </si>
  <si>
    <t xml:space="preserve">Leitfaden starten  ›</t>
  </si>
  <si>
    <t xml:space="preserve">Kauf als – Privatperson oder Gesellschaft</t>
  </si>
  <si>
    <t xml:space="preserve">Pflichtauswahl</t>
  </si>
  <si>
    <r>
      <rPr>
        <b val="true"/>
        <sz val="10"/>
        <color rgb="FF0B2A4A"/>
        <rFont val="Calibri"/>
        <family val="0"/>
        <charset val="1"/>
      </rPr>
      <t xml:space="preserve">KAUF ALS  ▾
</t>
    </r>
    <r>
      <rPr>
        <sz val="8"/>
        <color rgb="FF1D4F8A"/>
        <rFont val="Calibri"/>
        <family val="0"/>
        <charset val="1"/>
      </rPr>
      <t xml:space="preserve">Auswahlliste</t>
    </r>
  </si>
  <si>
    <t xml:space="preserve">Privatperson – Einkünfte aus Vermietung und Verpachtung (§ 21 EStG)</t>
  </si>
  <si>
    <t xml:space="preserve">Auswahl ändern  ▾</t>
  </si>
  <si>
    <t xml:space="preserve">▾  Klicken und aus der Liste wählen: Privatperson · vv-GmbH · gewerbliche GmbH/Holding   ·   wirkt auf S09 Steuern, S11 Exit, Dashboard und Bankgespräch</t>
  </si>
  <si>
    <t xml:space="preserve">Aktuelle Kalkulation im Überblick</t>
  </si>
  <si>
    <t xml:space="preserve">Details im Dashboard  ›</t>
  </si>
  <si>
    <t xml:space="preserve">CASHFLOW N. ST. / MONAT (JAHR 1)</t>
  </si>
  <si>
    <t xml:space="preserve">BRUTTOMIETRENDITE</t>
  </si>
  <si>
    <t xml:space="preserve">DSCR</t>
  </si>
  <si>
    <t xml:space="preserve">Cashflow nach Steuern pro Monat (Jahr 1)</t>
  </si>
  <si>
    <t xml:space="preserve">DSCR (Jahr 1)</t>
  </si>
  <si>
    <t xml:space="preserve">Rechtsform | AfA</t>
  </si>
  <si>
    <t xml:space="preserve">Ihr Weg durch das Tool</t>
  </si>
  <si>
    <t xml:space="preserve">6 Etappen · A–F</t>
  </si>
  <si>
    <t xml:space="preserve">A   Kauf als wählen  ›</t>
  </si>
  <si>
    <t xml:space="preserve">Privatperson oder Gesellschaft – die Auswahl oben steuert Steuern, Exit und Bankunterlagen.</t>
  </si>
  <si>
    <t xml:space="preserve">B   Leitfaden: Schritte 01–12  ›</t>
  </si>
  <si>
    <t xml:space="preserve">Vom Objekt bis zum Ergebnis – jede Seite mit Eingaben, Zwischenergebnis und Einordnung.</t>
  </si>
  <si>
    <t xml:space="preserve">C   Dashboard  ›</t>
  </si>
  <si>
    <t xml:space="preserve">Die Gesamtbewertung auf einer Seite: Kennzahlen mit Status, Cashflow und Vermögen.</t>
  </si>
  <si>
    <t xml:space="preserve">D   Cockpit &amp; Diagramme  ›</t>
  </si>
  <si>
    <t xml:space="preserve">Detailkennzahlen und Prüfhinweise im Cockpit, alle Auswertungen als Diagramm.</t>
  </si>
  <si>
    <t xml:space="preserve">E   Sensitivität  ›</t>
  </si>
  <si>
    <t xml:space="preserve">Break-even-Miete und -Zins, Miete × Zins und IRR-Matrix – wie robust ist die Rechnung?</t>
  </si>
  <si>
    <t xml:space="preserve">F   Bankunterlagen  ›</t>
  </si>
  <si>
    <t xml:space="preserve">Bankgespräch als A4-Übersicht, dazu Haushaltsrechnung und Vermögensaufstellung.</t>
  </si>
  <si>
    <t xml:space="preserve">Legende</t>
  </si>
  <si>
    <t xml:space="preserve">Alle Blätter</t>
  </si>
  <si>
    <t xml:space="preserve">Schritte S01–S12: siehe Leitfaden</t>
  </si>
  <si>
    <t xml:space="preserve">Eingabe</t>
  </si>
  <si>
    <t xml:space="preserve">Gelb hinterlegt – hier eingeben, Beispielwerte überschreiben</t>
  </si>
  <si>
    <t xml:space="preserve">Leitfaden  ›</t>
  </si>
  <si>
    <t xml:space="preserve">Zwölf Schritte vom Objekt zum Ergebnis</t>
  </si>
  <si>
    <t xml:space="preserve">Verknüpfung</t>
  </si>
  <si>
    <t xml:space="preserve">Blau – übernommen aus einer Eingabe an anderer Stelle</t>
  </si>
  <si>
    <t xml:space="preserve">Dashboard  ›</t>
  </si>
  <si>
    <t xml:space="preserve">Gesamtbewertung auf einer Seite</t>
  </si>
  <si>
    <t xml:space="preserve">Berechnung</t>
  </si>
  <si>
    <t xml:space="preserve">Schwarz – berechnet, bitte nicht ändern</t>
  </si>
  <si>
    <t xml:space="preserve">Cockpit  ›</t>
  </si>
  <si>
    <t xml:space="preserve">Detailkennzahlen und Prüfhinweise</t>
  </si>
  <si>
    <t xml:space="preserve">Ergebnis</t>
  </si>
  <si>
    <t xml:space="preserve">Hervorgehoben – Summe bzw. Blockergebnis</t>
  </si>
  <si>
    <t xml:space="preserve">Diagramme  ›</t>
  </si>
  <si>
    <t xml:space="preserve">13 Diagramme zur Kalkulation</t>
  </si>
  <si>
    <t xml:space="preserve">−1.234 €</t>
  </si>
  <si>
    <t xml:space="preserve">Rot – negative Ergebnis- und Kumulwerte</t>
  </si>
  <si>
    <t xml:space="preserve">Eingaben  ›</t>
  </si>
  <si>
    <t xml:space="preserve">Alle Eingaben und Profi-Felder</t>
  </si>
  <si>
    <t xml:space="preserve">Status</t>
  </si>
  <si>
    <r>
      <rPr>
        <b val="true"/>
        <sz val="9"/>
        <color rgb="FF1F7A4D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erfüllt   ·   </t>
    </r>
    <r>
      <rPr>
        <b val="true"/>
        <sz val="9"/>
        <color rgb="FFB5470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prüfen   ·   </t>
    </r>
    <r>
      <rPr>
        <b val="true"/>
        <sz val="9"/>
        <color rgb="FFB42318"/>
        <rFont val="Calibri"/>
        <family val="0"/>
        <charset val="1"/>
      </rPr>
      <t xml:space="preserve">● </t>
    </r>
    <r>
      <rPr>
        <sz val="9"/>
        <color rgb="FF5B6068"/>
        <rFont val="Calibri"/>
        <family val="0"/>
        <charset val="1"/>
      </rPr>
      <t xml:space="preserve">kritisch</t>
    </r>
  </si>
  <si>
    <t xml:space="preserve">Projektion  ›</t>
  </si>
  <si>
    <t xml:space="preserve">Miete, Kosten, Vermögen – 40 Jahre</t>
  </si>
  <si>
    <t xml:space="preserve">Prüfhinweis</t>
  </si>
  <si>
    <r>
      <rPr>
        <b val="true"/>
        <sz val="9"/>
        <color rgb="FFB42318"/>
        <rFont val="Calibri"/>
        <family val="0"/>
        <charset val="1"/>
      </rPr>
      <t xml:space="preserve">▲</t>
    </r>
    <r>
      <rPr>
        <sz val="9"/>
        <color rgb="FF5B6068"/>
        <rFont val="Calibri"/>
        <family val="0"/>
        <charset val="1"/>
      </rPr>
      <t xml:space="preserve">  Warnung      </t>
    </r>
    <r>
      <rPr>
        <b val="true"/>
        <sz val="9"/>
        <color rgb="FF1D4F8A"/>
        <rFont val="Calibri"/>
        <family val="0"/>
        <charset val="1"/>
      </rPr>
      <t xml:space="preserve">ⓘ</t>
    </r>
    <r>
      <rPr>
        <sz val="9"/>
        <color rgb="FF5B6068"/>
        <rFont val="Calibri"/>
        <family val="0"/>
        <charset val="1"/>
      </rPr>
      <t xml:space="preserve">  Information</t>
    </r>
  </si>
  <si>
    <t xml:space="preserve">Steuern  ›</t>
  </si>
  <si>
    <t xml:space="preserve">Steuerparameter, AfA, Ergebnis, Exit</t>
  </si>
  <si>
    <t xml:space="preserve">Blattschutz</t>
  </si>
  <si>
    <t xml:space="preserve">ohne Passwort – bei Bedarf aufheben</t>
  </si>
  <si>
    <t xml:space="preserve">AfA-Vergleich  ›</t>
  </si>
  <si>
    <t xml:space="preserve">Abschreibungsvarianten im Vergleich</t>
  </si>
  <si>
    <t xml:space="preserve">Navigation</t>
  </si>
  <si>
    <t xml:space="preserve">Reiter oben  ·  „Weiter ›“ führt zum nächsten Schritt</t>
  </si>
  <si>
    <t xml:space="preserve">Finanzierung  ›</t>
  </si>
  <si>
    <t xml:space="preserve">Tilgungspläne Darlehen I und II</t>
  </si>
  <si>
    <t xml:space="preserve">Sensitivität  ›</t>
  </si>
  <si>
    <t xml:space="preserve">Break-even, Miete × Zins, IRR-Matrix</t>
  </si>
  <si>
    <t xml:space="preserve">Tipp &amp; Support</t>
  </si>
  <si>
    <t xml:space="preserve">Bankgespräch  ›</t>
  </si>
  <si>
    <t xml:space="preserve">Investitionsübersicht für die Bank</t>
  </si>
  <si>
    <t xml:space="preserve">Beispielwerte in den gelben Feldern einfach überschreiben – alle Blätter rechnen sofort mit.
Hilfe zu jedem Eingabefeld: Zelle markieren – der Eingabehinweis erscheint.
Jedes Blatt ist für den Druck auf A4 eingerichtet.
Blattwechsel per Tastatur: Strg + Bild ↓ / Bild ↑.
Version Pro  ·  Rechtsstand September 2026  ·  MM Holding GmbH, Weingarten</t>
  </si>
  <si>
    <t xml:space="preserve">Haushaltsrechnung  ›</t>
  </si>
  <si>
    <t xml:space="preserve">Selbstauskunft Einnahmen/Ausgaben</t>
  </si>
  <si>
    <t xml:space="preserve">Vermögensaufstellung  ›</t>
  </si>
  <si>
    <t xml:space="preserve">Selbstauskunft Vermögen</t>
  </si>
  <si>
    <t xml:space="preserve">Hinweise  ›</t>
  </si>
  <si>
    <t xml:space="preserve">Rechtsgrundlagen und Modellannahmen</t>
  </si>
  <si>
    <t xml:space="preserve">Konfiguration  ›</t>
  </si>
  <si>
    <t xml:space="preserve">Stammdaten, Tarif 2026, Ampel-Schwellen</t>
  </si>
  <si>
    <t xml:space="preserve">Keine Gewähr für die Richtigkeit der Angaben · ersetzt keine Rechts-, Steuer- oder Finanzberatung · Rechtsstand September 2026</t>
  </si>
  <si>
    <t xml:space="preserve">MM Holding GmbH · Kornhausgasse 4 · 88250 Weingarten · Amtsgericht Ulm HRB 750729</t>
  </si>
  <si>
    <t xml:space="preserve">EINSTIEG  ›  IN ZWÖLF SCHRITTEN ZUR INVESTITIONSENTSCHEIDUNG</t>
  </si>
  <si>
    <t xml:space="preserve">‹  Start</t>
  </si>
  <si>
    <t xml:space="preserve">Leitfaden</t>
  </si>
  <si>
    <t xml:space="preserve">Schritt 01 starten  ›</t>
  </si>
  <si>
    <r>
      <rPr>
        <b val="true"/>
        <sz val="9"/>
        <color rgb="FF0B2A4A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Gelbe Felder enthalten Beispielwerte – einfach überschreiben. „Kauf als“ wählen Sie auf der Startseite.</t>
    </r>
  </si>
  <si>
    <t xml:space="preserve">Kauf als wählen  ›</t>
  </si>
  <si>
    <t xml:space="preserve">EIGENKAPITALBEDARF INKL. RESERVE</t>
  </si>
  <si>
    <t xml:space="preserve">RATE AN DIE BANK / MONAT</t>
  </si>
  <si>
    <t xml:space="preserve">Cashflow vor Steuern pro Monat (Jahr 1)</t>
  </si>
  <si>
    <t xml:space="preserve">Bruttomietrendite</t>
  </si>
  <si>
    <t xml:space="preserve">Die zwölf Schritte</t>
  </si>
  <si>
    <r>
      <rPr>
        <b val="true"/>
        <sz val="8"/>
        <color rgb="FF1F7A4D"/>
        <rFont val="Calibri"/>
        <family val="0"/>
        <charset val="1"/>
      </rPr>
      <t xml:space="preserve">✓</t>
    </r>
    <r>
      <rPr>
        <sz val="8"/>
        <color rgb="FF1D4F8A"/>
        <rFont val="Calibri"/>
        <family val="0"/>
        <charset val="1"/>
      </rPr>
      <t xml:space="preserve">  vollständig      </t>
    </r>
    <r>
      <rPr>
        <b val="true"/>
        <sz val="8"/>
        <color rgb="FFB54708"/>
        <rFont val="Calibri"/>
        <family val="0"/>
        <charset val="1"/>
      </rPr>
      <t xml:space="preserve">○</t>
    </r>
    <r>
      <rPr>
        <sz val="8"/>
        <color rgb="FF1D4F8A"/>
        <rFont val="Calibri"/>
        <family val="0"/>
        <charset val="1"/>
      </rPr>
      <t xml:space="preserve">  Angaben fehlen</t>
    </r>
  </si>
  <si>
    <t xml:space="preserve">STATUS</t>
  </si>
  <si>
    <t xml:space="preserve">SCHRITT</t>
  </si>
  <si>
    <t xml:space="preserve">INHALT</t>
  </si>
  <si>
    <t xml:space="preserve">01   Objekt  ›</t>
  </si>
  <si>
    <t xml:space="preserve">Objektdaten, Baujahr, Kaufdatum und Bundesland – die Basis für Grunderwerbsteuer und AfA.</t>
  </si>
  <si>
    <t xml:space="preserve">02   Kaufpreis &amp; Miete  ›</t>
  </si>
  <si>
    <t xml:space="preserve">Kaufpreis und Nettokaltmiete ergeben die erste Kennzahl: die Bruttomietrendite.</t>
  </si>
  <si>
    <t xml:space="preserve">03   Kaufnebenkosten  ›</t>
  </si>
  <si>
    <t xml:space="preserve">Grunderwerbsteuer, Notar, Grundbuch und Makler – sie erhöhen die AfA-Basis.</t>
  </si>
  <si>
    <t xml:space="preserve">04   Kaufpreisaufteilung  ›</t>
  </si>
  <si>
    <t xml:space="preserve">Nur der Gebäudeanteil ist abschreibbar – Aufteilung in Grund und Boden und Gebäude.</t>
  </si>
  <si>
    <t xml:space="preserve">optional</t>
  </si>
  <si>
    <t xml:space="preserve">05   Maßnahmen &amp; Reserve  ›</t>
  </si>
  <si>
    <t xml:space="preserve">Renovierung, Sonderumlagen und Liquiditätsreserve – inklusive Prüfung der 15 %-Grenze.</t>
  </si>
  <si>
    <t xml:space="preserve">06   Bewirtschaftung  ›</t>
  </si>
  <si>
    <t xml:space="preserve">Hausgeld, Verwaltung, Rücklagen und Mietausfall – was von der Miete monatlich übrig bleibt.</t>
  </si>
  <si>
    <t xml:space="preserve">07   Finanzierung  ›</t>
  </si>
  <si>
    <t xml:space="preserve">Darlehen, Zins, Tilgung und Zinsbindung – Rate, Eigenkapital und Restschuld.</t>
  </si>
  <si>
    <t xml:space="preserve">08   Zwischenergebnis  ›</t>
  </si>
  <si>
    <t xml:space="preserve">Cashflow vor Steuern: Miete abzüglich Bewirtschaftung, Zinsen und Tilgung.</t>
  </si>
  <si>
    <t xml:space="preserve">09   Steuern  ›</t>
  </si>
  <si>
    <t xml:space="preserve">Kauf als, Einkommen, Soli und Kirchensteuer – daraus folgt der angewendete Steuersatz.</t>
  </si>
  <si>
    <t xml:space="preserve">10   Abschreibung  ›</t>
  </si>
  <si>
    <t xml:space="preserve">AfA-Methode, Sonder-AfA § 7b und erhöhte Absetzungen § 7h/7i – der steuerliche Hebel.</t>
  </si>
  <si>
    <t xml:space="preserve">11   Prognose &amp; Exit  ›</t>
  </si>
  <si>
    <t xml:space="preserve">Miet-, Kosten- und Wertsteigerung, Haltedauer und Verkauf – inklusive 10-Jahres-Frist.</t>
  </si>
  <si>
    <t xml:space="preserve">12   Ergebnis  ›</t>
  </si>
  <si>
    <t xml:space="preserve">Cashflow nach Steuern, Eigenkapitalrendite, Vermögensaufbau und Rente nach Volltilgung.</t>
  </si>
  <si>
    <t xml:space="preserve">Zum Dashboard  ›</t>
  </si>
  <si>
    <t xml:space="preserve">SCHRITT 01 / 12  ·  OBJEKT</t>
  </si>
  <si>
    <t xml:space="preserve">‹  Leitfaden</t>
  </si>
  <si>
    <t xml:space="preserve">Objekt</t>
  </si>
  <si>
    <t xml:space="preserve">Was wird gekauft? Objektdaten, Baujahr, Kaufdatum und Bundesland – die Basis für Grunderwerbsteuer und Abschreibung.</t>
  </si>
  <si>
    <t xml:space="preserve">Eingaben</t>
  </si>
  <si>
    <t xml:space="preserve">Ergebnis dieses Schritts</t>
  </si>
  <si>
    <t xml:space="preserve">beim Kauf</t>
  </si>
  <si>
    <t xml:space="preserve">POSITION</t>
  </si>
  <si>
    <t xml:space="preserve">EINGABE</t>
  </si>
  <si>
    <t xml:space="preserve">EINHEIT</t>
  </si>
  <si>
    <t xml:space="preserve">HINWEIS</t>
  </si>
  <si>
    <t xml:space="preserve">Grunderwerbsteuersatz (Bundesland)</t>
  </si>
  <si>
    <t xml:space="preserve">Objektbezeichnung</t>
  </si>
  <si>
    <t xml:space="preserve">Beispiel: 3-Zimmer-Eigentumswohnung</t>
  </si>
  <si>
    <t xml:space="preserve">Freitext – erscheint im Cockpit und im Bankgespräch</t>
  </si>
  <si>
    <t xml:space="preserve">Regulärer AfA-Satz nach Baujahr</t>
  </si>
  <si>
    <t xml:space="preserve">Adresse</t>
  </si>
  <si>
    <t xml:space="preserve">Musterstraße 1, 88250 Weingarten</t>
  </si>
  <si>
    <t xml:space="preserve">Erstes Kalkulationsjahr</t>
  </si>
  <si>
    <t xml:space="preserve">Objektart</t>
  </si>
  <si>
    <t xml:space="preserve">Eigentumswohnung</t>
  </si>
  <si>
    <t xml:space="preserve">Gewerbe: keine § 7b-Sonder-AfA, keine degressive AfA</t>
  </si>
  <si>
    <t xml:space="preserve">Wohngebäude (steuerlich)</t>
  </si>
  <si>
    <t xml:space="preserve">Wohn-/Nutzfläche</t>
  </si>
  <si>
    <t xml:space="preserve">Basis für Miete/m², Rücklage und § 7b-Grenzen</t>
  </si>
  <si>
    <t xml:space="preserve">Grundstücksfläche bzw. -anteil</t>
  </si>
  <si>
    <t xml:space="preserve">ETW: Miteigentumsanteil × Fläche (Teilungserklärung)</t>
  </si>
  <si>
    <t xml:space="preserve">AfA nach Baujahr</t>
  </si>
  <si>
    <t xml:space="preserve">Baujahr (Fertigstellung)</t>
  </si>
  <si>
    <t xml:space="preserve">steuert den AfA-Satz und die Prüfung von § 7b</t>
  </si>
  <si>
    <t xml:space="preserve">Kaufdatum (Nutzen und Lasten)</t>
  </si>
  <si>
    <t xml:space="preserve">Jahr 1 = die ersten 12 Monate ab Kauf</t>
  </si>
  <si>
    <t xml:space="preserve">Bundesland (Belegenheit)</t>
  </si>
  <si>
    <t xml:space="preserve">Baden-Württemberg</t>
  </si>
  <si>
    <t xml:space="preserve">steuert den Grunderwerbsteuersatz</t>
  </si>
  <si>
    <t xml:space="preserve">ALS NÄCHSTES</t>
  </si>
  <si>
    <t xml:space="preserve">Schritt 02 / 12</t>
  </si>
  <si>
    <r>
      <rPr>
        <b val="true"/>
        <sz val="9"/>
        <color rgb="FF0B2A4A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Alle gelben Felder enthalten Beispielwerte – einfach überschreiben.</t>
    </r>
  </si>
  <si>
    <t xml:space="preserve">Kauf als auf der Startseite wählen  ›</t>
  </si>
  <si>
    <r>
      <rPr>
        <b val="true"/>
        <sz val="10"/>
        <color rgb="FF0B2A4A"/>
        <rFont val="Calibri"/>
        <family val="0"/>
        <charset val="1"/>
      </rPr>
      <t xml:space="preserve">Kaufpreis &amp; Miete</t>
    </r>
    <r>
      <rPr>
        <sz val="9"/>
        <color rgb="FF5B6068"/>
        <rFont val="Calibri"/>
        <family val="0"/>
        <charset val="1"/>
      </rPr>
      <t xml:space="preserve">  ·  Kaufpreis und Nettokaltmiete ergeben die erste Kennzahl: die Bruttomietrendite.</t>
    </r>
  </si>
  <si>
    <t xml:space="preserve">‹  Zurück: Start (Kauf als)</t>
  </si>
  <si>
    <t xml:space="preserve">Übersicht: Leitfaden</t>
  </si>
  <si>
    <t xml:space="preserve">Weiter: Kaufpreis &amp; Miete  ›</t>
  </si>
  <si>
    <t xml:space="preserve">SCHRITT 02 / 12  ·  KAUFPREIS &amp; MIETE</t>
  </si>
  <si>
    <t xml:space="preserve">Kaufpreis &amp; Miete</t>
  </si>
  <si>
    <t xml:space="preserve">Kauf · Jahr 1</t>
  </si>
  <si>
    <t xml:space="preserve">Kaufpreis ohne Inventar/Rücklage</t>
  </si>
  <si>
    <t xml:space="preserve">Kaufpreis (gesamt lt. Kaufvertrag)</t>
  </si>
  <si>
    <t xml:space="preserve">inkl. beweglicher Gegenstände und Rücklagenanteil</t>
  </si>
  <si>
    <t xml:space="preserve">Kaufpreis je m²</t>
  </si>
  <si>
    <t xml:space="preserve">davon bewegliche Gegenstände</t>
  </si>
  <si>
    <t xml:space="preserve">Küche, Möbel · grunderwerbsteuerfrei (§ 2 GrEStG)</t>
  </si>
  <si>
    <t xml:space="preserve">Nettokaltmiete je m²</t>
  </si>
  <si>
    <t xml:space="preserve">Nutzungsdauer der Gegenstände</t>
  </si>
  <si>
    <t xml:space="preserve">Küche i. d. R. 10 Jahre, Möbel 8–13 (AfA-Tabelle)</t>
  </si>
  <si>
    <t xml:space="preserve">Kaufpreisfaktor</t>
  </si>
  <si>
    <t xml:space="preserve">davon Anteil Erhaltungsrücklage</t>
  </si>
  <si>
    <t xml:space="preserve">nicht abschreibbar, aber grunderwerbsteuerpflichtig</t>
  </si>
  <si>
    <t xml:space="preserve">= Bruttomietrendite</t>
  </si>
  <si>
    <t xml:space="preserve">Nettokaltmiete</t>
  </si>
  <si>
    <t xml:space="preserve">pro Monat</t>
  </si>
  <si>
    <t xml:space="preserve">Soll-Miete lt. Mietvertrag bzw. Marktmiete</t>
  </si>
  <si>
    <t xml:space="preserve">nachrichtlich: Warmmiete pro Monat</t>
  </si>
  <si>
    <t xml:space="preserve">Umlagefähige Betriebskosten</t>
  </si>
  <si>
    <t xml:space="preserve">Vorauszahlung des Mieters · Durchlaufposten</t>
  </si>
  <si>
    <t xml:space="preserve">Schritt 03 / 12</t>
  </si>
  <si>
    <r>
      <rPr>
        <b val="true"/>
        <sz val="10"/>
        <color rgb="FF0B2A4A"/>
        <rFont val="Calibri"/>
        <family val="0"/>
        <charset val="1"/>
      </rPr>
      <t xml:space="preserve">Kaufnebenkosten</t>
    </r>
    <r>
      <rPr>
        <sz val="9"/>
        <color rgb="FF5B6068"/>
        <rFont val="Calibri"/>
        <family val="0"/>
        <charset val="1"/>
      </rPr>
      <t xml:space="preserve">  ·  Grunderwerbsteuer, Notar, Grundbuch und Makler – sie erhöhen die Anschaffungskosten und damit die AfA-Basis.</t>
    </r>
  </si>
  <si>
    <t xml:space="preserve">‹  Zurück: Objekt</t>
  </si>
  <si>
    <t xml:space="preserve">Weiter: Kaufnebenkosten  ›</t>
  </si>
  <si>
    <t xml:space="preserve">SCHRITT 03 / 12  ·  KAUFNEBENKOSTEN</t>
  </si>
  <si>
    <t xml:space="preserve">Kaufnebenkosten</t>
  </si>
  <si>
    <t xml:space="preserve">Grunderwerbsteuer, Notar, Grundbuch und Makler – sie erhöhen die Anschaffungskosten und damit die AfA-Basis.</t>
  </si>
  <si>
    <t xml:space="preserve">Grunderwerbsteuer</t>
  </si>
  <si>
    <t xml:space="preserve">Grunderwerbsteuer abweichend</t>
  </si>
  <si>
    <t xml:space="preserve">optional · leer = Satz des Bundeslands (siehe Ergebnis)</t>
  </si>
  <si>
    <t xml:space="preserve">Notar</t>
  </si>
  <si>
    <t xml:space="preserve">Notar (Kaufvertrag, Auflassung)</t>
  </si>
  <si>
    <t xml:space="preserve">üblich 1,0 – 1,5 % des Kaufpreises</t>
  </si>
  <si>
    <t xml:space="preserve">Grundbuch</t>
  </si>
  <si>
    <t xml:space="preserve">Grundbuchamt (Umschreibung)</t>
  </si>
  <si>
    <t xml:space="preserve">üblich ca. 0,5 %</t>
  </si>
  <si>
    <t xml:space="preserve">Makler</t>
  </si>
  <si>
    <t xml:space="preserve">Maklerprovision (inkl. USt)</t>
  </si>
  <si>
    <t xml:space="preserve">z. B. 3,57 % (3 % zzgl. 19 % USt)</t>
  </si>
  <si>
    <t xml:space="preserve">Sonstige</t>
  </si>
  <si>
    <t xml:space="preserve">Sonstige Erwerbsnebenkosten</t>
  </si>
  <si>
    <t xml:space="preserve">Gutachten, Fahrten – sofern objektbezogen</t>
  </si>
  <si>
    <t xml:space="preserve">= Summe Kaufnebenkosten</t>
  </si>
  <si>
    <t xml:space="preserve">Kaufnebenkostenquote</t>
  </si>
  <si>
    <t xml:space="preserve">ZUSAMMENSETZUNG DER KAUFNEBENKOSTEN</t>
  </si>
  <si>
    <t xml:space="preserve">Anteile in %</t>
  </si>
  <si>
    <t xml:space="preserve">= Anschaffungskosten gesamt</t>
  </si>
  <si>
    <t xml:space="preserve">Steuerliche Behandlung</t>
  </si>
  <si>
    <t xml:space="preserve">Kaufnebenkosten sind Anschaffungsnebenkosten: kein Sofortabzug, sondern Verteilung über die AfA – anteilig nach dem Gebäudeanteil (Schritt 4). Gesondert ausgewiesene bewegliche Gegenstände mindern die Bemessungsgrundlage der Grunderwerbsteuer.</t>
  </si>
  <si>
    <t xml:space="preserve">KAUFNEBENKOSTEN GESAMT</t>
  </si>
  <si>
    <t xml:space="preserve">Schritt 04 / 12</t>
  </si>
  <si>
    <r>
      <rPr>
        <b val="true"/>
        <sz val="10"/>
        <color rgb="FF0B2A4A"/>
        <rFont val="Calibri"/>
        <family val="0"/>
        <charset val="1"/>
      </rPr>
      <t xml:space="preserve">Kaufpreisaufteilung</t>
    </r>
    <r>
      <rPr>
        <sz val="9"/>
        <color rgb="FF5B6068"/>
        <rFont val="Calibri"/>
        <family val="0"/>
        <charset val="1"/>
      </rPr>
      <t xml:space="preserve">  ·  Nur der Gebäudeanteil ist abschreibbar – die Aufteilung zwischen Grund und Boden und Gebäude.</t>
    </r>
  </si>
  <si>
    <t xml:space="preserve">‹  Zurück: Kaufpreis &amp; Miete</t>
  </si>
  <si>
    <t xml:space="preserve">Weiter: Kaufpreisaufteilung  ›</t>
  </si>
  <si>
    <t xml:space="preserve">DIAGRAMMDATEN (AUTOMATISCH)</t>
  </si>
  <si>
    <t xml:space="preserve">SCHRITT 04 / 12  ·  KAUFPREISAUFTEILUNG</t>
  </si>
  <si>
    <t xml:space="preserve">Kaufpreisaufteilung</t>
  </si>
  <si>
    <t xml:space="preserve">Nur der Gebäudeanteil ist abschreibbar – die Aufteilung zwischen Grund und Boden und Gebäude.</t>
  </si>
  <si>
    <t xml:space="preserve">Methode der Kaufpreisaufteilung</t>
  </si>
  <si>
    <t xml:space="preserve">Bodenrichtwert × Grundstücks-/Miteigentumsanteil</t>
  </si>
  <si>
    <t xml:space="preserve">Standard: BMF-Arbeitshilfe · Gutachten möglich</t>
  </si>
  <si>
    <t xml:space="preserve">Bodenwert (nicht abschreibbar)</t>
  </si>
  <si>
    <t xml:space="preserve">Bodenrichtwert</t>
  </si>
  <si>
    <t xml:space="preserve">je m²</t>
  </si>
  <si>
    <t xml:space="preserve">lt. Gutachterausschuss / BORIS (Methode 1)</t>
  </si>
  <si>
    <t xml:space="preserve">Gebäudeanteil am Kaufpreis</t>
  </si>
  <si>
    <t xml:space="preserve">Bodenanteil in % des Kaufpreises</t>
  </si>
  <si>
    <t xml:space="preserve">nur Methode „Bodenanteil in %“</t>
  </si>
  <si>
    <t xml:space="preserve">AK Grund und Boden (inkl. NK)</t>
  </si>
  <si>
    <t xml:space="preserve">Gebäudewert (Gutachten / Vertrag)</t>
  </si>
  <si>
    <t xml:space="preserve">nur Methode „Gebäudewert“ (ohne Inventar)</t>
  </si>
  <si>
    <t xml:space="preserve">= AfA-Basis Gebäude (inkl. NK)</t>
  </si>
  <si>
    <t xml:space="preserve">nachrichtlich: bewegliche Gegenstände</t>
  </si>
  <si>
    <t xml:space="preserve">AUFTEILUNG DES KAUFPREISES</t>
  </si>
  <si>
    <t xml:space="preserve">inkl. Inventar und Rücklage · Anteile in %</t>
  </si>
  <si>
    <t xml:space="preserve">Gebäudeanteil und AfA</t>
  </si>
  <si>
    <t xml:space="preserve">Nur der Gebäudeanteil wird abgeschrieben – ein hoher Bodenanteil senkt die jährliche AfA. Das Finanzamt rechnet mit der BMF-Arbeitshilfe; eine im Kaufvertrag vereinbarte Aufteilung ist maßgeblich, wenn sie den realen Wertverhältnissen entspricht (BFH IX R 26/19). Ein Gutachten ersetzt die Arbeitshilfe.</t>
  </si>
  <si>
    <t xml:space="preserve">AfA-BASIS GEBÄUDE</t>
  </si>
  <si>
    <t xml:space="preserve">Schritt 05 / 12</t>
  </si>
  <si>
    <r>
      <rPr>
        <b val="true"/>
        <sz val="10"/>
        <color rgb="FF0B2A4A"/>
        <rFont val="Calibri"/>
        <family val="0"/>
        <charset val="1"/>
      </rPr>
      <t xml:space="preserve">Maßnahmen &amp; Reserve</t>
    </r>
    <r>
      <rPr>
        <sz val="9"/>
        <color rgb="FF5B6068"/>
        <rFont val="Calibri"/>
        <family val="0"/>
        <charset val="1"/>
      </rPr>
      <t xml:space="preserve">  ·  Renovierung, Sonderumlagen und Liquiditätsreserve – inklusive Prüfung der 15 %-Grenze.</t>
    </r>
  </si>
  <si>
    <t xml:space="preserve">‹  Zurück: Kaufnebenkosten</t>
  </si>
  <si>
    <t xml:space="preserve">Weiter: Maßnahmen &amp; Reserve  ›</t>
  </si>
  <si>
    <t xml:space="preserve">SCHRITT 05 / 12  ·  MASSNAHMEN &amp; RESERVE</t>
  </si>
  <si>
    <t xml:space="preserve">Maßnahmen &amp; Reserve</t>
  </si>
  <si>
    <t xml:space="preserve">Jahre 1–3</t>
  </si>
  <si>
    <t xml:space="preserve">Maßnahmen Jahre 1–3 (netto)</t>
  </si>
  <si>
    <t xml:space="preserve">Renovierung Jahr 1 (brutto)</t>
  </si>
  <si>
    <t xml:space="preserve">Teil des anfänglichen Kapitalbedarfs</t>
  </si>
  <si>
    <t xml:space="preserve">15 %-Grenze (Gebäude-AK × 15 %)</t>
  </si>
  <si>
    <t xml:space="preserve">Renovierung Jahr 2 (brutto)</t>
  </si>
  <si>
    <t xml:space="preserve">aus laufendem Cashflow / Eigenkapital</t>
  </si>
  <si>
    <t xml:space="preserve">Renovierung Jahr 3 (brutto)</t>
  </si>
  <si>
    <t xml:space="preserve">Jahre 1–3 zählen für die 15 %-Grenze</t>
  </si>
  <si>
    <t xml:space="preserve">Maßnahmen + Sonderumlage Jahr 1</t>
  </si>
  <si>
    <t xml:space="preserve">Sonderumlagen der WEG (Jahr 1)</t>
  </si>
  <si>
    <t xml:space="preserve">Erhaltungsaufwand · zählt zur 15 %-Grenze</t>
  </si>
  <si>
    <t xml:space="preserve">= Gesamtinvestition</t>
  </si>
  <si>
    <t xml:space="preserve">Automatisch – 15 %-Grenze prüfen (§ 6 Abs. 1 Nr. 1a EStG)</t>
  </si>
  <si>
    <t xml:space="preserve">§ 6 Abs. 1 Nr. 1a EStG · über 15 % → AfA</t>
  </si>
  <si>
    <t xml:space="preserve">= Eigenkapitalbedarf inkl. Reserve</t>
  </si>
  <si>
    <t xml:space="preserve">Verteilung Erhaltungsaufwand</t>
  </si>
  <si>
    <t xml:space="preserve">§ 82b EStDV · 1 = sofort, 2–5 = verteilt (Privat)</t>
  </si>
  <si>
    <t xml:space="preserve">Wertsteigernder Anteil</t>
  </si>
  <si>
    <t xml:space="preserve">Anteil der Maßnahmen, der den Objektwert erhöht</t>
  </si>
  <si>
    <t xml:space="preserve">Die 15 %-Grenze</t>
  </si>
  <si>
    <t xml:space="preserve">Einmalige Liquiditätsreserve</t>
  </si>
  <si>
    <t xml:space="preserve">z. B. Mieterwechsel · erhöht nur das Eigenkapital</t>
  </si>
  <si>
    <t xml:space="preserve">ZUSAMMENSETZUNG DER GESAMTINVESTITION</t>
  </si>
  <si>
    <t xml:space="preserve">Schritt 06 / 12</t>
  </si>
  <si>
    <r>
      <rPr>
        <b val="true"/>
        <sz val="10"/>
        <color rgb="FF0B2A4A"/>
        <rFont val="Calibri"/>
        <family val="0"/>
        <charset val="1"/>
      </rPr>
      <t xml:space="preserve">Bewirtschaftung</t>
    </r>
    <r>
      <rPr>
        <sz val="9"/>
        <color rgb="FF5B6068"/>
        <rFont val="Calibri"/>
        <family val="0"/>
        <charset val="1"/>
      </rPr>
      <t xml:space="preserve">  ·  Hausgeld, Verwaltung, Rücklagen und Mietausfall – was von der Miete monatlich übrig bleibt.</t>
    </r>
  </si>
  <si>
    <t xml:space="preserve">‹  Zurück: Kaufpreisaufteilung</t>
  </si>
  <si>
    <t xml:space="preserve">Weiter: Bewirtschaftung  ›</t>
  </si>
  <si>
    <t xml:space="preserve">SCHRITT 06 / 12  ·  BEWIRTSCHAFTUNG</t>
  </si>
  <si>
    <t xml:space="preserve">Bewirtschaftung</t>
  </si>
  <si>
    <t xml:space="preserve">Jahr 1 · pro Monat</t>
  </si>
  <si>
    <t xml:space="preserve">Nettokaltmiete Ist (nach Ausfall)</t>
  </si>
  <si>
    <t xml:space="preserve">Hausgeld gesamt (WEG)</t>
  </si>
  <si>
    <t xml:space="preserve">lt. Wirtschaftsplan</t>
  </si>
  <si>
    <t xml:space="preserve">– Bewirtschaftung inkl. Rücklagen</t>
  </si>
  <si>
    <t xml:space="preserve">davon nicht umlagefähig</t>
  </si>
  <si>
    <t xml:space="preserve">Verwaltung WEG, Rücklage, Sonstiges – trägt der Eigentümer</t>
  </si>
  <si>
    <t xml:space="preserve">in % der Nettokaltmiete</t>
  </si>
  <si>
    <t xml:space="preserve">davon Erhaltungsrücklage</t>
  </si>
  <si>
    <t xml:space="preserve">Teil von „nicht umlagefähig“ · Abzug erst bei Verausgabung</t>
  </si>
  <si>
    <t xml:space="preserve">= Einnahmenüberschuss (NOI)</t>
  </si>
  <si>
    <t xml:space="preserve">Miet-/SE-Verwaltung</t>
  </si>
  <si>
    <t xml:space="preserve">Werbungskosten</t>
  </si>
  <si>
    <t xml:space="preserve">= Nettomietrendite</t>
  </si>
  <si>
    <t xml:space="preserve">Eigene Instandhaltungsrücklage</t>
  </si>
  <si>
    <t xml:space="preserve">je m² p. a.</t>
  </si>
  <si>
    <t xml:space="preserve">kalkulatorisch, Faustwert 8–15 €/m² · nicht steuerwirksam</t>
  </si>
  <si>
    <t xml:space="preserve">Mietausfallwagnis</t>
  </si>
  <si>
    <t xml:space="preserve">der Miete</t>
  </si>
  <si>
    <t xml:space="preserve">kalkulatorisch 2–4 %</t>
  </si>
  <si>
    <t xml:space="preserve">Nettomietrendite</t>
  </si>
  <si>
    <t xml:space="preserve">Leerstand zu Beginn</t>
  </si>
  <si>
    <t xml:space="preserve">Renovierung / Neuvermietung · mindert die Miete Jahr 1</t>
  </si>
  <si>
    <t xml:space="preserve">Sonstige Werbungskosten</t>
  </si>
  <si>
    <t xml:space="preserve">pro Jahr</t>
  </si>
  <si>
    <t xml:space="preserve">Steuerberatung, Kontoführung, Fahrten</t>
  </si>
  <si>
    <t xml:space="preserve">BEWIRTSCHAFTUNGSKOSTEN JAHR 1</t>
  </si>
  <si>
    <t xml:space="preserve">€ p. a. · Anteile</t>
  </si>
  <si>
    <t xml:space="preserve">EINNAHMENÜBERSCHUSS (NOI) / MONAT</t>
  </si>
  <si>
    <t xml:space="preserve">Schritt 07 / 12</t>
  </si>
  <si>
    <r>
      <rPr>
        <b val="true"/>
        <sz val="10"/>
        <color rgb="FF0B2A4A"/>
        <rFont val="Calibri"/>
        <family val="0"/>
        <charset val="1"/>
      </rPr>
      <t xml:space="preserve">Finanzierung</t>
    </r>
    <r>
      <rPr>
        <sz val="9"/>
        <color rgb="FF5B6068"/>
        <rFont val="Calibri"/>
        <family val="0"/>
        <charset val="1"/>
      </rPr>
      <t xml:space="preserve">  ·  Darlehen, Zins, Tilgung und Zinsbindung – Rate, Eigenkapital und Restschuld nach der Zinsbindung.</t>
    </r>
  </si>
  <si>
    <t xml:space="preserve">‹  Zurück: Maßnahmen &amp; Reserve</t>
  </si>
  <si>
    <t xml:space="preserve">Weiter: Finanzierung  ›</t>
  </si>
  <si>
    <t xml:space="preserve">Hausgeld n. umlagefähig (ohne Rücklage)</t>
  </si>
  <si>
    <t xml:space="preserve">Zuführung Erhaltungsrücklage</t>
  </si>
  <si>
    <t xml:space="preserve">Verwaltung</t>
  </si>
  <si>
    <t xml:space="preserve">Mietausfall</t>
  </si>
  <si>
    <t xml:space="preserve">SCHRITT 07 / 12  ·  FINANZIERUNG</t>
  </si>
  <si>
    <t xml:space="preserve">Finanzierung</t>
  </si>
  <si>
    <t xml:space="preserve">Darlehen, Zins, Tilgung und Zinsbindung – Rate, Eigenkapital und Restschuld nach der Zinsbindung.</t>
  </si>
  <si>
    <t xml:space="preserve">Kauf · Rate Jahr 1</t>
  </si>
  <si>
    <t xml:space="preserve">Darlehen gesamt (inkl. Darlehen II)</t>
  </si>
  <si>
    <t xml:space="preserve">Darlehen I – Betrag</t>
  </si>
  <si>
    <t xml:space="preserve">Bankdarlehen (Annuität)</t>
  </si>
  <si>
    <t xml:space="preserve">Finanzierungsnebenkosten</t>
  </si>
  <si>
    <t xml:space="preserve">Darlehen I – Sollzins p. a.</t>
  </si>
  <si>
    <t xml:space="preserve">= Eigenkapital (ohne Reserve)</t>
  </si>
  <si>
    <t xml:space="preserve">Darlehen I – anfängliche Tilgung p. a.</t>
  </si>
  <si>
    <t xml:space="preserve">Annuität = (Zins + Tilgung) × Darlehen, konstant</t>
  </si>
  <si>
    <t xml:space="preserve">Eigenkapitalquote</t>
  </si>
  <si>
    <t xml:space="preserve">Darlehen I – Zinsbindung</t>
  </si>
  <si>
    <t xml:space="preserve">Beleihungsauslauf</t>
  </si>
  <si>
    <t xml:space="preserve">Darlehen I – Anschlusszins</t>
  </si>
  <si>
    <t xml:space="preserve">nach der Zinsbindung · Annahme, die Annuität bleibt</t>
  </si>
  <si>
    <t xml:space="preserve">Restschuld nach Zinsbindung</t>
  </si>
  <si>
    <t xml:space="preserve">Darlehen I – Sondertilgung p. a.</t>
  </si>
  <si>
    <t xml:space="preserve">Volltilgung</t>
  </si>
  <si>
    <t xml:space="preserve">Darlehen I – tilgungsfreie Jahre</t>
  </si>
  <si>
    <t xml:space="preserve">= Rate an die Bank / Monat</t>
  </si>
  <si>
    <t xml:space="preserve">Grundschuldbestellung</t>
  </si>
  <si>
    <t xml:space="preserve">Notar + Grundbuch, ca. 0,4–0,6 % des Darlehens</t>
  </si>
  <si>
    <t xml:space="preserve">Bearbeitungs-/Vermittlungsgebühr</t>
  </si>
  <si>
    <t xml:space="preserve">Bank, Wertermittlung · sofort abziehbar</t>
  </si>
  <si>
    <t xml:space="preserve">Kapitaldienstdeckung (DSCR)</t>
  </si>
  <si>
    <t xml:space="preserve">Disagio Darlehen I</t>
  </si>
  <si>
    <t xml:space="preserve">bis 5 % bei ≥ 5 Jahren Zinsbindung sofort abziehbar</t>
  </si>
  <si>
    <r>
      <rPr>
        <b val="true"/>
        <sz val="9"/>
        <color rgb="FF0B2A4A"/>
        <rFont val="Calibri"/>
        <family val="0"/>
        <charset val="1"/>
      </rPr>
      <t xml:space="preserve">Hinweis   </t>
    </r>
    <r>
      <rPr>
        <sz val="9"/>
        <color rgb="FF3A3F45"/>
        <rFont val="Calibri"/>
        <family val="0"/>
        <charset val="1"/>
      </rPr>
      <t xml:space="preserve">Ein zweites Darlehen (z. B. KfW) erfassen Sie auf dem Blatt „Eingaben“.</t>
    </r>
  </si>
  <si>
    <t xml:space="preserve">Darlehen II erfassen  ›</t>
  </si>
  <si>
    <t xml:space="preserve">Zinsänderungsrisiko</t>
  </si>
  <si>
    <t xml:space="preserve">RESTSCHULD AM JAHRESENDE</t>
  </si>
  <si>
    <t xml:space="preserve">Jahre 1–35 · T€ · Jahresende</t>
  </si>
  <si>
    <t xml:space="preserve">FINANZIERUNGSSTRUKTUR</t>
  </si>
  <si>
    <t xml:space="preserve">‹  Zurück: Bewirtschaftung</t>
  </si>
  <si>
    <t xml:space="preserve">Weiter: Zwischenergebnis  ›</t>
  </si>
  <si>
    <t xml:space="preserve">SCHRITT 08 / 12  ·  ZWISCHENERGEBNIS</t>
  </si>
  <si>
    <t xml:space="preserve">Zwischenergebnis</t>
  </si>
  <si>
    <t xml:space="preserve">Cashflow vor Steuern – Jahr 1</t>
  </si>
  <si>
    <t xml:space="preserve">Cashflow vor Steuern</t>
  </si>
  <si>
    <t xml:space="preserve">NETTOKALTMIETE IST / MONAT</t>
  </si>
  <si>
    <t xml:space="preserve">nach Mietausfall und Leerstand</t>
  </si>
  <si>
    <t xml:space="preserve">Miete abzüglich Bewirtschaftung</t>
  </si>
  <si>
    <t xml:space="preserve">CASHFLOW V. ST. / MONAT (JAHR 1)</t>
  </si>
  <si>
    <t xml:space="preserve">Zinsen und Tilgung · Jahr 1</t>
  </si>
  <si>
    <t xml:space="preserve">Ziel ≥ 0 € · nach Rate, vor Steuern</t>
  </si>
  <si>
    <t xml:space="preserve">HERLEITUNG PRO MONAT</t>
  </si>
  <si>
    <t xml:space="preserve">Jahr 1</t>
  </si>
  <si>
    <t xml:space="preserve">EINNAHMEN VS. AUSGABEN</t>
  </si>
  <si>
    <t xml:space="preserve">€ / Monat · vor Steuern</t>
  </si>
  <si>
    <t xml:space="preserve">STELLSCHRAUBEN</t>
  </si>
  <si>
    <t xml:space="preserve">Cashflow verbessern</t>
  </si>
  <si>
    <t xml:space="preserve">Nettokaltmiete Ist</t>
  </si>
  <si>
    <t xml:space="preserve">Kaufpreis &amp; Miete – Miete und Kaufpreis  ›</t>
  </si>
  <si>
    <t xml:space="preserve">Bewirtschaftung – nicht umlagefähige Kosten  ›</t>
  </si>
  <si>
    <t xml:space="preserve">– Zinsen</t>
  </si>
  <si>
    <t xml:space="preserve">Finanzierung – Eigenkapital, Zins und Tilgung  ›</t>
  </si>
  <si>
    <t xml:space="preserve">– Tilgung</t>
  </si>
  <si>
    <t xml:space="preserve">Steuern – Rechtsform und Steuersatz  ›</t>
  </si>
  <si>
    <t xml:space="preserve">= Cashflow vor Steuern / Monat</t>
  </si>
  <si>
    <t xml:space="preserve">Sensitivität – Break-even-Miete und Zinsänderung  ›</t>
  </si>
  <si>
    <t xml:space="preserve">Cockpit – alle Kennzahlen im Detail  ›</t>
  </si>
  <si>
    <t xml:space="preserve">‹  Zurück: Finanzierung</t>
  </si>
  <si>
    <t xml:space="preserve">Weiter: Steuern  ›</t>
  </si>
  <si>
    <t xml:space="preserve">SCHRITT 09 / 12  ·  STEUERN</t>
  </si>
  <si>
    <t xml:space="preserve">Steuern</t>
  </si>
  <si>
    <t xml:space="preserve">Rechtsform (Privat oder GmbH), Einkommen, Soli und Kirchensteuer – der angewendete Steuersatz.</t>
  </si>
  <si>
    <t xml:space="preserve">Grenzsteuersatz lt. Tarif 2026</t>
  </si>
  <si>
    <t xml:space="preserve">Rechtsform</t>
  </si>
  <si>
    <t xml:space="preserve">Kauf als auf der Startseite ändern  ›</t>
  </si>
  <si>
    <t xml:space="preserve">Grenzbelastung inkl. Soli / KiSt</t>
  </si>
  <si>
    <t xml:space="preserve">Veranlagung</t>
  </si>
  <si>
    <t xml:space="preserve">Einzelveranlagung (Grundtarif)</t>
  </si>
  <si>
    <t xml:space="preserve">nur Privatperson</t>
  </si>
  <si>
    <t xml:space="preserve">Steuersatz GmbH Jahr 1</t>
  </si>
  <si>
    <t xml:space="preserve">Einkommen ohne dieses Objekt (zvE)</t>
  </si>
  <si>
    <t xml:space="preserve">nur Privatperson · Basis für den Grenzsteuersatz</t>
  </si>
  <si>
    <t xml:space="preserve">= Angewendeter Steuersatz Jahr 1</t>
  </si>
  <si>
    <t xml:space="preserve">Grenzsteuersatz manuell</t>
  </si>
  <si>
    <t xml:space="preserve">nur Privat · optional, leer = nach Tarif 2026</t>
  </si>
  <si>
    <t xml:space="preserve">Steuerliches Ergebnis Jahr 1</t>
  </si>
  <si>
    <t xml:space="preserve">Solidaritätszuschlag</t>
  </si>
  <si>
    <t xml:space="preserve">Ja</t>
  </si>
  <si>
    <t xml:space="preserve">nur Privat · „Nein“ bei ESt unter der Freigrenze</t>
  </si>
  <si>
    <t xml:space="preserve">= Steuerwirkung Jahr 1</t>
  </si>
  <si>
    <t xml:space="preserve">Kirchensteuer</t>
  </si>
  <si>
    <t xml:space="preserve">8 % (Baden-Württemberg, Bayern)</t>
  </si>
  <si>
    <t xml:space="preserve">nur Privat · Sonderausgabenabzug berücksichtigt</t>
  </si>
  <si>
    <t xml:space="preserve">Gewerbesteuer-Hebesatz</t>
  </si>
  <si>
    <t xml:space="preserve">nur GmbH ohne erweiterte Kürzung · z. B. 400 %</t>
  </si>
  <si>
    <t xml:space="preserve">Besteuerung nach Rechtsform</t>
  </si>
  <si>
    <t xml:space="preserve">STEUERLICHES ERGEBNIS UND STEUER</t>
  </si>
  <si>
    <t xml:space="preserve">Jahre 1–20 · T€ · Steuer: + Zahlung / − Erstattung</t>
  </si>
  <si>
    <t xml:space="preserve">STEUERWIRKUNG / MONAT (JAHR 1)</t>
  </si>
  <si>
    <t xml:space="preserve">Schritt 10 / 12</t>
  </si>
  <si>
    <r>
      <rPr>
        <b val="true"/>
        <sz val="10"/>
        <color rgb="FF0B2A4A"/>
        <rFont val="Calibri"/>
        <family val="0"/>
        <charset val="1"/>
      </rPr>
      <t xml:space="preserve">Abschreibung</t>
    </r>
    <r>
      <rPr>
        <sz val="9"/>
        <color rgb="FF5B6068"/>
        <rFont val="Calibri"/>
        <family val="0"/>
        <charset val="1"/>
      </rPr>
      <t xml:space="preserve">  ·  AfA-Methode, Sonder-AfA § 7b und erhöhte Absetzungen § 7h/7i – die steuerliche Hebelwirkung.</t>
    </r>
  </si>
  <si>
    <t xml:space="preserve">‹  Zurück: Zwischenergebnis</t>
  </si>
  <si>
    <t xml:space="preserve">Weiter: Abschreibung  ›</t>
  </si>
  <si>
    <t xml:space="preserve">SCHRITT 10 / 12  ·  ABSCHREIBUNG</t>
  </si>
  <si>
    <t xml:space="preserve">Abschreibung</t>
  </si>
  <si>
    <t xml:space="preserve">AfA-Methode, Sonder-AfA § 7b und erhöhte Absetzungen § 7h/7i – die steuerliche Hebelwirkung.</t>
  </si>
  <si>
    <t xml:space="preserve">Angewendete AfA-Methode</t>
  </si>
  <si>
    <t xml:space="preserve">AfA-Methode Gebäude</t>
  </si>
  <si>
    <t xml:space="preserve">Automatisch nach Baujahr (§ 7 Abs. 4 EStG)</t>
  </si>
  <si>
    <t xml:space="preserve">degressiv nur bei Baubeginn 10/2023 – 09/2029</t>
  </si>
  <si>
    <t xml:space="preserve">Reguläre Gebäude-AfA</t>
  </si>
  <si>
    <t xml:space="preserve">Restnutzungsdauer lt. Gutachten</t>
  </si>
  <si>
    <t xml:space="preserve">nur Methode Gutachten · kürzere Restnutzungsdauer</t>
  </si>
  <si>
    <t xml:space="preserve">+ Sonder-AfA § 7b</t>
  </si>
  <si>
    <t xml:space="preserve">Degressiv: Wechsel zur linearen AfA</t>
  </si>
  <si>
    <t xml:space="preserve">nur degressive AfA · Wechsel, sobald vorteilhaft</t>
  </si>
  <si>
    <t xml:space="preserve">+ Erhöhte Absetzungen § 7h/7i</t>
  </si>
  <si>
    <t xml:space="preserve">Sonder-AfA § 7b (Neubau)</t>
  </si>
  <si>
    <t xml:space="preserve">Nein</t>
  </si>
  <si>
    <t xml:space="preserve">5 % p. a. für 4 Jahre · EH 40 + QNG, Baukostengrenze</t>
  </si>
  <si>
    <t xml:space="preserve">+ AfA bewegliche Gegenstände</t>
  </si>
  <si>
    <t xml:space="preserve">Erhöhte AfA § 7h / § 7i EStG</t>
  </si>
  <si>
    <t xml:space="preserve">Sanierungsgebiet / Denkmal: 9 % (J. 1–8), 7 % (J. 9–12)</t>
  </si>
  <si>
    <t xml:space="preserve">= Abschreibungen gesamt Jahr 1</t>
  </si>
  <si>
    <t xml:space="preserve">Begünstigte Kosten § 7h / 7i</t>
  </si>
  <si>
    <t xml:space="preserve">im Kaufpreis enthalten · lt. Bescheinigung</t>
  </si>
  <si>
    <t xml:space="preserve">Steuereffekt ggü. Standard-AfA (10 J.)</t>
  </si>
  <si>
    <t xml:space="preserve">ABSCHREIBUNGEN NACH KOMPONENTEN</t>
  </si>
  <si>
    <t xml:space="preserve">Jahre 1–20 · T€ p. a.</t>
  </si>
  <si>
    <t xml:space="preserve">Wahl der Abschreibung</t>
  </si>
  <si>
    <t xml:space="preserve">ABSCHREIBUNGEN / MONAT (JAHR 1)</t>
  </si>
  <si>
    <t xml:space="preserve">Schritt 11 / 12</t>
  </si>
  <si>
    <r>
      <rPr>
        <b val="true"/>
        <sz val="10"/>
        <color rgb="FF0B2A4A"/>
        <rFont val="Calibri"/>
        <family val="0"/>
        <charset val="1"/>
      </rPr>
      <t xml:space="preserve">Prognose &amp; Exit</t>
    </r>
    <r>
      <rPr>
        <sz val="9"/>
        <color rgb="FF5B6068"/>
        <rFont val="Calibri"/>
        <family val="0"/>
        <charset val="1"/>
      </rPr>
      <t xml:space="preserve">  ·  Miet-, Kosten- und Wertsteigerung, Haltedauer und Verkauf – inklusive 10-Jahres-Frist.</t>
    </r>
  </si>
  <si>
    <t xml:space="preserve">‹  Zurück: Steuern</t>
  </si>
  <si>
    <t xml:space="preserve">Weiter: Prognose &amp; Exit  ›</t>
  </si>
  <si>
    <t xml:space="preserve">SCHRITT 11 / 12  ·  PROGNOSE &amp; EXIT</t>
  </si>
  <si>
    <t xml:space="preserve">Prognose &amp; Exit</t>
  </si>
  <si>
    <t xml:space="preserve">Verkauf</t>
  </si>
  <si>
    <t xml:space="preserve">Verkaufspreis bei Exit</t>
  </si>
  <si>
    <t xml:space="preserve">Mietsteigerung p. a.</t>
  </si>
  <si>
    <t xml:space="preserve">Prognose · Mietpreisbremse und Kappungsgrenze</t>
  </si>
  <si>
    <t xml:space="preserve">Veräußerungsgewinn (steuerlich)</t>
  </si>
  <si>
    <t xml:space="preserve">Kostensteigerung p. a.</t>
  </si>
  <si>
    <t xml:space="preserve">Prognose</t>
  </si>
  <si>
    <t xml:space="preserve">Verkauf steuerpflichtig?</t>
  </si>
  <si>
    <t xml:space="preserve">Wertsteigerung p. a.</t>
  </si>
  <si>
    <t xml:space="preserve">Prognose; konservativ 0–2 %</t>
  </si>
  <si>
    <t xml:space="preserve">Steuer auf den Veräußerungsgewinn</t>
  </si>
  <si>
    <t xml:space="preserve">Geplante Haltedauer</t>
  </si>
  <si>
    <t xml:space="preserve">Privat: Verkauf nach über 10 Jahren steuerfrei</t>
  </si>
  <si>
    <t xml:space="preserve">= Nettoerlös nach Steuer und Ablösung</t>
  </si>
  <si>
    <t xml:space="preserve">Verkaufskosten</t>
  </si>
  <si>
    <t xml:space="preserve">vom Verkaufspreis · Makler, Notar, Löschung</t>
  </si>
  <si>
    <t xml:space="preserve">Gesamtertrag nach Steuern</t>
  </si>
  <si>
    <t xml:space="preserve">Verkaufspreis manuell</t>
  </si>
  <si>
    <t xml:space="preserve">optional · leer = Wertentwicklung lt. Prognose</t>
  </si>
  <si>
    <t xml:space="preserve">= IRR n. St. (Eigenkapitalrendite)</t>
  </si>
  <si>
    <t xml:space="preserve">Verlustverrechnung</t>
  </si>
  <si>
    <t xml:space="preserve">Sofortige Verrechnung mit anderen Einkünften (Standard Privatperson)</t>
  </si>
  <si>
    <t xml:space="preserve">GmbH: immer Verlustvortrag (§ 10d EStG)</t>
  </si>
  <si>
    <t xml:space="preserve">Verkauf und Steuern</t>
  </si>
  <si>
    <t xml:space="preserve">IMMOBILIENWERT, RESTSCHULD UND NETTOVERMÖGEN</t>
  </si>
  <si>
    <t xml:space="preserve">Schritt 12 / 12</t>
  </si>
  <si>
    <r>
      <rPr>
        <b val="true"/>
        <sz val="10"/>
        <color rgb="FF0B2A4A"/>
        <rFont val="Calibri"/>
        <family val="0"/>
        <charset val="1"/>
      </rPr>
      <t xml:space="preserve">Ergebnis</t>
    </r>
    <r>
      <rPr>
        <sz val="9"/>
        <color rgb="FF5B6068"/>
        <rFont val="Calibri"/>
        <family val="0"/>
        <charset val="1"/>
      </rPr>
      <t xml:space="preserve">  ·  Cashflow nach Steuern, Eigenkapitalrendite, Vermögensaufbau und Zusatzrente nach Volltilgung.</t>
    </r>
  </si>
  <si>
    <t xml:space="preserve">‹  Zurück: Abschreibung</t>
  </si>
  <si>
    <t xml:space="preserve">Weiter: Ergebnis  ›</t>
  </si>
  <si>
    <t xml:space="preserve">SCHRITT 12 / 12  ·  ERGEBNIS</t>
  </si>
  <si>
    <t xml:space="preserve">Cashflow nach Steuern, Eigenkapitalrendite, Vermögensaufbau und Zusatzrente nach Volltilgung.</t>
  </si>
  <si>
    <t xml:space="preserve">Ergebnis der Kalkulation</t>
  </si>
  <si>
    <t xml:space="preserve">IRR n. St. (Eigenkapitalrendite)</t>
  </si>
  <si>
    <t xml:space="preserve">EK-RENDITE JAHR 1</t>
  </si>
  <si>
    <t xml:space="preserve">Cashflow nach Steuern</t>
  </si>
  <si>
    <t xml:space="preserve">Immobilienwert abzüglich Restschuld</t>
  </si>
  <si>
    <t xml:space="preserve">Cashflow nach Steuern nach Volltilgung (Prognose)</t>
  </si>
  <si>
    <t xml:space="preserve">CASHFLOW NACH STEUERN</t>
  </si>
  <si>
    <t xml:space="preserve">Jahre 1–30 · T€ p. a.</t>
  </si>
  <si>
    <t xml:space="preserve">WEITER ZUR AUSWERTUNG</t>
  </si>
  <si>
    <t xml:space="preserve">Cashflow vor Steuern / Monat</t>
  </si>
  <si>
    <t xml:space="preserve">Dashboard – Gesamtbewertung, Ampel, Zeitverlauf  ›</t>
  </si>
  <si>
    <t xml:space="preserve">± Steuerwirkung / Monat (+ Erstattung)</t>
  </si>
  <si>
    <t xml:space="preserve">= Cashflow nach Steuern / Monat</t>
  </si>
  <si>
    <t xml:space="preserve">Diagramme – Investition, Cashflow, Vermögen  ›</t>
  </si>
  <si>
    <t xml:space="preserve">Eigenkapitalbedarf inkl. Reserve</t>
  </si>
  <si>
    <t xml:space="preserve">AfA-Vergleich – Abschreibungsvarianten  ›</t>
  </si>
  <si>
    <t xml:space="preserve">Gesamtertrag n. St. bis Verkauf</t>
  </si>
  <si>
    <t xml:space="preserve">Sensitivität – Break-even und Was-wäre-wenn  ›</t>
  </si>
  <si>
    <t xml:space="preserve">Eigenkapital-Multiple</t>
  </si>
  <si>
    <t xml:space="preserve">Bankgespräch – druckfertige Übersicht  ›</t>
  </si>
  <si>
    <t xml:space="preserve">‹  Zurück: Prognose &amp; Exit</t>
  </si>
  <si>
    <t xml:space="preserve">Weiter: Dashboard  ›</t>
  </si>
  <si>
    <t xml:space="preserve">AUSWERTUNG  ·  GESAMTBEWERTUNG AUF EINER SEITE</t>
  </si>
  <si>
    <t xml:space="preserve">Dashboard</t>
  </si>
  <si>
    <t xml:space="preserve">‹  Schritt 12: Ergebnis</t>
  </si>
  <si>
    <t xml:space="preserve">GESAMTBEWERTUNG</t>
  </si>
  <si>
    <t xml:space="preserve">Kennzahlen-Check</t>
  </si>
  <si>
    <t xml:space="preserve">Ist gegen Zielwert</t>
  </si>
  <si>
    <t xml:space="preserve">Cashflow Jahr 1</t>
  </si>
  <si>
    <r>
      <rPr>
        <sz val="8"/>
        <color rgb="FF4A86C8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Zufluss   </t>
    </r>
    <r>
      <rPr>
        <sz val="8"/>
        <color rgb="FFB8C3D1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Abfluss   </t>
    </r>
    <r>
      <rPr>
        <sz val="8"/>
        <color rgb="FF0B2A4A"/>
        <rFont val="Calibri"/>
        <family val="0"/>
        <charset val="1"/>
      </rPr>
      <t xml:space="preserve">■ </t>
    </r>
    <r>
      <rPr>
        <sz val="8"/>
        <color rgb="FF5B6068"/>
        <rFont val="Calibri"/>
        <family val="0"/>
        <charset val="1"/>
      </rPr>
      <t xml:space="preserve">Summe</t>
    </r>
    <r>
      <rPr>
        <sz val="8"/>
        <color rgb="FF1D4F8A"/>
        <rFont val="Calibri"/>
        <family val="0"/>
        <charset val="1"/>
      </rPr>
      <t xml:space="preserve">   ·   € je Monat</t>
    </r>
  </si>
  <si>
    <t xml:space="preserve">KENNZAHL</t>
  </si>
  <si>
    <t xml:space="preserve">IST</t>
  </si>
  <si>
    <t xml:space="preserve">ZIEL</t>
  </si>
  <si>
    <t xml:space="preserve">ERREICHUNG</t>
  </si>
  <si>
    <t xml:space="preserve">Verkaufsmarke (Diagramm Vermögensentwicklung)</t>
  </si>
  <si>
    <t xml:space="preserve">Punkt Nettovermögen im Verkaufsjahr</t>
  </si>
  <si>
    <t xml:space="preserve">Cashflow n. St. / Monat</t>
  </si>
  <si>
    <t xml:space="preserve">Miete</t>
  </si>
  <si>
    <t xml:space="preserve">Bewirt-
schaftung</t>
  </si>
  <si>
    <t xml:space="preserve">Zinsen</t>
  </si>
  <si>
    <t xml:space="preserve">Tilgung</t>
  </si>
  <si>
    <t xml:space="preserve">EK-Rendite Jahr 1</t>
  </si>
  <si>
    <t xml:space="preserve">= vor Steuern</t>
  </si>
  <si>
    <t xml:space="preserve">Steuer</t>
  </si>
  <si>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erfüllt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prüfen   ·   </t>
    </r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kritisch   ·   Balken voll = Ziel erreicht</t>
    </r>
  </si>
  <si>
    <t xml:space="preserve">Schwellen  ›</t>
  </si>
  <si>
    <t xml:space="preserve">= nach Steuern</t>
  </si>
  <si>
    <t xml:space="preserve">Vermögensentwicklung</t>
  </si>
  <si>
    <t xml:space="preserve">Steuer als Abfluss +</t>
  </si>
  <si>
    <t xml:space="preserve">Steuer als Abfluss −</t>
  </si>
  <si>
    <t xml:space="preserve">Kennzahlen im Zeitverlauf</t>
  </si>
  <si>
    <t xml:space="preserve">€ p. a.  ·  Jahr 1 = 12 Monate ab Kaufdatum</t>
  </si>
  <si>
    <t xml:space="preserve">PROJEKTJAHR</t>
  </si>
  <si>
    <t xml:space="preserve">Kalenderjahr</t>
  </si>
  <si>
    <t xml:space="preserve">CASHFLOW</t>
  </si>
  <si>
    <t xml:space="preserve">Bewirtschaftungskosten</t>
  </si>
  <si>
    <t xml:space="preserve">Kapitaldienst</t>
  </si>
  <si>
    <t xml:space="preserve">davon Zinsen</t>
  </si>
  <si>
    <t xml:space="preserve">davon Tilgung</t>
  </si>
  <si>
    <t xml:space="preserve">= Cashflow vor Steuern</t>
  </si>
  <si>
    <t xml:space="preserve">± Steuerwirkung (Cash-Sicht)</t>
  </si>
  <si>
    <t xml:space="preserve">= Cashflow nach Steuern</t>
  </si>
  <si>
    <t xml:space="preserve">Kumulierter Cashflow n. St.</t>
  </si>
  <si>
    <t xml:space="preserve">STEUER</t>
  </si>
  <si>
    <t xml:space="preserve">Abschreibungen (AfA)</t>
  </si>
  <si>
    <t xml:space="preserve">Steuerliches Ergebnis</t>
  </si>
  <si>
    <t xml:space="preserve">VERMÖGEN</t>
  </si>
  <si>
    <t xml:space="preserve">Immobilienwert (Jahresende)</t>
  </si>
  <si>
    <t xml:space="preserve">Restschuld</t>
  </si>
  <si>
    <t xml:space="preserve">= Nettovermögen</t>
  </si>
  <si>
    <t xml:space="preserve">EK-Rendite</t>
  </si>
  <si>
    <r>
      <rPr>
        <sz val="8"/>
        <color rgb="FF5B6068"/>
        <rFont val="Calibri"/>
        <family val="0"/>
        <charset val="1"/>
      </rPr>
      <t xml:space="preserve">Cash-Sicht: + fließt zu, − fließt ab (Steuerwirkung: + Erstattung, − Zahlung)  ·  </t>
    </r>
    <r>
      <rPr>
        <b val="true"/>
        <sz val="8"/>
        <color rgb="FFB42318"/>
        <rFont val="Calibri"/>
        <family val="0"/>
        <charset val="1"/>
      </rPr>
      <t xml:space="preserve">Rot</t>
    </r>
    <r>
      <rPr>
        <sz val="8"/>
        <color rgb="FF5B6068"/>
        <rFont val="Calibri"/>
        <family val="0"/>
        <charset val="1"/>
      </rPr>
      <t xml:space="preserve"> – negative Ergebnis- und Kumulwerte</t>
    </r>
  </si>
  <si>
    <t xml:space="preserve">Alle 40 Jahre: Projektion  ›</t>
  </si>
  <si>
    <t xml:space="preserve">Prüfhinweise &amp; steuerliche Einordnung</t>
  </si>
  <si>
    <t xml:space="preserve">ERGEBNIS  ·  ÜBERSICHT AUF EINER SEITE</t>
  </si>
  <si>
    <t xml:space="preserve">Cockpit</t>
  </si>
  <si>
    <t xml:space="preserve">Bruttomietrendite  |  Kaufpreisfaktor</t>
  </si>
  <si>
    <t xml:space="preserve">Eigenkapitalrendite Jahr 1 (Vermögenszuwachs / EK)</t>
  </si>
  <si>
    <t xml:space="preserve">Objekt &amp; Investition</t>
  </si>
  <si>
    <t xml:space="preserve">Eingaben ›</t>
  </si>
  <si>
    <t xml:space="preserve">Miete, Bewirtschaftung &amp; Rendite</t>
  </si>
  <si>
    <t xml:space="preserve">Projektion ›</t>
  </si>
  <si>
    <t xml:space="preserve">Finanzierung ›</t>
  </si>
  <si>
    <t xml:space="preserve">JAHR DER KALKULATION</t>
  </si>
  <si>
    <t xml:space="preserve">Nettokaltmiete pro Monat (Soll)</t>
  </si>
  <si>
    <t xml:space="preserve">Darlehen gesamt</t>
  </si>
  <si>
    <t xml:space="preserve">Miete je m² und Monat</t>
  </si>
  <si>
    <t xml:space="preserve">Darlehen I · Darlehen II</t>
  </si>
  <si>
    <t xml:space="preserve">Baujahr</t>
  </si>
  <si>
    <t xml:space="preserve">Jahresnettokaltmiete (Soll)</t>
  </si>
  <si>
    <t xml:space="preserve">Eigenkapital (ohne Reserve)</t>
  </si>
  <si>
    <t xml:space="preserve">Kaufpreis</t>
  </si>
  <si>
    <t xml:space="preserve">Nettokaltmiete Ist Jahr 1 (nach Ausfall)</t>
  </si>
  <si>
    <t xml:space="preserve">Kaufpreis je m² (Immobilie)</t>
  </si>
  <si>
    <t xml:space="preserve">– Bewirtschaftung Jahr 1 (inkl. Rücklagen)</t>
  </si>
  <si>
    <t xml:space="preserve">Beleihungsauslauf (Darlehen / Kaufpreis)</t>
  </si>
  <si>
    <t xml:space="preserve">+ Kaufnebenkosten</t>
  </si>
  <si>
    <t xml:space="preserve">Gewichteter Sollzins Jahr 1</t>
  </si>
  <si>
    <t xml:space="preserve">= Einnahmenüberschuss (NOI) Jahr 1</t>
  </si>
  <si>
    <t xml:space="preserve">Abschreibungen gesamt</t>
  </si>
  <si>
    <t xml:space="preserve">+ Finanzierungsnebenkosten</t>
  </si>
  <si>
    <t xml:space="preserve">KAPITALDIENST UND ZINSRISIKO</t>
  </si>
  <si>
    <t xml:space="preserve">+ Maßnahmen Jahr 1</t>
  </si>
  <si>
    <t xml:space="preserve">RENDITE, ANNAHMEN UND BREAK-EVEN</t>
  </si>
  <si>
    <t xml:space="preserve">Kapitaldienst pro Monat (Jahr 1)</t>
  </si>
  <si>
    <t xml:space="preserve">Steuer (+ Zahlung / – Erstattung)</t>
  </si>
  <si>
    <t xml:space="preserve">Bruttomietrendite (Jahresmiete / Kaufpreis)</t>
  </si>
  <si>
    <t xml:space="preserve">Kapitaldienst pro Jahr (Jahr 1)</t>
  </si>
  <si>
    <t xml:space="preserve">Nettomietrendite (NOI / Gesamtinvestition)</t>
  </si>
  <si>
    <t xml:space="preserve">Cashflow nach Steuern pro Monat</t>
  </si>
  <si>
    <t xml:space="preserve">KAUFPREISAUFTEILUNG (AfA-BEMESSUNGSGRUNDLAGE)</t>
  </si>
  <si>
    <t xml:space="preserve">Kaufpreisfaktor (Kaufpreis / Jahresmiete)</t>
  </si>
  <si>
    <t xml:space="preserve">Restschuld nach Zinsbindung (Darlehen I)</t>
  </si>
  <si>
    <t xml:space="preserve">Kumulierter Cashflow nach Steuern</t>
  </si>
  <si>
    <t xml:space="preserve">Bodenanteil am Kaufpreis</t>
  </si>
  <si>
    <t xml:space="preserve">Mietsteigerung · Kosten · Wert p. a.</t>
  </si>
  <si>
    <t xml:space="preserve">Volltilgung (Restschuld = 0)</t>
  </si>
  <si>
    <t xml:space="preserve">Restschuld Jahresende</t>
  </si>
  <si>
    <t xml:space="preserve">AK Grund und Boden (inkl. Nebenkosten)</t>
  </si>
  <si>
    <t xml:space="preserve">Mietausfallwagnis · Leerstand Jahr 1</t>
  </si>
  <si>
    <t xml:space="preserve">Anschlusszins +1 %-Pkt. kostet p. a.</t>
  </si>
  <si>
    <t xml:space="preserve">Immobilienwert Jahresende</t>
  </si>
  <si>
    <t xml:space="preserve">= AfA-Basis Gebäude (inkl. Nebenkosten)</t>
  </si>
  <si>
    <t xml:space="preserve">Eigenkapitalrendite Jahr 1</t>
  </si>
  <si>
    <t xml:space="preserve">Zinsbindung Darlehen I</t>
  </si>
  <si>
    <t xml:space="preserve">Nettovermögen (Wert – Restschuld)</t>
  </si>
  <si>
    <t xml:space="preserve">Bewegliche Gegenstände (eigene AfA)</t>
  </si>
  <si>
    <t xml:space="preserve">Break-even-Miete v. St. / Monat</t>
  </si>
  <si>
    <t xml:space="preserve">Anschlusszins nach Zinsbindung (Annahme)</t>
  </si>
  <si>
    <t xml:space="preserve">Eigenkapitalrendite im Jahr</t>
  </si>
  <si>
    <t xml:space="preserve">Erhaltungsrücklage (nicht abschreibbar)</t>
  </si>
  <si>
    <t xml:space="preserve">Break-even-Miete n. St. / Monat</t>
  </si>
  <si>
    <t xml:space="preserve">Anfängliche Tilgung Darlehen I</t>
  </si>
  <si>
    <t xml:space="preserve">Alle Werte in € p. a.; Jahr 1 = 12 Monate ab Kaufdatum. Vollständige Reihen: Blätter Projektion / Steuern.</t>
  </si>
  <si>
    <t xml:space="preserve">Steuern &amp; AfA Jahr 1</t>
  </si>
  <si>
    <t xml:space="preserve">Steuern ›</t>
  </si>
  <si>
    <t xml:space="preserve">Exit-Szenario nach Haltedauer</t>
  </si>
  <si>
    <t xml:space="preserve">Sensitivität ›</t>
  </si>
  <si>
    <t xml:space="preserve">PRO MONAT</t>
  </si>
  <si>
    <t xml:space="preserve">PRO JAHR</t>
  </si>
  <si>
    <t xml:space="preserve">Verkauf nach</t>
  </si>
  <si>
    <t xml:space="preserve">Steuersatz angewendet (Jahr 1)</t>
  </si>
  <si>
    <t xml:space="preserve">Verkaufspreis (Prognose bzw. Eingabe)</t>
  </si>
  <si>
    <t xml:space="preserve">– Bewirtschaftungskosten (inkl. Rücklagen)</t>
  </si>
  <si>
    <t xml:space="preserve">AfA-Methode angewendet</t>
  </si>
  <si>
    <t xml:space="preserve">– Verkaufskosten</t>
  </si>
  <si>
    <t xml:space="preserve">Reguläre Gebäude-AfA Jahr 1</t>
  </si>
  <si>
    <t xml:space="preserve">– Restschuld (Ablösung)</t>
  </si>
  <si>
    <t xml:space="preserve">+ Sonder-AfA § 7b Jahr 1</t>
  </si>
  <si>
    <t xml:space="preserve">+ Erhöhte Absetzungen § 7h/7i Jahr 1</t>
  </si>
  <si>
    <t xml:space="preserve">Steuerpflichtig?</t>
  </si>
  <si>
    <t xml:space="preserve">– Steuer auf Veräußerungsgewinn</t>
  </si>
  <si>
    <t xml:space="preserve">= Nettoerlös nach Steuern und Ablösung</t>
  </si>
  <si>
    <t xml:space="preserve">Erhaltungsaufwand sofort abziehbar Jahr 1</t>
  </si>
  <si>
    <t xml:space="preserve">+ Kumulierter Cashflow n. St. bis Verkauf</t>
  </si>
  <si>
    <t xml:space="preserve">nachrichtlich: Warmmiete</t>
  </si>
  <si>
    <t xml:space="preserve">Aktivierte Herstellungskosten Jahr 1</t>
  </si>
  <si>
    <t xml:space="preserve">– Eingesetztes Eigenkapital</t>
  </si>
  <si>
    <t xml:space="preserve">AUSBLICK FOLGEJAHR (JAHR 2)</t>
  </si>
  <si>
    <t xml:space="preserve">= Steuerliches Ergebnis Jahr 1</t>
  </si>
  <si>
    <t xml:space="preserve">= Gesamtertrag nach Steuern</t>
  </si>
  <si>
    <t xml:space="preserve">Cashflow vor Steuern Jahr 2</t>
  </si>
  <si>
    <t xml:space="preserve">Cashflow nach Steuern Jahr 2</t>
  </si>
  <si>
    <t xml:space="preserve">Steuereffekt gewählte AfA vs. Standard (10 J.)</t>
  </si>
  <si>
    <t xml:space="preserve">= Eigenkapitalrendite p. a. (IRR n. St.)</t>
  </si>
  <si>
    <t xml:space="preserve">↑ Übersicht</t>
  </si>
  <si>
    <t xml:space="preserve">Diagramme</t>
  </si>
  <si>
    <t xml:space="preserve">Alle Diagramme ›</t>
  </si>
  <si>
    <t xml:space="preserve">DIAGRAMME</t>
  </si>
  <si>
    <t xml:space="preserve">Alle Auswertungen als Grafik – aktualisieren sich automatisch aus den Eingaben (Datenbasis: Projektion, Finanzierung, Steuern).</t>
  </si>
  <si>
    <r>
      <rPr>
        <b val="true"/>
        <sz val="12.5"/>
        <color rgb="FF0B2A4A"/>
        <rFont val="Calibri"/>
        <family val="0"/>
        <charset val="1"/>
      </rPr>
      <t xml:space="preserve">Investition, Finanzierung und Kaufpreisaufteilung</t>
    </r>
    <r>
      <rPr>
        <sz val="9"/>
        <color rgb="FF5B6068"/>
        <rFont val="Calibri"/>
        <family val="0"/>
        <charset val="1"/>
      </rPr>
      <t xml:space="preserve">  · Zeitpunkt Kauf · Anteile</t>
    </r>
  </si>
  <si>
    <r>
      <rPr>
        <b val="true"/>
        <sz val="12.5"/>
        <color rgb="FF0B2A4A"/>
        <rFont val="Calibri"/>
        <family val="0"/>
        <charset val="1"/>
      </rPr>
      <t xml:space="preserve">Einnahmen, Ausgaben und Cashflow</t>
    </r>
    <r>
      <rPr>
        <sz val="9"/>
        <color rgb="FF5B6068"/>
        <rFont val="Calibri"/>
        <family val="0"/>
        <charset val="1"/>
      </rPr>
      <t xml:space="preserve">  · Jahr 1 · Jahre 1–30</t>
    </r>
  </si>
  <si>
    <r>
      <rPr>
        <b val="true"/>
        <sz val="12.5"/>
        <color rgb="FF0B2A4A"/>
        <rFont val="Calibri"/>
        <family val="0"/>
        <charset val="1"/>
      </rPr>
      <t xml:space="preserve">Entwicklung von Vermögen, Darlehen und Cashflow</t>
    </r>
    <r>
      <rPr>
        <sz val="9"/>
        <color rgb="FF5B6068"/>
        <rFont val="Calibri"/>
        <family val="0"/>
        <charset val="1"/>
      </rPr>
      <t xml:space="preserve">  · Jahre 1–35 · Jahresende</t>
    </r>
  </si>
  <si>
    <r>
      <rPr>
        <b val="true"/>
        <sz val="12.5"/>
        <color rgb="FF0B2A4A"/>
        <rFont val="Calibri"/>
        <family val="0"/>
        <charset val="1"/>
      </rPr>
      <t xml:space="preserve">Steuern und Abschreibung</t>
    </r>
    <r>
      <rPr>
        <sz val="9"/>
        <color rgb="FF5B6068"/>
        <rFont val="Calibri"/>
        <family val="0"/>
        <charset val="1"/>
      </rPr>
      <t xml:space="preserve">  · Jahre 1–20 · T€ p. a.</t>
    </r>
  </si>
  <si>
    <r>
      <rPr>
        <b val="true"/>
        <sz val="12.5"/>
        <color rgb="FF0B2A4A"/>
        <rFont val="Calibri"/>
        <family val="0"/>
        <charset val="1"/>
      </rPr>
      <t xml:space="preserve">Exit – Verkauf nach der geplanten Haltedauer</t>
    </r>
    <r>
      <rPr>
        <sz val="9"/>
        <color rgb="FF5B6068"/>
        <rFont val="Calibri"/>
        <family val="0"/>
        <charset val="1"/>
      </rPr>
      <t xml:space="preserve">  · Verkaufsjahr aus Schritt 11</t>
    </r>
  </si>
  <si>
    <r>
      <rPr>
        <b val="true"/>
        <sz val="12.5"/>
        <color rgb="FF0B2A4A"/>
        <rFont val="Calibri"/>
        <family val="0"/>
        <charset val="1"/>
      </rPr>
      <t xml:space="preserve">Diagrammdaten</t>
    </r>
    <r>
      <rPr>
        <sz val="9"/>
        <color rgb="FF5B6068"/>
        <rFont val="Calibri"/>
        <family val="0"/>
        <charset val="1"/>
      </rPr>
      <t xml:space="preserve">  · Anhang eingeklappt – über [+] am linken Rand öffnen · bitte nicht ändern</t>
    </r>
  </si>
  <si>
    <t xml:space="preserve">Gesamtinvestition</t>
  </si>
  <si>
    <t xml:space="preserve">Betrag (€)</t>
  </si>
  <si>
    <t xml:space="preserve">Haushalt (Diagramm)</t>
  </si>
  <si>
    <t xml:space="preserve">Wert</t>
  </si>
  <si>
    <t xml:space="preserve">Sortier</t>
  </si>
  <si>
    <t xml:space="preserve">Rang</t>
  </si>
  <si>
    <t xml:space="preserve">Position</t>
  </si>
  <si>
    <t xml:space="preserve">Label</t>
  </si>
  <si>
    <t xml:space="preserve">Bestand</t>
  </si>
  <si>
    <t xml:space="preserve">Objekt neu</t>
  </si>
  <si>
    <t xml:space="preserve">Vermögen (Diagramm)</t>
  </si>
  <si>
    <t xml:space="preserve">Wert sortiert</t>
  </si>
  <si>
    <t xml:space="preserve">Kreise: Legende</t>
  </si>
  <si>
    <t xml:space="preserve">Wohnen</t>
  </si>
  <si>
    <t xml:space="preserve">Girokonten</t>
  </si>
  <si>
    <t xml:space="preserve">Lebenshaltung</t>
  </si>
  <si>
    <t xml:space="preserve">Tagesgeld / Festgeld</t>
  </si>
  <si>
    <t xml:space="preserve">Mobilität</t>
  </si>
  <si>
    <t xml:space="preserve">Wertpapierdepot</t>
  </si>
  <si>
    <t xml:space="preserve">Maßnahmen Jahr 1</t>
  </si>
  <si>
    <t xml:space="preserve">Versicherungen</t>
  </si>
  <si>
    <t xml:space="preserve">Lebens-/Rentenversicherungen</t>
  </si>
  <si>
    <t xml:space="preserve">Altersvorsorge</t>
  </si>
  <si>
    <t xml:space="preserve">Bausparverträge</t>
  </si>
  <si>
    <t xml:space="preserve">Finanzierungsstruktur</t>
  </si>
  <si>
    <t xml:space="preserve">Freizeit</t>
  </si>
  <si>
    <t xml:space="preserve">Immobilien</t>
  </si>
  <si>
    <t xml:space="preserve">Darlehen I</t>
  </si>
  <si>
    <t xml:space="preserve">Unterhalt</t>
  </si>
  <si>
    <t xml:space="preserve">Unternehmensbeteiligungen</t>
  </si>
  <si>
    <t xml:space="preserve">Darlehen II</t>
  </si>
  <si>
    <t xml:space="preserve">Kredite</t>
  </si>
  <si>
    <t xml:space="preserve">Fahrzeuge</t>
  </si>
  <si>
    <t xml:space="preserve">Eigenkapital</t>
  </si>
  <si>
    <t xml:space="preserve">Bestandsobjekte</t>
  </si>
  <si>
    <t xml:space="preserve">Sonstige Vermögenswerte</t>
  </si>
  <si>
    <t xml:space="preserve">Bestandsdarlehen</t>
  </si>
  <si>
    <t xml:space="preserve">Kapitaldienst neu</t>
  </si>
  <si>
    <t xml:space="preserve">Grund und Boden</t>
  </si>
  <si>
    <t xml:space="preserve">Bewirtschaftung neu</t>
  </si>
  <si>
    <t xml:space="preserve">Gebäude (AfA-fähig)</t>
  </si>
  <si>
    <t xml:space="preserve">Bewegliche Gegenstände</t>
  </si>
  <si>
    <t xml:space="preserve">AfA je Variante (Diagramm)</t>
  </si>
  <si>
    <t xml:space="preserve">Modell</t>
  </si>
  <si>
    <t xml:space="preserve">Anwendbar</t>
  </si>
  <si>
    <t xml:space="preserve">Nicht anw.</t>
  </si>
  <si>
    <t xml:space="preserve">Anteil Erhaltungsrücklage</t>
  </si>
  <si>
    <t xml:space="preserve">Verwendung des Verkaufserlöses</t>
  </si>
  <si>
    <t xml:space="preserve">Steuer auf Veräußerungsgewinn</t>
  </si>
  <si>
    <t xml:space="preserve">Ablösung Restschuld</t>
  </si>
  <si>
    <t xml:space="preserve">Nettoerlös (an Investor)</t>
  </si>
  <si>
    <t xml:space="preserve">Wasserfall (Diagramm)</t>
  </si>
  <si>
    <t xml:space="preserve">Start</t>
  </si>
  <si>
    <t xml:space="preserve">Ende</t>
  </si>
  <si>
    <t xml:space="preserve">Basis</t>
  </si>
  <si>
    <t xml:space="preserve">Zufl. +</t>
  </si>
  <si>
    <t xml:space="preserve">Zufl. −</t>
  </si>
  <si>
    <t xml:space="preserve">Abfl. +</t>
  </si>
  <si>
    <t xml:space="preserve">Abfl. −</t>
  </si>
  <si>
    <t xml:space="preserve">Erg. +</t>
  </si>
  <si>
    <t xml:space="preserve">Erg. −</t>
  </si>
  <si>
    <t xml:space="preserve">Oberkante</t>
  </si>
  <si>
    <t xml:space="preserve">Beschriftung</t>
  </si>
  <si>
    <t xml:space="preserve">Lbl 1</t>
  </si>
  <si>
    <t xml:space="preserve">Lbl 2</t>
  </si>
  <si>
    <t xml:space="preserve">Lbl 3</t>
  </si>
  <si>
    <t xml:space="preserve">Lbl 4</t>
  </si>
  <si>
    <t xml:space="preserve">Cashflow kumuliert</t>
  </si>
  <si>
    <t xml:space="preserve">Nettoerlös Verkauf</t>
  </si>
  <si>
    <t xml:space="preserve">= Gesamtertrag</t>
  </si>
  <si>
    <t xml:space="preserve">Gesamtertrag</t>
  </si>
  <si>
    <t xml:space="preserve">Jahr 1 pro Monat (€)</t>
  </si>
  <si>
    <t xml:space="preserve">Einnahmen</t>
  </si>
  <si>
    <t xml:space="preserve">Ausgaben</t>
  </si>
  <si>
    <t xml:space="preserve">Hilfsreihen Jahr 1 / Namen</t>
  </si>
  <si>
    <t xml:space="preserve">Steuererstattung</t>
  </si>
  <si>
    <t xml:space="preserve">Summe</t>
  </si>
  <si>
    <t xml:space="preserve">Summe vor Steuern</t>
  </si>
  <si>
    <t xml:space="preserve">Steuerzahlung</t>
  </si>
  <si>
    <t xml:space="preserve">Zeitreihen (Jahr 1–40)</t>
  </si>
  <si>
    <t xml:space="preserve">Einheit</t>
  </si>
  <si>
    <t xml:space="preserve">Jahr</t>
  </si>
  <si>
    <t xml:space="preserve">Immobilienwert</t>
  </si>
  <si>
    <t xml:space="preserve">€</t>
  </si>
  <si>
    <t xml:space="preserve">Restschuld Darlehen I</t>
  </si>
  <si>
    <t xml:space="preserve">Restschuld Darlehen II</t>
  </si>
  <si>
    <t xml:space="preserve">Restschuld gesamt</t>
  </si>
  <si>
    <t xml:space="preserve">Nettovermögen</t>
  </si>
  <si>
    <t xml:space="preserve">Kumulierte Zinsen</t>
  </si>
  <si>
    <t xml:space="preserve">Kumulierte Tilgung</t>
  </si>
  <si>
    <t xml:space="preserve">Kumulierte Steuer</t>
  </si>
  <si>
    <t xml:space="preserve">AfA regulär (Gebäude)</t>
  </si>
  <si>
    <t xml:space="preserve">Sonder-AfA § 7b</t>
  </si>
  <si>
    <t xml:space="preserve">Erhöhte Absetzungen § 7h/7i</t>
  </si>
  <si>
    <t xml:space="preserve">AfA bewegliche Gegenstände</t>
  </si>
  <si>
    <t xml:space="preserve">%</t>
  </si>
  <si>
    <t xml:space="preserve">AfA im Modell kumuliert (Diagramm)</t>
  </si>
  <si>
    <t xml:space="preserve">Cashflow n. St. – Überschuss (Diagramm)</t>
  </si>
  <si>
    <t xml:space="preserve">Cashflow n. St. – Unterdeckung (Diagramm)</t>
  </si>
  <si>
    <t xml:space="preserve">EINGABEN  ›  ALLE ANNAHMEN</t>
  </si>
  <si>
    <t xml:space="preserve">Alle Annahmen auf einen Blick – geändert wird im Leitfaden; direkt editierbar sind nur die Profi-Felder für Darlehen II.</t>
  </si>
  <si>
    <r>
      <rPr>
        <sz val="10"/>
        <color rgb="FFE6CB77"/>
        <rFont val="Calibri"/>
        <family val="0"/>
        <charset val="1"/>
      </rPr>
      <t xml:space="preserve">■  </t>
    </r>
    <r>
      <rPr>
        <b val="true"/>
        <sz val="9"/>
        <color rgb="FF1D4F8A"/>
        <rFont val="Calibri"/>
        <family val="0"/>
        <charset val="1"/>
      </rPr>
      <t xml:space="preserve">Eingabe hier</t>
    </r>
    <r>
      <rPr>
        <sz val="10"/>
        <color rgb="FF1D4F8A"/>
        <rFont val="Calibri"/>
        <family val="0"/>
        <charset val="1"/>
      </rPr>
      <t xml:space="preserve">        ■  </t>
    </r>
    <r>
      <rPr>
        <sz val="9"/>
        <color rgb="FF1D4F8A"/>
        <rFont val="Calibri"/>
        <family val="0"/>
        <charset val="1"/>
      </rPr>
      <t xml:space="preserve">aus dem Leitfaden – dort ändern</t>
    </r>
    <r>
      <rPr>
        <sz val="10"/>
        <color rgb="FF1A1D21"/>
        <rFont val="Calibri"/>
        <family val="0"/>
        <charset val="1"/>
      </rPr>
      <t xml:space="preserve">        ■  </t>
    </r>
    <r>
      <rPr>
        <sz val="9"/>
        <color rgb="FF1A1D21"/>
        <rFont val="Calibri"/>
        <family val="0"/>
        <charset val="1"/>
      </rPr>
      <t xml:space="preserve">berechnet</t>
    </r>
  </si>
  <si>
    <r>
      <rPr>
        <b val="true"/>
        <sz val="12.5"/>
        <color rgb="FF4A86C8"/>
        <rFont val="Calibri"/>
        <family val="0"/>
        <charset val="1"/>
      </rPr>
      <t xml:space="preserve">1</t>
    </r>
    <r>
      <rPr>
        <b val="true"/>
        <sz val="12.5"/>
        <color rgb="FF0B2A4A"/>
        <rFont val="Calibri"/>
        <family val="0"/>
        <charset val="1"/>
      </rPr>
      <t xml:space="preserve">   Objekt und Kaufpreis</t>
    </r>
    <r>
      <rPr>
        <sz val="9"/>
        <color rgb="FF5B6068"/>
        <rFont val="Calibri"/>
        <family val="0"/>
        <charset val="1"/>
      </rPr>
      <t xml:space="preserve">   Stammdaten aus Schritt 01 und 02</t>
    </r>
  </si>
  <si>
    <t xml:space="preserve">WERT</t>
  </si>
  <si>
    <t xml:space="preserve">QUELLE</t>
  </si>
  <si>
    <t xml:space="preserve">HINWEIS / STEUERLICHE EINORDNUNG</t>
  </si>
  <si>
    <t xml:space="preserve">S01 ›</t>
  </si>
  <si>
    <t xml:space="preserve">Gewerbeeinheit: keine § 7b-Sonder-AfA, keine degressive AfA; im Betriebsvermögen 3 % linear</t>
  </si>
  <si>
    <t xml:space="preserve">Basis für Miete/m², Instandhaltungsrücklage und die § 7b-Grenzen</t>
  </si>
  <si>
    <t xml:space="preserve">Grundstücksfläche bzw. Miteigentumsanteil</t>
  </si>
  <si>
    <t xml:space="preserve">ETW: Miteigentumsanteil × Grundstücksfläche (lt. Teilungserklärung); nur Bodenrichtwert-Methode</t>
  </si>
  <si>
    <t xml:space="preserve">Baujahr (Jahr der Fertigstellung)</t>
  </si>
  <si>
    <t xml:space="preserve">Steuert AfA-Satz und die Prüfung von § 7b / degressiver AfA</t>
  </si>
  <si>
    <t xml:space="preserve">Kaufdatum (Übergang Nutzen &amp; Lasten)</t>
  </si>
  <si>
    <t xml:space="preserve">Jahr 1 der Kalkulation = erste 12 Monate ab Kauf (keine zeitanteilige AfA im Modell)</t>
  </si>
  <si>
    <t xml:space="preserve">Steuert den Grunderwerbsteuersatz</t>
  </si>
  <si>
    <t xml:space="preserve">S02 ›</t>
  </si>
  <si>
    <t xml:space="preserve">Inkl. mitverkaufter beweglicher Gegenstände und Rücklagenanteil</t>
  </si>
  <si>
    <t xml:space="preserve">Einbauküche, Möbel: grunderwerbsteuerfrei (§ 2 GrEStG), gesondert linear abschreibbar</t>
  </si>
  <si>
    <t xml:space="preserve">Nutzungsdauer bewegliche Gegenstände</t>
  </si>
  <si>
    <t xml:space="preserve">Einbauküche i. d. R. 10 Jahre (BFH IX R 14/15), Möbel 8–13 Jahre (AfA-Tabelle)</t>
  </si>
  <si>
    <t xml:space="preserve">davon Anteil an der Erhaltungsrücklage der WEG</t>
  </si>
  <si>
    <t xml:space="preserve">Gehört nicht zu den Gebäude-AK (nicht abschreibbar), unterliegt aber der GrESt (BFH II R 49/17)</t>
  </si>
  <si>
    <r>
      <rPr>
        <b val="true"/>
        <sz val="12.5"/>
        <color rgb="FF4A86C8"/>
        <rFont val="Calibri"/>
        <family val="0"/>
        <charset val="1"/>
      </rPr>
      <t xml:space="preserve">2</t>
    </r>
    <r>
      <rPr>
        <b val="true"/>
        <sz val="12.5"/>
        <color rgb="FF0B2A4A"/>
        <rFont val="Calibri"/>
        <family val="0"/>
        <charset val="1"/>
      </rPr>
      <t xml:space="preserve">   Kaufnebenkosten</t>
    </r>
    <r>
      <rPr>
        <sz val="9"/>
        <color rgb="FF5B6068"/>
        <rFont val="Calibri"/>
        <family val="0"/>
        <charset val="1"/>
      </rPr>
      <t xml:space="preserve">   Anschaffungsnebenkosten – anteilig mit dem Gebäude abgeschrieben</t>
    </r>
  </si>
  <si>
    <t xml:space="preserve">Grunderwerbsteuersatz abweichend</t>
  </si>
  <si>
    <t xml:space="preserve">S03 ›</t>
  </si>
  <si>
    <t xml:space="preserve">Leer = automatisch nach Bundesland – nur ausfüllen, wenn ein abweichender Satz gelten soll</t>
  </si>
  <si>
    <t xml:space="preserve">Grunderwerbsteuersatz (angewendet)</t>
  </si>
  <si>
    <t xml:space="preserve">Bemessungsgrundlage ohne gesondert ausgewiesene bewegliche Gegenstände</t>
  </si>
  <si>
    <t xml:space="preserve">Üblich 1,0 – 1,5 % des Kaufpreises</t>
  </si>
  <si>
    <t xml:space="preserve">Grundbuchamt (Eigentumsumschreibung)</t>
  </si>
  <si>
    <t xml:space="preserve">Üblich ca. 0,5 %</t>
  </si>
  <si>
    <t xml:space="preserve">Z. B. 3,57 % (3 % zzgl. 19 % USt)</t>
  </si>
  <si>
    <t xml:space="preserve">Gutachten, Fahrtkosten, Übersetzungen – Anschaffungsnebenkosten, sofern objektbezogen</t>
  </si>
  <si>
    <t xml:space="preserve">Notar – Betrag</t>
  </si>
  <si>
    <t xml:space="preserve">Grundbuch – Betrag</t>
  </si>
  <si>
    <t xml:space="preserve">Makler – Betrag</t>
  </si>
  <si>
    <t xml:space="preserve">Summe Kaufnebenkosten</t>
  </si>
  <si>
    <r>
      <rPr>
        <b val="true"/>
        <sz val="12.5"/>
        <color rgb="FF4A86C8"/>
        <rFont val="Calibri"/>
        <family val="0"/>
        <charset val="1"/>
      </rPr>
      <t xml:space="preserve">3</t>
    </r>
    <r>
      <rPr>
        <b val="true"/>
        <sz val="12.5"/>
        <color rgb="FF0B2A4A"/>
        <rFont val="Calibri"/>
        <family val="0"/>
        <charset val="1"/>
      </rPr>
      <t xml:space="preserve">   Finanzierungsnebenkosten</t>
    </r>
    <r>
      <rPr>
        <sz val="9"/>
        <color rgb="FF5B6068"/>
        <rFont val="Calibri"/>
        <family val="0"/>
        <charset val="1"/>
      </rPr>
      <t xml:space="preserve">   sofort abziehbare Werbungskosten bzw. Betriebsausgaben</t>
    </r>
  </si>
  <si>
    <t xml:space="preserve">Grundschuldbestellung (Notar + Grundbuch)</t>
  </si>
  <si>
    <t xml:space="preserve">vom Darlehen</t>
  </si>
  <si>
    <t xml:space="preserve">S07 ›</t>
  </si>
  <si>
    <t xml:space="preserve">Ca. 0,4 – 0,6 % der Darlehenssumme; Finanzierungskosten, sofort abziehbar</t>
  </si>
  <si>
    <t xml:space="preserve">Bearbeitungsgebühr / Wertermittlung / Vermittlung</t>
  </si>
  <si>
    <t xml:space="preserve">Bank bzw. Vermittler – sofort abziehbar im Jahr der Zahlung</t>
  </si>
  <si>
    <t xml:space="preserve">Bis 5 % bei ≥ 5 Jahren Zinsbindung sofort abziehbar, sonst Verteilung über die Zinsbindung</t>
  </si>
  <si>
    <t xml:space="preserve">Grundschuldbestellung – Betrag</t>
  </si>
  <si>
    <t xml:space="preserve">Disagio – Betrag</t>
  </si>
  <si>
    <t xml:space="preserve">Erhöht den Kapitalbedarf (geringere Auszahlung)</t>
  </si>
  <si>
    <t xml:space="preserve">Summe Finanzierungsnebenkosten</t>
  </si>
  <si>
    <r>
      <rPr>
        <b val="true"/>
        <sz val="12.5"/>
        <color rgb="FF4A86C8"/>
        <rFont val="Calibri"/>
        <family val="0"/>
        <charset val="1"/>
      </rPr>
      <t xml:space="preserve">4</t>
    </r>
    <r>
      <rPr>
        <b val="true"/>
        <sz val="12.5"/>
        <color rgb="FF0B2A4A"/>
        <rFont val="Calibri"/>
        <family val="0"/>
        <charset val="1"/>
      </rPr>
      <t xml:space="preserve">   Kaufpreisaufteilung</t>
    </r>
    <r>
      <rPr>
        <sz val="9"/>
        <color rgb="FF5B6068"/>
        <rFont val="Calibri"/>
        <family val="0"/>
        <charset val="1"/>
      </rPr>
      <t xml:space="preserve">   Grund und Boden / Gebäude · AfA-Bemessungsgrundlage</t>
    </r>
  </si>
  <si>
    <t xml:space="preserve">S04 ›</t>
  </si>
  <si>
    <t xml:space="preserve">BMF-Arbeitshilfe; abweichend per Gutachten oder plausibler Kaufvertragsaufteilung (BFH IX R 26/19)</t>
  </si>
  <si>
    <t xml:space="preserve">Lt. Gutachterausschuss / BORIS des Bundeslandes (Methode 1)</t>
  </si>
  <si>
    <t xml:space="preserve">Nur Methode 2</t>
  </si>
  <si>
    <t xml:space="preserve">Gebäudewert lt. Gutachten / Kaufvertrag</t>
  </si>
  <si>
    <t xml:space="preserve">Nur Methode 3 (ohne bewegliche Gegenstände)</t>
  </si>
  <si>
    <t xml:space="preserve">Kaufpreis Immobilie (ohne Inventar und Rücklage)</t>
  </si>
  <si>
    <t xml:space="preserve">Anschaffungskosten Grund und Boden</t>
  </si>
  <si>
    <t xml:space="preserve">Inkl. anteiliger Kaufnebenkosten; nicht abschreibbar</t>
  </si>
  <si>
    <t xml:space="preserve">Anschaffungskosten Gebäude = AfA-Basis</t>
  </si>
  <si>
    <t xml:space="preserve">Inkl. anteiliger Kaufnebenkosten</t>
  </si>
  <si>
    <t xml:space="preserve">Anschaffungskosten gesamt</t>
  </si>
  <si>
    <t xml:space="preserve">Kaufpreis + Kaufnebenkosten</t>
  </si>
  <si>
    <r>
      <rPr>
        <b val="true"/>
        <sz val="12.5"/>
        <color rgb="FF4A86C8"/>
        <rFont val="Calibri"/>
        <family val="0"/>
        <charset val="1"/>
      </rPr>
      <t xml:space="preserve">5</t>
    </r>
    <r>
      <rPr>
        <b val="true"/>
        <sz val="12.5"/>
        <color rgb="FF0B2A4A"/>
        <rFont val="Calibri"/>
        <family val="0"/>
        <charset val="1"/>
      </rPr>
      <t xml:space="preserve">   Maßnahmen nach Erwerb</t>
    </r>
    <r>
      <rPr>
        <sz val="9"/>
        <color rgb="FF5B6068"/>
        <rFont val="Calibri"/>
        <family val="0"/>
        <charset val="1"/>
      </rPr>
      <t xml:space="preserve">   Renovierung, Sonderumlagen, Reserven</t>
    </r>
  </si>
  <si>
    <t xml:space="preserve">Renovierung / Modernisierung im Jahr 1 (brutto)</t>
  </si>
  <si>
    <t xml:space="preserve">S05 ›</t>
  </si>
  <si>
    <t xml:space="preserve">Renovierung / Modernisierung im Jahr 2 (brutto)</t>
  </si>
  <si>
    <t xml:space="preserve">Aus laufendem Cashflow / Eigenkapital</t>
  </si>
  <si>
    <t xml:space="preserve">Renovierung / Modernisierung im Jahr 3 (brutto)</t>
  </si>
  <si>
    <t xml:space="preserve">Jahre 1–3 zählen für die 15 %-Grenze (§ 6 Abs. 1 Nr. 1a EStG)</t>
  </si>
  <si>
    <t xml:space="preserve">Geplante Sonderumlagen der WEG im Jahr 1</t>
  </si>
  <si>
    <t xml:space="preserve">Instandsetzungs-Sonderumlagen: Erhaltungsaufwand, zählen ebenfalls zur 15 %-Grenze</t>
  </si>
  <si>
    <t xml:space="preserve">Steuerliche Behandlung der Maßnahmen</t>
  </si>
  <si>
    <t xml:space="preserve">Automatik: netto &gt; 15 % der Gebäude-AK in 3 Jahren → Herstellungskosten (AfA statt Sofortabzug)</t>
  </si>
  <si>
    <t xml:space="preserve">Verteilung Erhaltungsaufwand (§ 82b EStDV)</t>
  </si>
  <si>
    <t xml:space="preserve">1 Jahr = Sofortabzug; 2–5 Jahre = gleichmäßige Verteilung (nur Privatvermögen, Wohngebäude)</t>
  </si>
  <si>
    <t xml:space="preserve">Wertsteigernder Anteil der Maßnahmen</t>
  </si>
  <si>
    <t xml:space="preserve">Anteil, um den der Objektwert steigt (Prognose)</t>
  </si>
  <si>
    <t xml:space="preserve">Liquiditätsreserve einmalig</t>
  </si>
  <si>
    <t xml:space="preserve">Nicht steuerrelevant, z. B. Mieterwechsel – erhöht nur den Eigenkapitalbedarf</t>
  </si>
  <si>
    <t xml:space="preserve">Summe Maßnahmen (Jahre 1–3, brutto)</t>
  </si>
  <si>
    <t xml:space="preserve">Summe Maßnahmen netto (ohne USt)</t>
  </si>
  <si>
    <t xml:space="preserve">15 %-Grenze (Anschaffungskosten Gebäude × 15 %)</t>
  </si>
  <si>
    <r>
      <rPr>
        <b val="true"/>
        <sz val="12.5"/>
        <color rgb="FF4A86C8"/>
        <rFont val="Calibri"/>
        <family val="0"/>
        <charset val="1"/>
      </rPr>
      <t xml:space="preserve">6</t>
    </r>
    <r>
      <rPr>
        <b val="true"/>
        <sz val="12.5"/>
        <color rgb="FF0B2A4A"/>
        <rFont val="Calibri"/>
        <family val="0"/>
        <charset val="1"/>
      </rPr>
      <t xml:space="preserve">   Miete und Bewirtschaftung</t>
    </r>
    <r>
      <rPr>
        <sz val="9"/>
        <color rgb="FF5B6068"/>
        <rFont val="Calibri"/>
        <family val="0"/>
        <charset val="1"/>
      </rPr>
      <t xml:space="preserve">   Monatswerte, Stand Kauf</t>
    </r>
  </si>
  <si>
    <t xml:space="preserve">Soll-Miete lt. Mietvertrag bzw. Marktmiete bei Neuvermietung</t>
  </si>
  <si>
    <t xml:space="preserve">Vorauszahlung Mieter – Durchlaufposten (inkl. Grundsteuer); Information für Warmmiete</t>
  </si>
  <si>
    <t xml:space="preserve">S06 ›</t>
  </si>
  <si>
    <t xml:space="preserve">Lt. Wirtschaftsplan</t>
  </si>
  <si>
    <t xml:space="preserve">davon Zuführung zur Erhaltungsrücklage</t>
  </si>
  <si>
    <t xml:space="preserve">Im nicht umlagefähigen Hausgeld enthalten – steuerlich erst bei Verausgabung (BFH IX R 19/24)</t>
  </si>
  <si>
    <t xml:space="preserve">Mietverwaltung / Sondereigentumsverwaltung</t>
  </si>
  <si>
    <t xml:space="preserve">Kalkulatorisch (Liquidität), nicht steuerwirksam bis zur Verausgabung; Faustwert 8–15 €/m²</t>
  </si>
  <si>
    <t xml:space="preserve">Kalkulatorisch 2–4 %</t>
  </si>
  <si>
    <t xml:space="preserve">Anfangsleerstand (Renovierung / Neuvermietung)</t>
  </si>
  <si>
    <t xml:space="preserve">Reduziert die Miete im Jahr 1</t>
  </si>
  <si>
    <t xml:space="preserve">Sonstige Werbungskosten p. a.</t>
  </si>
  <si>
    <t xml:space="preserve">S11 ›</t>
  </si>
  <si>
    <t xml:space="preserve">Prognose; Mietpreisbremse / Kappungsgrenze beachten</t>
  </si>
  <si>
    <t xml:space="preserve">Miete je m²</t>
  </si>
  <si>
    <r>
      <rPr>
        <b val="true"/>
        <sz val="12.5"/>
        <color rgb="FF4A86C8"/>
        <rFont val="Calibri"/>
        <family val="0"/>
        <charset val="1"/>
      </rPr>
      <t xml:space="preserve">7</t>
    </r>
    <r>
      <rPr>
        <b val="true"/>
        <sz val="12.5"/>
        <color rgb="FF0B2A4A"/>
        <rFont val="Calibri"/>
        <family val="0"/>
        <charset val="1"/>
      </rPr>
      <t xml:space="preserve">   Finanzierung</t>
    </r>
    <r>
      <rPr>
        <sz val="9"/>
        <color rgb="FF5B6068"/>
        <rFont val="Calibri"/>
        <family val="0"/>
        <charset val="1"/>
      </rPr>
      <t xml:space="preserve">   Darlehen II nur hier eingeben</t>
    </r>
  </si>
  <si>
    <t xml:space="preserve">Darlehen I – Anschlusszins (Annahme)</t>
  </si>
  <si>
    <t xml:space="preserve">Nach Ablauf der Zinsbindung – Zinsänderungsrisiko; Annuität bleibt konstant</t>
  </si>
  <si>
    <t xml:space="preserve">Darlehen I – tilgungsfreie Anlaufjahre</t>
  </si>
  <si>
    <t xml:space="preserve">Darlehen II (z. B. KfW) – Betrag</t>
  </si>
  <si>
    <t xml:space="preserve">KfW 261/297/298 oder Nachrangdarlehen</t>
  </si>
  <si>
    <t xml:space="preserve">Darlehen II – Sollzins p. a.</t>
  </si>
  <si>
    <t xml:space="preserve">Darlehen II – anfängliche Tilgung p. a.</t>
  </si>
  <si>
    <t xml:space="preserve">Darlehen II – Zinsbindung</t>
  </si>
  <si>
    <t xml:space="preserve">Darlehen II – Anschlusszins (Annahme)</t>
  </si>
  <si>
    <t xml:space="preserve">Darlehen II – Sondertilgung p. a.</t>
  </si>
  <si>
    <t xml:space="preserve">Darlehen II – tilgungsfreie Anlaufjahre</t>
  </si>
  <si>
    <t xml:space="preserve">KfW: i. d. R. 1–5 Jahre</t>
  </si>
  <si>
    <t xml:space="preserve">Darlehen II – Tilgungszuschuss (KfW)</t>
  </si>
  <si>
    <t xml:space="preserve">Wird im Jahr 1 der Restschuld gutgeschrieben (kein Zufluss beim Investor)</t>
  </si>
  <si>
    <t xml:space="preserve">Summe Darlehen</t>
  </si>
  <si>
    <t xml:space="preserve">Kaufpreis + Kaufnebenkosten + Finanzierungsnebenkosten + Maßnahmen Jahr 1</t>
  </si>
  <si>
    <t xml:space="preserve">Eigenkapital (Gesamtinvestition – Darlehen)</t>
  </si>
  <si>
    <t xml:space="preserve">Eigenkapitalbedarf inkl. Liquiditätsreserve</t>
  </si>
  <si>
    <r>
      <rPr>
        <b val="true"/>
        <sz val="12.5"/>
        <color rgb="FF4A86C8"/>
        <rFont val="Calibri"/>
        <family val="0"/>
        <charset val="1"/>
      </rPr>
      <t xml:space="preserve">8</t>
    </r>
    <r>
      <rPr>
        <b val="true"/>
        <sz val="12.5"/>
        <color rgb="FF0B2A4A"/>
        <rFont val="Calibri"/>
        <family val="0"/>
        <charset val="1"/>
      </rPr>
      <t xml:space="preserve">   Steuerliche Optionen</t>
    </r>
    <r>
      <rPr>
        <sz val="9"/>
        <color rgb="FF5B6068"/>
        <rFont val="Calibri"/>
        <family val="0"/>
        <charset val="1"/>
      </rPr>
      <t xml:space="preserve">   Rechtsstand September 2026</t>
    </r>
  </si>
  <si>
    <t xml:space="preserve">Start ›</t>
  </si>
  <si>
    <t xml:space="preserve">Privat: ESt-Grenzsteuersatz, Verlustverrechnung, 10-Jahres-Frist · GmbH: KSt (15 % → 10 % ab 2032) + Soli, Verkauf immer steuerpflichtig</t>
  </si>
  <si>
    <t xml:space="preserve">Veranlagung (nur Privatperson)</t>
  </si>
  <si>
    <t xml:space="preserve">S09 ›</t>
  </si>
  <si>
    <t xml:space="preserve">Zu versteuerndes Einkommen ohne dieses Objekt</t>
  </si>
  <si>
    <t xml:space="preserve">Nur Privatperson – Basis für den Grenzsteuersatz nach Tarif 2026</t>
  </si>
  <si>
    <t xml:space="preserve">Leer = automatisch nach Tarif 2026 – z. B. 42 % oder 45 %</t>
  </si>
  <si>
    <t xml:space="preserve">Solidaritätszuschlag (nur Privatperson)</t>
  </si>
  <si>
    <t xml:space="preserve">Nein, wenn die ESt unter der Freigrenze bleibt (2026: 20.350 € Einzel / 40.700 € Zusammen)</t>
  </si>
  <si>
    <t xml:space="preserve">Kirchensteuer (nur Privatperson)</t>
  </si>
  <si>
    <t xml:space="preserve">Sonderausgabenabzug der KiSt wird in der Belastung berücksichtigt</t>
  </si>
  <si>
    <t xml:space="preserve">Gewerbesteuer-Hebesatz (nur gewerbliche GmbH)</t>
  </si>
  <si>
    <t xml:space="preserve">Ohne erweiterte Kürzung, z. B. 400 %; mit erweiterter Kürzung entfällt die GewSt auf Mieterträge</t>
  </si>
  <si>
    <t xml:space="preserve">S10 ›</t>
  </si>
  <si>
    <t xml:space="preserve">Degressive AfA nur bei Baubeginn 1.10.2023 – 30.9.2029 (Wohngebäude); Wechsel zur linearen Restwert-AfA zulässig</t>
  </si>
  <si>
    <t xml:space="preserve">Nur Methode Gutachten: kürzere Nutzungsdauer per Gutachten (BFH IX R 25/19; BMF 22.2.2023)</t>
  </si>
  <si>
    <t xml:space="preserve">Automatisch, sobald vorteilhaft (§ 7 Abs. 5a S. 4 EStG): linear nach Restwert und Restnutzungsdauer</t>
  </si>
  <si>
    <t xml:space="preserve">Sonder-AfA § 7b EStG (Mietwohnungsneubau)</t>
  </si>
  <si>
    <t xml:space="preserve">5 % p. a. für 4 Jahre; Bauantrag 1.1.2023 – 30.9.2029, EH 40 + QNG, Baukosten ≤ 5.200 €/m²</t>
  </si>
  <si>
    <t xml:space="preserve">Erhöhte Absetzungen § 7h / § 7i EStG</t>
  </si>
  <si>
    <t xml:space="preserve">Sanierungsgebiet / Baudenkmal: 9 % p. a. (Jahre 1–8), 7 % p. a. (Jahre 9–12) auf bescheinigte Kosten</t>
  </si>
  <si>
    <t xml:space="preserve">Begünstigte Sanierungskosten § 7h / § 7i</t>
  </si>
  <si>
    <t xml:space="preserve">Im Kaufpreis enthalten – lt. Bescheinigung der Denkmal-/Gemeindebehörde (Bauträgermodell)</t>
  </si>
  <si>
    <t xml:space="preserve">GmbH: immer Verlustvortrag (§ 10d EStG i. V. m. § 8 KStG)</t>
  </si>
  <si>
    <t xml:space="preserve">Tarifbasis (zvE bzw. zvE/2 bei Splitting)</t>
  </si>
  <si>
    <t xml:space="preserve">Grenzsteuersatz angewendet</t>
  </si>
  <si>
    <t xml:space="preserve">Grenzbelastung Privat (ESt + Soli + KiSt)</t>
  </si>
  <si>
    <t xml:space="preserve">Steuersatz GmbH im Jahr 1 (KSt + Soli + ggf. GewSt)</t>
  </si>
  <si>
    <r>
      <rPr>
        <b val="true"/>
        <sz val="12.5"/>
        <color rgb="FF4A86C8"/>
        <rFont val="Calibri"/>
        <family val="0"/>
        <charset val="1"/>
      </rPr>
      <t xml:space="preserve">9</t>
    </r>
    <r>
      <rPr>
        <b val="true"/>
        <sz val="12.5"/>
        <color rgb="FF0B2A4A"/>
        <rFont val="Calibri"/>
        <family val="0"/>
        <charset val="1"/>
      </rPr>
      <t xml:space="preserve">   Verkaufsszenario</t>
    </r>
    <r>
      <rPr>
        <sz val="9"/>
        <color rgb="FF5B6068"/>
        <rFont val="Calibri"/>
        <family val="0"/>
        <charset val="1"/>
      </rPr>
      <t xml:space="preserve">   Exit am Ende der Haltedauer</t>
    </r>
  </si>
  <si>
    <t xml:space="preserve">Privatvermögen: Verkauf nach mehr als 10 Jahren steuerfrei (§ 23 EStG)</t>
  </si>
  <si>
    <t xml:space="preserve">Verkaufskosten (Makler, Notar, Löschung)</t>
  </si>
  <si>
    <t xml:space="preserve">vom VK-Preis</t>
  </si>
  <si>
    <t xml:space="preserve">Leer = Wertentwicklung lt. Prognose</t>
  </si>
  <si>
    <t xml:space="preserve">BERECHNUNG  ›  PROJEKTION</t>
  </si>
  <si>
    <t xml:space="preserve">Projektion</t>
  </si>
  <si>
    <t xml:space="preserve">Eingaben dazu: S11 Prognose &amp; Exit  ›</t>
  </si>
  <si>
    <t xml:space="preserve">Miete, Kosten, Cashflow und Vermögen über 40 Jahre  ·  Beträge in € pro Jahr</t>
  </si>
  <si>
    <r>
      <rPr>
        <b val="true"/>
        <sz val="8.5"/>
        <color rgb="FF4A86C8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Verkaufsjahr   ·   </t>
    </r>
    <r>
      <rPr>
        <b val="true"/>
        <sz val="8.5"/>
        <color rgb="FFB42318"/>
        <rFont val="Calibri"/>
        <family val="0"/>
        <charset val="1"/>
      </rPr>
      <t xml:space="preserve">● </t>
    </r>
    <r>
      <rPr>
        <sz val="8.5"/>
        <color rgb="FF5B6068"/>
        <rFont val="Calibri"/>
        <family val="0"/>
        <charset val="1"/>
      </rPr>
      <t xml:space="preserve">negatives Ergebnis   ·   Steuer: + Zahlung / – Erstattung   ·   Jahr 1 = erste 12 Monate ab Kauf</t>
    </r>
  </si>
  <si>
    <t xml:space="preserve">Jahr der Kalkulation</t>
  </si>
  <si>
    <t xml:space="preserve">Jahr 0</t>
  </si>
  <si>
    <t xml:space="preserve">Kauf</t>
  </si>
  <si>
    <t xml:space="preserve">Mieteinnahmen</t>
  </si>
  <si>
    <t xml:space="preserve">Nettokaltmiete Soll</t>
  </si>
  <si>
    <t xml:space="preserve">– Leerstand / Mietausfallwagnis</t>
  </si>
  <si>
    <t xml:space="preserve">= Nettokaltmiete Ist</t>
  </si>
  <si>
    <t xml:space="preserve">Umlagefähige Betriebskosten (Durchlaufposten)</t>
  </si>
  <si>
    <t xml:space="preserve">Warmmiete</t>
  </si>
  <si>
    <r>
      <rPr>
        <b val="true"/>
        <sz val="12.5"/>
        <color rgb="FF0B2A4A"/>
        <rFont val="Calibri"/>
        <family val="0"/>
        <charset val="1"/>
      </rPr>
      <t xml:space="preserve">Bewirtschaftungskosten</t>
    </r>
    <r>
      <rPr>
        <sz val="9"/>
        <color rgb="FF5B6068"/>
        <rFont val="Calibri"/>
        <family val="0"/>
        <charset val="1"/>
      </rPr>
      <t xml:space="preserve">  · nicht umlagefähig, Zahlungsabfluss</t>
    </r>
  </si>
  <si>
    <t xml:space="preserve">Hausgeld nicht umlagefähig (ohne Rücklagenzuführung)</t>
  </si>
  <si>
    <t xml:space="preserve">Zuführung Erhaltungsrücklage WEG</t>
  </si>
  <si>
    <t xml:space="preserve">Mietverwaltung / SEV</t>
  </si>
  <si>
    <t xml:space="preserve">Eigene Instandhaltungsrücklage (kalkulatorisch)</t>
  </si>
  <si>
    <t xml:space="preserve">Renovierung Jahre 2–3 (Jahr 1 in der Investition enthalten)</t>
  </si>
  <si>
    <t xml:space="preserve">= Bewirtschaftungskosten gesamt</t>
  </si>
  <si>
    <t xml:space="preserve">Cashflow</t>
  </si>
  <si>
    <t xml:space="preserve">= Einnahmenüberschuss vor Finanzierung (NOI)</t>
  </si>
  <si>
    <t xml:space="preserve">Tilgung (inkl. Sondertilgung)</t>
  </si>
  <si>
    <t xml:space="preserve">– Kapitaldienst (Zinsen + Tilgung inkl. Sondertilgung)</t>
  </si>
  <si>
    <t xml:space="preserve">Info: Steuerliches Ergebnis</t>
  </si>
  <si>
    <t xml:space="preserve">– Steuer (+ Zahlung / – Erstattung)</t>
  </si>
  <si>
    <t xml:space="preserve">Immobilienwert Jahresende (Prognose)</t>
  </si>
  <si>
    <t xml:space="preserve">– Restschuld Jahresende</t>
  </si>
  <si>
    <t xml:space="preserve">Vermögenszuwachs im Jahr</t>
  </si>
  <si>
    <t xml:space="preserve">Eigenkapitalrendite (Vermögenszuwachs / Eigenkapital)</t>
  </si>
  <si>
    <r>
      <rPr>
        <b val="true"/>
        <sz val="12.5"/>
        <color rgb="FF0B2A4A"/>
        <rFont val="Calibri"/>
        <family val="0"/>
        <charset val="1"/>
      </rPr>
      <t xml:space="preserve">Exit-Cashflow</t>
    </r>
    <r>
      <rPr>
        <sz val="9"/>
        <color rgb="FF5B6068"/>
        <rFont val="Calibri"/>
        <family val="0"/>
        <charset val="1"/>
      </rPr>
      <t xml:space="preserve">  · Basis für die Eigenkapitalrendite (IRR)</t>
    </r>
  </si>
  <si>
    <t xml:space="preserve">= Exit-Cashflow (Jahr 0 = Eigenkapitaleinsatz)</t>
  </si>
  <si>
    <t xml:space="preserve">STEUERN  ›  STEUER-TABELLE</t>
  </si>
  <si>
    <t xml:space="preserve">Steuer-Tabelle</t>
  </si>
  <si>
    <t xml:space="preserve">Eingaben dazu: S09 Steuern  ›</t>
  </si>
  <si>
    <t xml:space="preserve">Abgeleitete Parameter, AfA-Verlauf und steuerliches Ergebnis über 40 Jahre</t>
  </si>
  <si>
    <r>
      <rPr>
        <b val="true"/>
        <sz val="8.5"/>
        <color rgb="FF4A86C8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Verkaufsjahr   ·   </t>
    </r>
    <r>
      <rPr>
        <b val="true"/>
        <sz val="8.5"/>
        <color rgb="FFB42318"/>
        <rFont val="Calibri"/>
        <family val="0"/>
        <charset val="1"/>
      </rPr>
      <t xml:space="preserve">● </t>
    </r>
    <r>
      <rPr>
        <sz val="8.5"/>
        <color rgb="FF5B6068"/>
        <rFont val="Calibri"/>
        <family val="0"/>
        <charset val="1"/>
      </rPr>
      <t xml:space="preserve">negatives Ergebnis   ·   Steuer: + Zahlung / – Erstattung (Verrechnung mit anderen Einkünften)</t>
    </r>
  </si>
  <si>
    <r>
      <rPr>
        <b val="true"/>
        <sz val="12.5"/>
        <color rgb="FF0B2A4A"/>
        <rFont val="Calibri"/>
        <family val="0"/>
        <charset val="1"/>
      </rPr>
      <t xml:space="preserve">Abgeleitete steuerliche Parameter</t>
    </r>
    <r>
      <rPr>
        <sz val="9"/>
        <color rgb="FF5B6068"/>
        <rFont val="Calibri"/>
        <family val="0"/>
        <charset val="1"/>
      </rPr>
      <t xml:space="preserve">  · über die Gliederung links einklappbar</t>
    </r>
  </si>
  <si>
    <t xml:space="preserve">↓ Jahrestabelle</t>
  </si>
  <si>
    <t xml:space="preserve">↓ Verkaufsszenario</t>
  </si>
  <si>
    <t xml:space="preserve">Index Objektart (technisch)</t>
  </si>
  <si>
    <t xml:space="preserve">Index Methode Kaufpreisaufteilung (technisch)</t>
  </si>
  <si>
    <t xml:space="preserve">Index Behandlung Renovierung (technisch)</t>
  </si>
  <si>
    <t xml:space="preserve">Index Rechtsform (technisch)</t>
  </si>
  <si>
    <t xml:space="preserve">1 = Privat, 2 = vvGmbH, 3 = GmbH gewerblich</t>
  </si>
  <si>
    <t xml:space="preserve">Index Veranlagung (technisch)</t>
  </si>
  <si>
    <t xml:space="preserve">Index Kirchensteuer (technisch)</t>
  </si>
  <si>
    <t xml:space="preserve">Index AfA-Methode (gewählt)</t>
  </si>
  <si>
    <t xml:space="preserve">Index Verlustverrechnung (technisch)</t>
  </si>
  <si>
    <t xml:space="preserve">Wohngebäude</t>
  </si>
  <si>
    <t xml:space="preserve">Gewerbeeinheit: keine § 7b / keine degressive AfA</t>
  </si>
  <si>
    <t xml:space="preserve">Solidaritätszuschlag effektiv</t>
  </si>
  <si>
    <t xml:space="preserve">auf die ESt (Privat); GmbH: separat auf die KSt</t>
  </si>
  <si>
    <t xml:space="preserve">Kirchensteuersatz effektiv</t>
  </si>
  <si>
    <t xml:space="preserve">Gewerbesteuersatz effektiv (Messzahl × Hebesatz)</t>
  </si>
  <si>
    <t xml:space="preserve">0 bei Privatperson und bei erweiterter Kürzung</t>
  </si>
  <si>
    <t xml:space="preserve">Sofortige Verlustverrechnung</t>
  </si>
  <si>
    <t xml:space="preserve">sonst Verlustvortrag</t>
  </si>
  <si>
    <t xml:space="preserve">Verteilungszeitraum Erhaltungsaufwand (angewendet)</t>
  </si>
  <si>
    <t xml:space="preserve">§ 82b EStDV nur im Privatvermögen</t>
  </si>
  <si>
    <t xml:space="preserve">Disagio sofort abziehbar</t>
  </si>
  <si>
    <t xml:space="preserve">sonst Verteilung über die Zinsbindung</t>
  </si>
  <si>
    <t xml:space="preserve">AfA-Methode angewendet (Index)</t>
  </si>
  <si>
    <t xml:space="preserve">Fallback auf „Automatisch“, wenn Voraussetzungen fehlen (siehe Prüfhinweise im Cockpit)</t>
  </si>
  <si>
    <t xml:space="preserve">Linearer AfA-Satz nach Baujahr (Standard)</t>
  </si>
  <si>
    <t xml:space="preserve">§ 7 Abs. 4 S. 1 EStG</t>
  </si>
  <si>
    <t xml:space="preserve">Linearer AfA-Satz angewendet</t>
  </si>
  <si>
    <t xml:space="preserve">bei degressiver Methode: Satz für den späteren Wechsel (3 %)</t>
  </si>
  <si>
    <t xml:space="preserve">Typisierte Nutzungsdauer</t>
  </si>
  <si>
    <t xml:space="preserve">Basis für Restwert-AfA nach § 7a Abs. 9 / § 7 Abs. 5a S. 4 EStG</t>
  </si>
  <si>
    <t xml:space="preserve">Degressive AfA aktiv</t>
  </si>
  <si>
    <t xml:space="preserve">Begünstigte Sanierungskosten § 7h/7i (angewendet)</t>
  </si>
  <si>
    <t xml:space="preserve">AfA-Bemessungsgrundlage Gebäude (ohne Sanierungsanteil)</t>
  </si>
  <si>
    <t xml:space="preserve">zzgl. später aktivierter Herstellungskosten</t>
  </si>
  <si>
    <t xml:space="preserve">Anschaffungskosten Gebäude je m² Wohnfläche</t>
  </si>
  <si>
    <t xml:space="preserve">Prüfgröße § 7b (Obergrenze 5.200 €/m²)</t>
  </si>
  <si>
    <t xml:space="preserve">Sonder-AfA § 7b aktiv</t>
  </si>
  <si>
    <t xml:space="preserve">Neubau ab 2023, Wohnzwecke, Baukostenobergrenze eingehalten</t>
  </si>
  <si>
    <t xml:space="preserve">Sonder-AfA § 7b – Bemessungsgrundlage</t>
  </si>
  <si>
    <t xml:space="preserve">max. 4.000 €/m²</t>
  </si>
  <si>
    <t xml:space="preserve">Sonder-AfA § 7b p. a. (Jahre 1–4)</t>
  </si>
  <si>
    <t xml:space="preserve">Renovierung als Herstellungskosten aktivieren</t>
  </si>
  <si>
    <t xml:space="preserve">§ 6 Abs. 1 Nr. 1a EStG</t>
  </si>
  <si>
    <t xml:space="preserve">Maßnahmen Jahr 1 (Renovierung + Sonderumlage)</t>
  </si>
  <si>
    <t xml:space="preserve">Standard-AfA Jahr 1 (linear nach Baujahr, ohne Sonder-AfA)</t>
  </si>
  <si>
    <t xml:space="preserve">Vergleichsmaßstab</t>
  </si>
  <si>
    <t xml:space="preserve">Abschreibung (AfA)</t>
  </si>
  <si>
    <t xml:space="preserve">Nachträgliche Herstellungskosten (aktivierte Maßnahmen)</t>
  </si>
  <si>
    <t xml:space="preserve">Kumulierte nachträgliche Herstellungskosten</t>
  </si>
  <si>
    <t xml:space="preserve">AfA-Bemessungsgrundlage Gebäude (kumuliert)</t>
  </si>
  <si>
    <t xml:space="preserve">Restwert Gebäude Jahresbeginn</t>
  </si>
  <si>
    <t xml:space="preserve">Reguläre Gebäude-AfA (gewählte Methode)</t>
  </si>
  <si>
    <t xml:space="preserve">Sonder-AfA § 7b EStG</t>
  </si>
  <si>
    <t xml:space="preserve">= AfA Gebäude (regulär + Sonder-AfA)</t>
  </si>
  <si>
    <t xml:space="preserve">Kumulierte AfA Gebäude</t>
  </si>
  <si>
    <t xml:space="preserve">Restwert Gebäude Jahresende</t>
  </si>
  <si>
    <t xml:space="preserve">Erhöhte Absetzungen § 7h / § 7i (Sanierungsanteil)</t>
  </si>
  <si>
    <t xml:space="preserve">AfA bewegliche Gegenstände (Einbauküche etc.)</t>
  </si>
  <si>
    <t xml:space="preserve">= Abschreibungen gesamt</t>
  </si>
  <si>
    <t xml:space="preserve">Kumulierte Abschreibungen gesamt</t>
  </si>
  <si>
    <t xml:space="preserve">Steuerliches Ergebnis aus dem Objekt</t>
  </si>
  <si>
    <t xml:space="preserve">Einnahmen: Nettokaltmiete Ist</t>
  </si>
  <si>
    <t xml:space="preserve">Bewirtschaftungskosten (steuerlich)</t>
  </si>
  <si>
    <t xml:space="preserve">Schuldzinsen</t>
  </si>
  <si>
    <t xml:space="preserve">Finanzierungsnebenkosten und Disagio</t>
  </si>
  <si>
    <t xml:space="preserve">Erhaltungsaufwand (ggf. verteilt, § 82b EStDV)</t>
  </si>
  <si>
    <t xml:space="preserve">Abschreibungen</t>
  </si>
  <si>
    <t xml:space="preserve">– Werbungskosten / Betriebsausgaben gesamt</t>
  </si>
  <si>
    <t xml:space="preserve">= Steuerliches Ergebnis</t>
  </si>
  <si>
    <t xml:space="preserve">Verlustvortrag Jahresbeginn</t>
  </si>
  <si>
    <t xml:space="preserve">Steuerliche Bemessungsgrundlage</t>
  </si>
  <si>
    <t xml:space="preserve">Verlustvortrag Jahresende</t>
  </si>
  <si>
    <t xml:space="preserve">Körperschaftsteuersatz im Kalenderjahr (nur GmbH)</t>
  </si>
  <si>
    <t xml:space="preserve">Angewendeter Steuersatz (Grenzsatz bzw. KSt + Soli + GewSt)</t>
  </si>
  <si>
    <t xml:space="preserve">= Steuer (+ Zahlung / – Erstattung)</t>
  </si>
  <si>
    <r>
      <rPr>
        <b val="true"/>
        <sz val="12.5"/>
        <color rgb="FF0B2A4A"/>
        <rFont val="Calibri"/>
        <family val="0"/>
        <charset val="1"/>
      </rPr>
      <t xml:space="preserve">Verkaufsszenario (Exit)</t>
    </r>
    <r>
      <rPr>
        <sz val="9"/>
        <color rgb="FF5B6068"/>
        <rFont val="Calibri"/>
        <family val="0"/>
        <charset val="1"/>
      </rPr>
      <t xml:space="preserve">  · Steuer und Gesamtrendite</t>
    </r>
  </si>
  <si>
    <t xml:space="preserve">Haltedauer</t>
  </si>
  <si>
    <t xml:space="preserve">Immobilienwert im Verkaufsjahr (Prognose)</t>
  </si>
  <si>
    <t xml:space="preserve">Verkaufspreis (angewendet)</t>
  </si>
  <si>
    <t xml:space="preserve">Kumulierte Abschreibungen bis Verkauf</t>
  </si>
  <si>
    <t xml:space="preserve">Aktivierte nachträgliche Herstellungskosten bis Verkauf</t>
  </si>
  <si>
    <t xml:space="preserve">Steuerlicher Buchwert bei Verkauf (AK gesamt + HK – AfA)</t>
  </si>
  <si>
    <t xml:space="preserve">Veräußerungsgewinn (Preis – Verkaufskosten – Buchwert)</t>
  </si>
  <si>
    <t xml:space="preserve">AfA wird bei Verkauf innerhalb der Frist nachversteuert</t>
  </si>
  <si>
    <t xml:space="preserve">Veräußerungsgewinn steuerpflichtig</t>
  </si>
  <si>
    <t xml:space="preserve">Privat: nur innerhalb von 10 Jahren (§ 23 EStG); GmbH: immer</t>
  </si>
  <si>
    <t xml:space="preserve">Steuersatz im Verkaufsjahr</t>
  </si>
  <si>
    <t xml:space="preserve">Verlustvortrag im Verkaufsjahr (verrechenbar)</t>
  </si>
  <si>
    <t xml:space="preserve">nur bei Option „Verlustvortrag“ bzw. GmbH; Mindestbesteuerung (§ 10d Abs. 2 EStG) nicht modelliert</t>
  </si>
  <si>
    <t xml:space="preserve">Veräußerungsverluste vereinfachend nicht berücksichtigt</t>
  </si>
  <si>
    <t xml:space="preserve">Restschuld im Verkaufsjahr (Ablösung)</t>
  </si>
  <si>
    <t xml:space="preserve">Vorfälligkeitsentschädigung nicht berücksichtigt</t>
  </si>
  <si>
    <t xml:space="preserve">= Nettoerlös nach Steuern und Darlehensablösung</t>
  </si>
  <si>
    <t xml:space="preserve">Kumulierter Cashflow nach Steuern bis Verkauf</t>
  </si>
  <si>
    <t xml:space="preserve">Kumulierte laufende Steuer bis Verkauf</t>
  </si>
  <si>
    <t xml:space="preserve">Cashflows + Nettoerlös – Eigenkapital</t>
  </si>
  <si>
    <t xml:space="preserve">Eigenkapital-Multiplikator</t>
  </si>
  <si>
    <t xml:space="preserve">(Cashflows + Nettoerlös) / Eigenkapital</t>
  </si>
  <si>
    <t xml:space="preserve">IRR n. St.  ·  Eigenkapitalrendite p. a.</t>
  </si>
  <si>
    <t xml:space="preserve">interner Zinsfuß auf den Eigenkapitaleinsatz</t>
  </si>
  <si>
    <t xml:space="preserve">AfA-Vergleich:  Summe Gebäude-AfA Jahre 1–10 (gewählte Variante)</t>
  </si>
  <si>
    <t xml:space="preserve">AfA-Vergleich:  Summe Gebäude-AfA Jahre 1–10 (Standard nach Baujahr)</t>
  </si>
  <si>
    <t xml:space="preserve">AfA-Vergleich:  Steuereffekt der gewählten Variante (10 Jahre)</t>
  </si>
  <si>
    <t xml:space="preserve">gegenüber Standard-AfA · positiv = Steuerersparnis (Liquiditätsvorteil, keine endgültige Ersparnis)</t>
  </si>
  <si>
    <t xml:space="preserve">STEUERN  ›  AfA-VERGLEICH</t>
  </si>
  <si>
    <t xml:space="preserve">AfA-Vergleich</t>
  </si>
  <si>
    <t xml:space="preserve">Eingaben dazu: S10 Abschreibung  ›</t>
  </si>
  <si>
    <t xml:space="preserve">Abschreibungsvarianten für dieses Objekt in den Jahren 1–10  ·  Beträge in €</t>
  </si>
  <si>
    <t xml:space="preserve">Grundlagen</t>
  </si>
  <si>
    <t xml:space="preserve">AfA-Basis Gebäude (ohne § 7h/7i-Anteil)</t>
  </si>
  <si>
    <t xml:space="preserve">IM MODELL ANGEWENDET</t>
  </si>
  <si>
    <t xml:space="preserve">AfA JAHRE 1–10 (ANGEWENDET)</t>
  </si>
  <si>
    <t xml:space="preserve">BARWERT DER STEUERERSPARNIS</t>
  </si>
  <si>
    <t xml:space="preserve">Sonder-AfA § 7b – Basis (max. 4.000 €/m²)</t>
  </si>
  <si>
    <t xml:space="preserve">Sonder-AfA § 7b p. a. (5 %)</t>
  </si>
  <si>
    <t xml:space="preserve">Steuersatz Jahr 1 (angewendet)</t>
  </si>
  <si>
    <t xml:space="preserve">Kalkulationszins für den Barwert</t>
  </si>
  <si>
    <t xml:space="preserve">Baujahr · Objektart</t>
  </si>
  <si>
    <t xml:space="preserve">Summe der Gebäude-AfA lt. Steuer-Tabelle</t>
  </si>
  <si>
    <t xml:space="preserve">Jahre 1–10, abgezinst mit dem Kalkulationszins</t>
  </si>
  <si>
    <t xml:space="preserve">AfA-Beträge je Jahr</t>
  </si>
  <si>
    <t xml:space="preserve">Steuerersparnis = AfA × Steuersatz Jahr 1 · Barwert mit dem Kalkulationszins</t>
  </si>
  <si>
    <t xml:space="preserve">VARIANTE</t>
  </si>
  <si>
    <t xml:space="preserve">ANWENDBAR FÜR DIESES OBJEKT?</t>
  </si>
  <si>
    <t xml:space="preserve">Jahr 2</t>
  </si>
  <si>
    <t xml:space="preserve">Jahr 3</t>
  </si>
  <si>
    <t xml:space="preserve">Jahr 4</t>
  </si>
  <si>
    <t xml:space="preserve">Jahr 5</t>
  </si>
  <si>
    <t xml:space="preserve">Jahr 6</t>
  </si>
  <si>
    <t xml:space="preserve">Jahr 7</t>
  </si>
  <si>
    <t xml:space="preserve">Jahr 8</t>
  </si>
  <si>
    <t xml:space="preserve">Jahr 9</t>
  </si>
  <si>
    <t xml:space="preserve">Jahr 10</t>
  </si>
  <si>
    <t xml:space="preserve">Σ JAHRE
1–4</t>
  </si>
  <si>
    <t xml:space="preserve">Σ JAHRE
1–10</t>
  </si>
  <si>
    <t xml:space="preserve">STEUERERSPARNIS
1–10 NOMINAL</t>
  </si>
  <si>
    <t xml:space="preserve">BARWERT
STEUERERSPARNIS</t>
  </si>
  <si>
    <t xml:space="preserve">KURZNAME (DIAGRAMM)</t>
  </si>
  <si>
    <r>
      <rPr>
        <b val="true"/>
        <sz val="10"/>
        <color rgb="FF1A1D21"/>
        <rFont val="Calibri"/>
        <family val="0"/>
        <charset val="1"/>
      </rPr>
      <t xml:space="preserve">Linear 2,0 %
</t>
    </r>
    <r>
      <rPr>
        <sz val="8"/>
        <color rgb="FF5B6068"/>
        <rFont val="Calibri"/>
        <family val="0"/>
        <charset val="1"/>
      </rPr>
      <t xml:space="preserve">§ 7 Abs. 4 S. 1 Nr. 2b EStG · Fertigstellung 1925–2022</t>
    </r>
  </si>
  <si>
    <t xml:space="preserve">Linear 2,0 %</t>
  </si>
  <si>
    <r>
      <rPr>
        <b val="true"/>
        <sz val="10"/>
        <color rgb="FF1A1D21"/>
        <rFont val="Calibri"/>
        <family val="0"/>
        <charset val="1"/>
      </rPr>
      <t xml:space="preserve">Linear 2,5 %
</t>
    </r>
    <r>
      <rPr>
        <sz val="8"/>
        <color rgb="FF5B6068"/>
        <rFont val="Calibri"/>
        <family val="0"/>
        <charset val="1"/>
      </rPr>
      <t xml:space="preserve">§ 7 Abs. 4 S. 1 Nr. 2c EStG · Fertigstellung vor 1925</t>
    </r>
  </si>
  <si>
    <t xml:space="preserve">Linear 2,5 %</t>
  </si>
  <si>
    <r>
      <rPr>
        <b val="true"/>
        <sz val="10"/>
        <color rgb="FF1A1D21"/>
        <rFont val="Calibri"/>
        <family val="0"/>
        <charset val="1"/>
      </rPr>
      <t xml:space="preserve">Linear 3,0 %
</t>
    </r>
    <r>
      <rPr>
        <sz val="8"/>
        <color rgb="FF5B6068"/>
        <rFont val="Calibri"/>
        <family val="0"/>
        <charset val="1"/>
      </rPr>
      <t xml:space="preserve">§ 7 Abs. 4 S. 1 Nr. 2a EStG · Fertigstellung ab 2023</t>
    </r>
  </si>
  <si>
    <t xml:space="preserve">Linear 3,0 %</t>
  </si>
  <si>
    <r>
      <rPr>
        <b val="true"/>
        <sz val="10"/>
        <color rgb="FF1A1D21"/>
        <rFont val="Calibri"/>
        <family val="0"/>
        <charset val="1"/>
      </rPr>
      <t xml:space="preserve">Gutachten (RND)
</t>
    </r>
    <r>
      <rPr>
        <sz val="8"/>
        <color rgb="FF5B6068"/>
        <rFont val="Calibri"/>
        <family val="0"/>
        <charset val="1"/>
      </rPr>
      <t xml:space="preserve">§ 7 Abs. 4 S. 2 EStG · tatsächliche Restnutzungsdauer</t>
    </r>
  </si>
  <si>
    <t xml:space="preserve">Gutachten (RND)</t>
  </si>
  <si>
    <r>
      <rPr>
        <b val="true"/>
        <sz val="10"/>
        <color rgb="FF1A1D21"/>
        <rFont val="Calibri"/>
        <family val="0"/>
        <charset val="1"/>
      </rPr>
      <t xml:space="preserve">Degressiv 5 %
</t>
    </r>
    <r>
      <rPr>
        <sz val="8"/>
        <color rgb="FF5B6068"/>
        <rFont val="Calibri"/>
        <family val="0"/>
        <charset val="1"/>
      </rPr>
      <t xml:space="preserve">§ 7 Abs. 5a EStG · Baubeginn 10/2023–9/2029</t>
    </r>
  </si>
  <si>
    <t xml:space="preserve">Degressiv 5 %</t>
  </si>
  <si>
    <r>
      <rPr>
        <b val="true"/>
        <sz val="10"/>
        <color rgb="FF1A1D21"/>
        <rFont val="Calibri"/>
        <family val="0"/>
        <charset val="1"/>
      </rPr>
      <t xml:space="preserve">Linear 3 % + § 7b
</t>
    </r>
    <r>
      <rPr>
        <sz val="8"/>
        <color rgb="FF5B6068"/>
        <rFont val="Calibri"/>
        <family val="0"/>
        <charset val="1"/>
      </rPr>
      <t xml:space="preserve">5 % p. a. in Jahren 1–4, danach Restwert-AfA</t>
    </r>
  </si>
  <si>
    <t xml:space="preserve">Linear 3 % + § 7b</t>
  </si>
  <si>
    <r>
      <rPr>
        <b val="true"/>
        <sz val="10"/>
        <color rgb="FF1A1D21"/>
        <rFont val="Calibri"/>
        <family val="0"/>
        <charset val="1"/>
      </rPr>
      <t xml:space="preserve">Degressiv + § 7b
</t>
    </r>
    <r>
      <rPr>
        <sz val="8"/>
        <color rgb="FF5B6068"/>
        <rFont val="Calibri"/>
        <family val="0"/>
        <charset val="1"/>
      </rPr>
      <t xml:space="preserve">kombiniert; die Sonder-AfA mindert den Restwert</t>
    </r>
  </si>
  <si>
    <t xml:space="preserve">Degressiv + § 7b</t>
  </si>
  <si>
    <r>
      <rPr>
        <b val="true"/>
        <sz val="10"/>
        <color rgb="FF0B2A4A"/>
        <rFont val="Calibri"/>
        <family val="0"/>
        <charset val="1"/>
      </rPr>
      <t xml:space="preserve">Im Modell angewendet
</t>
    </r>
    <r>
      <rPr>
        <sz val="8"/>
        <color rgb="FF5B6068"/>
        <rFont val="Calibri"/>
        <family val="0"/>
        <charset val="1"/>
      </rPr>
      <t xml:space="preserve">lt. Steuer-Tabelle · inkl. Sonder-AfA, ohne § 7h/7i</t>
    </r>
  </si>
  <si>
    <t xml:space="preserve">Im Modell angewendet</t>
  </si>
  <si>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anwendbar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nur mit Gutachten   ·   </t>
    </r>
    <r>
      <rPr>
        <b val="true"/>
        <sz val="8"/>
        <color rgb="FF98A2B3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nicht anwendbar (Beträge nur zum Vergleich)</t>
    </r>
  </si>
  <si>
    <t xml:space="preserve">NEBENRECHNUNG: RESTWERT GEBÄUDE AM JAHRESENDE (€)</t>
  </si>
  <si>
    <t xml:space="preserve">NEBENRECHNUNG: KUMULIERTE AfA JE VARIANTE (€)</t>
  </si>
  <si>
    <t xml:space="preserve">Hinweise zur Interpretation</t>
  </si>
  <si>
    <r>
      <rPr>
        <b val="true"/>
        <sz val="9"/>
        <color rgb="FF0B2A4A"/>
        <rFont val="Calibri"/>
        <family val="0"/>
        <charset val="1"/>
      </rPr>
      <t xml:space="preserve">Liquiditätseffekt: </t>
    </r>
    <r>
      <rPr>
        <sz val="9"/>
        <color rgb="FF3A3F45"/>
        <rFont val="Calibri"/>
        <family val="0"/>
        <charset val="1"/>
      </rPr>
      <t xml:space="preserve">Eine höhere AfA in den ersten Jahren ist ein Liquiditäts- und Zinsvorteil (Steuerstundung), keine endgültige Ersparnis – bei Verkauf innerhalb der 10-Jahres-Frist (Privat) bzw. immer (GmbH) mindert die kumulierte AfA den Buchwert und erhöht den steuerpflichtigen Veräußerungsgewinn.</t>
    </r>
  </si>
  <si>
    <r>
      <rPr>
        <b val="true"/>
        <sz val="9"/>
        <color rgb="FF0B2A4A"/>
        <rFont val="Calibri"/>
        <family val="0"/>
        <charset val="1"/>
      </rPr>
      <t xml:space="preserve">Kombination: </t>
    </r>
    <r>
      <rPr>
        <sz val="9"/>
        <color rgb="FF3A3F45"/>
        <rFont val="Calibri"/>
        <family val="0"/>
        <charset val="1"/>
      </rPr>
      <t xml:space="preserve">Degressive AfA und § 7b sind kombinierbar (§ 7b Abs. 1 S. 1 i. V. m. § 7 Abs. 5a EStG); im Tool wird die Sonder-AfA vereinfachend vom Restwert abgezogen (konservativ). Ein Wechsel von degressiv zu linear (Restwert / Restnutzungsdauer) erfolgt automatisch, sobald vorteilhaft – innerhalb der ersten 10 Jahre bei 3 % typisierter Nutzungsdauer nicht.</t>
    </r>
  </si>
  <si>
    <r>
      <rPr>
        <b val="true"/>
        <sz val="9"/>
        <color rgb="FF0B2A4A"/>
        <rFont val="Calibri"/>
        <family val="0"/>
        <charset val="1"/>
      </rPr>
      <t xml:space="preserve">Prüfumfang: </t>
    </r>
    <r>
      <rPr>
        <sz val="9"/>
        <color rgb="FF3A3F45"/>
        <rFont val="Calibri"/>
        <family val="0"/>
        <charset val="1"/>
      </rPr>
      <t xml:space="preserve">Die Spalte „Anwendbar“ prüft nur die im Tool erfassten Kriterien (Baujahr, Objektart, Baukosten je m²). Nicht geprüft werden: Baubeginn im Zeitfenster (§ 7 Abs. 5a), Bauantrag/Bauanzeige, Effizienzhaus-40-Standard mit QNG-Siegel (§ 7b), Anschaffung bis Ende des Fertigstellungsjahres (§ 7b).</t>
    </r>
  </si>
  <si>
    <r>
      <rPr>
        <b val="true"/>
        <sz val="9"/>
        <color rgb="FF0B2A4A"/>
        <rFont val="Calibri"/>
        <family val="0"/>
        <charset val="1"/>
      </rPr>
      <t xml:space="preserve">§ 7h/7i: </t>
    </r>
    <r>
      <rPr>
        <sz val="9"/>
        <color rgb="FF3A3F45"/>
        <rFont val="Calibri"/>
        <family val="0"/>
        <charset val="1"/>
      </rPr>
      <t xml:space="preserve">Erhöhte Absetzungen nach § 7h / § 7i EStG (9 % / 7 %) betreffen nur den bescheinigten Sanierungsanteil und sind hier nicht als Variante dargestellt; sie werden in der Steuer-Tabelle zusätzlich zur regulären AfA der Altsubstanz berechnet.</t>
    </r>
  </si>
  <si>
    <r>
      <rPr>
        <b val="true"/>
        <sz val="12.5"/>
        <color rgb="FF0B2A4A"/>
        <rFont val="Calibri"/>
        <family val="0"/>
        <charset val="1"/>
      </rPr>
      <t xml:space="preserve">Diagramme</t>
    </r>
    <r>
      <rPr>
        <sz val="9"/>
        <color rgb="FF5B6068"/>
        <rFont val="Calibri"/>
        <family val="0"/>
        <charset val="1"/>
      </rPr>
      <t xml:space="preserve">  · Jahre 1–10</t>
    </r>
  </si>
  <si>
    <t xml:space="preserve">BERECHNUNG  ›  TILGUNGSPLAN</t>
  </si>
  <si>
    <t xml:space="preserve">Tilgungsplan</t>
  </si>
  <si>
    <t xml:space="preserve">Eingaben dazu: S07 Finanzierung  ›</t>
  </si>
  <si>
    <t xml:space="preserve">Tilgungsverlauf Darlehen I und II  ·  Annuitätendarlehen mit konstanter Rate</t>
  </si>
  <si>
    <r>
      <rPr>
        <b val="true"/>
        <sz val="8.5"/>
        <color rgb="FF4A86C8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Verkaufsjahr   ·   </t>
    </r>
    <r>
      <rPr>
        <b val="true"/>
        <sz val="8.5"/>
        <color rgb="FF1D4F8A"/>
        <rFont val="Calibri"/>
        <family val="0"/>
        <charset val="1"/>
      </rPr>
      <t xml:space="preserve">● </t>
    </r>
    <r>
      <rPr>
        <sz val="8.5"/>
        <color rgb="FF5B6068"/>
        <rFont val="Calibri"/>
        <family val="0"/>
        <charset val="1"/>
      </rPr>
      <t xml:space="preserve">Anschlusszins nach der Zinsbindung   ·   – entfällt (getilgt bzw. nicht genutzt)</t>
    </r>
  </si>
  <si>
    <t xml:space="preserve">Restschuld Jahresbeginn</t>
  </si>
  <si>
    <t xml:space="preserve">Zinssatz im Jahr</t>
  </si>
  <si>
    <t xml:space="preserve">Annuität (Zins + anfängliche Tilgung, konstant)</t>
  </si>
  <si>
    <t xml:space="preserve">– Reguläre Tilgung</t>
  </si>
  <si>
    <t xml:space="preserve">– Sondertilgung</t>
  </si>
  <si>
    <t xml:space="preserve">= Restschuld Jahresende</t>
  </si>
  <si>
    <t xml:space="preserve">= Kapitaldienst (Zinsen + Tilgung inkl. Sondertilgung)</t>
  </si>
  <si>
    <t xml:space="preserve">– Tilgungszuschuss (KfW, kein Zahlungsabfluss)</t>
  </si>
  <si>
    <t xml:space="preserve">Zinsen gesamt</t>
  </si>
  <si>
    <t xml:space="preserve">Tilgung gesamt (Zahlung, inkl. Sondertilgung)</t>
  </si>
  <si>
    <t xml:space="preserve">= Kapitaldienst gesamt (Zinsen + Tilgung inkl. Sondertilgung)</t>
  </si>
  <si>
    <t xml:space="preserve">Gewichteter Zinssatz</t>
  </si>
  <si>
    <t xml:space="preserve">Kapitaldienst pro Monat</t>
  </si>
  <si>
    <t xml:space="preserve">BERECHNUNG  ›  SENSITIVITÄT</t>
  </si>
  <si>
    <t xml:space="preserve">Sensitivität</t>
  </si>
  <si>
    <t xml:space="preserve">Was passiert, wenn Miete, Zins oder Wertentwicklung anders laufen?  ·  Jahr-1-Größen als lineare Näherung, die IRR-Matrix rechnet die volle Zahlungsreihe neu</t>
  </si>
  <si>
    <t xml:space="preserve">Break-even und Grenzwerte (Jahr 1)</t>
  </si>
  <si>
    <t xml:space="preserve">Lesehilfe und Grenzen</t>
  </si>
  <si>
    <t xml:space="preserve">Aktuelle Nettokaltmiete pro Monat</t>
  </si>
  <si>
    <t xml:space="preserve">Ausgangswert aller Break-even-Größen</t>
  </si>
  <si>
    <t xml:space="preserve">¹ Bei voller Steuerwirkung: Ein steuerlicher Verlust wird sofort mit anderen Einkünften verrechnet (Privatperson). In der GmbH oder mit Verlustvortrag wirkt die Steuer erst, wenn das Objekt Gewinne erzielt.
Grenzen: Die Jahr-1-Größen sind lineare Näherungen bei konstantem Steuersatz. Nicht abgebildet sind Wechselwirkungen mit dem Mietausfall, Progressionseffekte, Vorfälligkeitsentschädigung und die Ausschüttungsbelastung der GmbH.</t>
  </si>
  <si>
    <t xml:space="preserve">Break-even-Miete (Cashflow vor Steuern = 0)</t>
  </si>
  <si>
    <t xml:space="preserve">Ab dieser Miete tragen sich Bewirtschaftung und Kapitaldienst</t>
  </si>
  <si>
    <t xml:space="preserve">Puffer zur aktuellen Miete</t>
  </si>
  <si>
    <t xml:space="preserve">Abstand der aktuellen Miete zur Break-even-Miete</t>
  </si>
  <si>
    <t xml:space="preserve">Break-even-Miete (Cashflow nach Steuern = 0) ¹</t>
  </si>
  <si>
    <t xml:space="preserve">Wie oben, zusätzlich mit Steuerwirkung des Objekts</t>
  </si>
  <si>
    <t xml:space="preserve">Abstand zur Break-even-Miete nach Steuern</t>
  </si>
  <si>
    <t xml:space="preserve">Max. Sollzins (Cashflow vor Steuern ≥ 0)</t>
  </si>
  <si>
    <t xml:space="preserve">Höchster Zins, bei dem der Cashflow vor Steuern ≥ 0 bleibt</t>
  </si>
  <si>
    <t xml:space="preserve">Aktueller gewichteter Sollzins</t>
  </si>
  <si>
    <t xml:space="preserve">Gewichteter Zins aller Darlehen im ersten Jahr</t>
  </si>
  <si>
    <t xml:space="preserve">Kaufpreis, bei dem die Zielrendite erreicht wäre</t>
  </si>
  <si>
    <t xml:space="preserve">Kaufpreis für die Mindestrendite</t>
  </si>
  <si>
    <t xml:space="preserve">Zinsänderungsrisiko: +1 %-Punkt Anschlusszins p. a.</t>
  </si>
  <si>
    <t xml:space="preserve">Mehrbelastung auf die Restschuld am Ende der Zinsbindung</t>
  </si>
  <si>
    <t xml:space="preserve">Jahr 1: Cashflow und Kapitaldienstdeckung – Miete × Sollzins</t>
  </si>
  <si>
    <t xml:space="preserve">So lesen Sie die Matrizen</t>
  </si>
  <si>
    <t xml:space="preserve">CASHFLOW NACH STEUERN (€ / MONAT)</t>
  </si>
  <si>
    <t xml:space="preserve">Rote Schrift = Zuschuss (Cashflow &lt; 0 €)   ·   □ aktuelle Annahme</t>
  </si>
  <si>
    <t xml:space="preserve">Cashflow: Jede Zelle zeigt den Cashflow nach Steuern pro Monat im ersten Jahr, wenn die Miete um den Zeilenwert und der Sollzins des Hauptdarlehens um den Spaltenwert abweicht. Rote Schrift = Zuschuss (Cashflow unter 0 €).
DSCR: Einnahmenüberschuss (NOI) geteilt durch den Kapitaldienst. Unter der Ampel-Schwelle „prüfen“ trägt die Bonität des Investors einen Teil des Kapitaldiensts; die Schwellen stehen in der Legende über der Matrix.
Farbton: Je dunkler das Blau, desto höher der Wert – unabhängig vom Status. Der eingerahmte Wert ist die aktuelle Annahme (Miete Basis, Sollzins wie eingegeben).</t>
  </si>
  <si>
    <t xml:space="preserve">Miete ↓  ·  Sollzins Darlehen I (Δ %-Pkt.) →</t>
  </si>
  <si>
    <t xml:space="preserve">KAPITALDIENSTDECKUNG (DSCR = NOI / KAPITALDIENST)</t>
  </si>
  <si>
    <t xml:space="preserve">IRR-Matrix</t>
  </si>
  <si>
    <t xml:space="preserve">IRR NACH STEUERN P. A. (VOLLE NEUBERECHNUNG)</t>
  </si>
  <si>
    <t xml:space="preserve">Für jede Kombination wird die vollständige Zahlungsreihe über die Haltedauer neu gerechnet (ausgeblendete Nebenrechnung, Zeilen 65–115): Die Mietänderung wirkt in jedem Jahr mit der Mietsteigerung fort, die Wertsteigerung bestimmt Verkaufspreis, Verkaufskosten und Steuer beim Verkauf.</t>
  </si>
  <si>
    <t xml:space="preserve">Miete ↓  ·  Wertsteigerung p. a. →</t>
  </si>
  <si>
    <t xml:space="preserve">VERKAUF NACH DER HALTEDAUER JE WERTSTEIGERUNG (€, BASIS-MIETE)</t>
  </si>
  <si>
    <t xml:space="preserve">Wertsteigerung p. a.  →</t>
  </si>
  <si>
    <t xml:space="preserve">Verkaufspreis</t>
  </si>
  <si>
    <t xml:space="preserve">– Ablösung Restschuld</t>
  </si>
  <si>
    <t xml:space="preserve">= Nettoerlös nach Steuern</t>
  </si>
  <si>
    <t xml:space="preserve">+ Kumulierter Cashflow nach Steuern bis Verkauf</t>
  </si>
  <si>
    <t xml:space="preserve">Nebenrechnung zur IRR-Matrix ausgeblendet (Zeilen 65–115) – über das Gliederungssymbol [+] am linken Rand einblenden.</t>
  </si>
  <si>
    <t xml:space="preserve">NEBENRECHNUNG: ZAHLUNGSREIHEN FÜR DIE IRR-MATRIX (JAHR 0 = EIGENKAPITAL, JAHRE 1–40; AUTOMATISCH)</t>
  </si>
  <si>
    <t xml:space="preserve">Szenario</t>
  </si>
  <si>
    <t xml:space="preserve">Miete -10 % · Wert 0 % p. a.</t>
  </si>
  <si>
    <t xml:space="preserve">Miete -10 % · Wert 1 % p. a.</t>
  </si>
  <si>
    <t xml:space="preserve">Miete -10 % · Wert 2 % p. a.</t>
  </si>
  <si>
    <t xml:space="preserve">Miete -10 % · Wert 3 % p. a.</t>
  </si>
  <si>
    <t xml:space="preserve">Miete -10 % · Wert 4 % p. a.</t>
  </si>
  <si>
    <t xml:space="preserve">Miete -5 % · Wert 0 % p. a.</t>
  </si>
  <si>
    <t xml:space="preserve">Miete -5 % · Wert 1 % p. a.</t>
  </si>
  <si>
    <t xml:space="preserve">Miete -5 % · Wert 2 % p. a.</t>
  </si>
  <si>
    <t xml:space="preserve">Miete -5 % · Wert 3 % p. a.</t>
  </si>
  <si>
    <t xml:space="preserve">Miete -5 % · Wert 4 % p. a.</t>
  </si>
  <si>
    <t xml:space="preserve">Miete Basis · Wert 0 % p. a.</t>
  </si>
  <si>
    <t xml:space="preserve">Miete Basis · Wert 1 % p. a.</t>
  </si>
  <si>
    <t xml:space="preserve">Miete Basis · Wert 2 % p. a.</t>
  </si>
  <si>
    <t xml:space="preserve">Miete Basis · Wert 3 % p. a.</t>
  </si>
  <si>
    <t xml:space="preserve">Miete Basis · Wert 4 % p. a.</t>
  </si>
  <si>
    <t xml:space="preserve">Miete +5 % · Wert 0 % p. a.</t>
  </si>
  <si>
    <t xml:space="preserve">Miete +5 % · Wert 1 % p. a.</t>
  </si>
  <si>
    <t xml:space="preserve">Miete +5 % · Wert 2 % p. a.</t>
  </si>
  <si>
    <t xml:space="preserve">Miete +5 % · Wert 3 % p. a.</t>
  </si>
  <si>
    <t xml:space="preserve">Miete +5 % · Wert 4 % p. a.</t>
  </si>
  <si>
    <t xml:space="preserve">Miete +10 % · Wert 0 % p. a.</t>
  </si>
  <si>
    <t xml:space="preserve">Miete +10 % · Wert 1 % p. a.</t>
  </si>
  <si>
    <t xml:space="preserve">Miete +10 % · Wert 2 % p. a.</t>
  </si>
  <si>
    <t xml:space="preserve">Miete +10 % · Wert 3 % p. a.</t>
  </si>
  <si>
    <t xml:space="preserve">Miete +10 % · Wert 4 % p. a.</t>
  </si>
  <si>
    <t xml:space="preserve">Weiter: Bankgespräch  ›</t>
  </si>
  <si>
    <t xml:space="preserve">BANK  ›  BANKGESPRÄCH</t>
  </si>
  <si>
    <t xml:space="preserve">Investitionsübersicht für das Bankgespräch</t>
  </si>
  <si>
    <t xml:space="preserve">Foto Außenansicht einfügen</t>
  </si>
  <si>
    <t xml:space="preserve">Foto Wohnraum einfügen</t>
  </si>
  <si>
    <t xml:space="preserve">Lageplan einfügen</t>
  </si>
  <si>
    <t xml:space="preserve">Investition</t>
  </si>
  <si>
    <t xml:space="preserve">Rentabilität</t>
  </si>
  <si>
    <t xml:space="preserve">Bessere Konditionen im Bankgespräch</t>
  </si>
  <si>
    <t xml:space="preserve">• Drucken Sie diese Übersicht (A4, Hochformat) und legen Sie sie der Finanzierungsanfrage bei. Alle Zahlen kommen aus der Kalkulation – Änderungen im Leitfaden oder auf dem Blatt „Eingaben“ aktualisieren die Übersicht automatisch.
• Für die Bonitätsprüfung erwarten Banken eine Selbstauskunft. Die Vorlagen „Haushaltsrechnung“ und „Vermögensaufstellung“ sind vorbereitet und fließen in den Block „Sicherheiten &amp; Bonität“ ein.
• Argumentieren Sie mit Kapitaldienstdeckung (DSCR), Eigenkapitalquote, Beleihungsauslauf und dem Cashflow nach Steuern – das sind die Kennzahlen, auf die Kreditentscheider zuerst schauen.
• Objektfotos (Außenansicht, Wohnräume, Lageplan): Zeilen 9–16 über das [+] am linken Rand einblenden und die Bilder über Einfügen › Bilder in die drei Flächen ziehen.</t>
  </si>
  <si>
    <t xml:space="preserve">OBJEKTDETAILS</t>
  </si>
  <si>
    <t xml:space="preserve">HAUPTDARLEHEN (DARLEHEN I)</t>
  </si>
  <si>
    <t xml:space="preserve">ERWARTETE MIETEINKÜNFTE</t>
  </si>
  <si>
    <t xml:space="preserve">Betrag</t>
  </si>
  <si>
    <t xml:space="preserve">Nettokaltmiete Soll pro Monat</t>
  </si>
  <si>
    <t xml:space="preserve">Sollzins / anfängliche Tilgung</t>
  </si>
  <si>
    <t xml:space="preserve">Zinsbindung</t>
  </si>
  <si>
    <t xml:space="preserve">Restschuld Ende Zinsbindung</t>
  </si>
  <si>
    <t xml:space="preserve">KAPITALBEDARF</t>
  </si>
  <si>
    <t xml:space="preserve">WEITERE DARLEHEN (DARLEHEN II)</t>
  </si>
  <si>
    <t xml:space="preserve">MONATLICHER CASHFLOW (JAHR 1)</t>
  </si>
  <si>
    <t xml:space="preserve">– Bewirtschaftungskosten</t>
  </si>
  <si>
    <t xml:space="preserve">EIGENKAPITAL</t>
  </si>
  <si>
    <t xml:space="preserve">= Eigenkapital (inkl. Reserve)</t>
  </si>
  <si>
    <t xml:space="preserve">Liquiditätsreserve</t>
  </si>
  <si>
    <t xml:space="preserve">= Cashflow nach Steuern ¹</t>
  </si>
  <si>
    <t xml:space="preserve">Kennzahlen</t>
  </si>
  <si>
    <t xml:space="preserve">Sicherheiten &amp; Bonität</t>
  </si>
  <si>
    <t xml:space="preserve">Unterlagen für die Finanzierungsanfrage</t>
  </si>
  <si>
    <t xml:space="preserve">• Selbstauskunft: Haushaltsrechnung und Vermögensaufstellung (Unterreiter oben) ausfüllen und unterschreiben.
• Einkommen: die letzten drei Gehaltsabrechnungen bzw. zwei Einkommensteuerbescheide.
• Eigenkapital: aktueller Konto- oder Depotauszug.
• Objekt: Exposé, Grundbuchauszug, Teilungserklärung, Energieausweis, Wohnflächenberechnung, Fotos.
• Vermietung: Mietvertrag bzw. Mietaufstellung.</t>
  </si>
  <si>
    <t xml:space="preserve">Grundschuld (geplant)</t>
  </si>
  <si>
    <t xml:space="preserve">Wert Jahr 5</t>
  </si>
  <si>
    <t xml:space="preserve">Eigenkapitalnachweis</t>
  </si>
  <si>
    <t xml:space="preserve">Restschuld Jahr 5</t>
  </si>
  <si>
    <t xml:space="preserve">Zu versteuerndes Einkommen</t>
  </si>
  <si>
    <t xml:space="preserve">Wert Jahr 10</t>
  </si>
  <si>
    <t xml:space="preserve">Haushaltsüberschuss p. a.</t>
  </si>
  <si>
    <t xml:space="preserve">Restschuld Jahr 10</t>
  </si>
  <si>
    <t xml:space="preserve">Nettokaltmiete Jahr 10 (p. a.)</t>
  </si>
  <si>
    <t xml:space="preserve">Cashflow n. St. Jahr 10 (p. a.)</t>
  </si>
  <si>
    <t xml:space="preserve">Zinsbindung / Anschlusszins</t>
  </si>
  <si>
    <t xml:space="preserve">Sondertilgungen p. a. (Plan)</t>
  </si>
  <si>
    <t xml:space="preserve">Beleihungsobjekt (Ort)</t>
  </si>
  <si>
    <t xml:space="preserve">Finanzierungsstruktur und Cashflow im ersten Jahr</t>
  </si>
  <si>
    <t xml:space="preserve">¹ Einschließlich Steuereffekt des Objekts (Steuererstattung bzw. -zahlung).  ·  Alle Werte stammen aus der Kalkulation (Blätter Eingaben, Finanzierung, Projektion, Steuern). Prognosewerte sind Annahmen und keine Zusicherung. Haushaltsrechnung und Vermögensaufstellung liegen als separate Vorlagen bei.  ·  Objektfotos: Zeilen 9–16 über [+] am linken Rand einblenden.</t>
  </si>
  <si>
    <r>
      <rPr>
        <sz val="8"/>
        <color rgb="FF5B6068"/>
        <rFont val="Calibri"/>
        <family val="0"/>
        <charset val="1"/>
      </rPr>
      <t xml:space="preserve">Farbkennzeichnung der Kennzahlen (Schwellen lt. Konfiguration):   </t>
    </r>
    <r>
      <rPr>
        <b val="true"/>
        <sz val="8"/>
        <color rgb="FF1F7A4D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erfüllt   ·   </t>
    </r>
    <r>
      <rPr>
        <b val="true"/>
        <sz val="8"/>
        <color rgb="FFB5470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prüfen   ·   </t>
    </r>
    <r>
      <rPr>
        <b val="true"/>
        <sz val="8"/>
        <color rgb="FFB42318"/>
        <rFont val="Calibri"/>
        <family val="0"/>
        <charset val="1"/>
      </rPr>
      <t xml:space="preserve">● </t>
    </r>
    <r>
      <rPr>
        <sz val="8"/>
        <color rgb="FF5B6068"/>
        <rFont val="Calibri"/>
        <family val="0"/>
        <charset val="1"/>
      </rPr>
      <t xml:space="preserve">kritisch   ·   negative Cashflow-Beträge rot</t>
    </r>
  </si>
  <si>
    <t xml:space="preserve">‹  Zurück: Sensitivität</t>
  </si>
  <si>
    <t xml:space="preserve">Weiter: Haushaltsrechnung  ›</t>
  </si>
  <si>
    <t xml:space="preserve">BANK  ›  HAUSHALTSRECHNUNG</t>
  </si>
  <si>
    <t xml:space="preserve">Haushaltsrechnung</t>
  </si>
  <si>
    <t xml:space="preserve">Selbstauskunft für die Bank  ·  Monatswerte in die gelb hinterlegten Felder, Jahreswerte rechnen sich selbst</t>
  </si>
  <si>
    <r>
      <rPr>
        <b val="true"/>
        <sz val="8.5"/>
        <color rgb="FFE6CB77"/>
        <rFont val="Calibri"/>
        <family val="0"/>
        <charset val="1"/>
      </rPr>
      <t xml:space="preserve">■ </t>
    </r>
    <r>
      <rPr>
        <sz val="8.5"/>
        <color rgb="FF5B6068"/>
        <rFont val="Calibri"/>
        <family val="0"/>
        <charset val="1"/>
      </rPr>
      <t xml:space="preserve">Eingabe   ·   </t>
    </r>
    <r>
      <rPr>
        <b val="true"/>
        <sz val="8.5"/>
        <color rgb="FFE6CB77"/>
        <rFont val="Calibri"/>
        <family val="0"/>
        <charset val="1"/>
      </rPr>
      <t xml:space="preserve">□ </t>
    </r>
    <r>
      <rPr>
        <sz val="8.5"/>
        <color rgb="FF5B6068"/>
        <rFont val="Calibri"/>
        <family val="0"/>
        <charset val="1"/>
      </rPr>
      <t xml:space="preserve">gestrichelt = aus der Kalkulation, überschreibbar</t>
    </r>
  </si>
  <si>
    <t xml:space="preserve">Persönliche Angaben</t>
  </si>
  <si>
    <t xml:space="preserve">Ausgabenstruktur</t>
  </si>
  <si>
    <t xml:space="preserve">Name</t>
  </si>
  <si>
    <t xml:space="preserve">Anschrift</t>
  </si>
  <si>
    <t xml:space="preserve">Musterstraße 11, 12345 Musterstadt</t>
  </si>
  <si>
    <t xml:space="preserve">Familienstand / Güterstand</t>
  </si>
  <si>
    <t xml:space="preserve">verheiratet / Zugewinngemeinschaft</t>
  </si>
  <si>
    <t xml:space="preserve">Kinder (unterhaltspflichtig)</t>
  </si>
  <si>
    <t xml:space="preserve">Beruf / Arbeitgeber</t>
  </si>
  <si>
    <t xml:space="preserve">Angestellter / Firma</t>
  </si>
  <si>
    <t xml:space="preserve">Beschäftigt seit</t>
  </si>
  <si>
    <t xml:space="preserve">KOMMENTAR</t>
  </si>
  <si>
    <t xml:space="preserve">Nettoeinkommen aus nichtselbständiger Arbeit (Person 1)</t>
  </si>
  <si>
    <t xml:space="preserve">lt. Gehaltsabrechnung</t>
  </si>
  <si>
    <t xml:space="preserve">Nettoeinkommen aus nichtselbständiger Arbeit (Person 2)</t>
  </si>
  <si>
    <t xml:space="preserve">Einkünfte aus selbständiger / gewerblicher Tätigkeit (netto)</t>
  </si>
  <si>
    <t xml:space="preserve">Durchschnitt der letzten 3 Jahre</t>
  </si>
  <si>
    <t xml:space="preserve">Ausschüttungen / Geschäftsführergehalt aus Beteiligungen</t>
  </si>
  <si>
    <t xml:space="preserve">Kapitalerträge (Zinsen, Dividenden)</t>
  </si>
  <si>
    <t xml:space="preserve">Mieteinnahmen bestehender Objekte (nettokalt)</t>
  </si>
  <si>
    <t xml:space="preserve">Kindergeld / staatliche Leistungen</t>
  </si>
  <si>
    <t xml:space="preserve">Sonstige regelmäßige Einnahmen</t>
  </si>
  <si>
    <t xml:space="preserve">Nettokaltmiete des kalkulierten Objekts (Jahr 1, Ist)</t>
  </si>
  <si>
    <t xml:space="preserve">aus der Kalkulation (überschreibbar)</t>
  </si>
  <si>
    <t xml:space="preserve">= Summe Einnahmen</t>
  </si>
  <si>
    <t xml:space="preserve">Ergebnis der Haushaltsrechnung</t>
  </si>
  <si>
    <t xml:space="preserve">ÜBERSCHUSS PRO MONAT</t>
  </si>
  <si>
    <t xml:space="preserve">ÜBERSCHUSSQUOTE</t>
  </si>
  <si>
    <t xml:space="preserve">Wohnen (Miete / Kapitaldienst Eigenheim inkl. Nebenkosten)</t>
  </si>
  <si>
    <t xml:space="preserve">inkl. Strom, Heizung, Internet</t>
  </si>
  <si>
    <t xml:space="preserve">Lebenshaltung (Nahrung, Kleidung, Haushalt)</t>
  </si>
  <si>
    <t xml:space="preserve">Mobilität (Pkw, ÖPNV, Versicherung, Kraftstoff)</t>
  </si>
  <si>
    <t xml:space="preserve">Ziel ≥ 5 % vom Einkommen</t>
  </si>
  <si>
    <t xml:space="preserve">Versicherungen (Haftpflicht, BU, Risikoleben, Kranken-Zusatz)</t>
  </si>
  <si>
    <t xml:space="preserve">Altersvorsorge / Sparverträge</t>
  </si>
  <si>
    <t xml:space="preserve">Freizeit, Urlaub, Sonstiges</t>
  </si>
  <si>
    <t xml:space="preserve">Unterhaltszahlungen</t>
  </si>
  <si>
    <t xml:space="preserve">Bestehende Kredite (Raten)</t>
  </si>
  <si>
    <t xml:space="preserve">Konsumkredite, Leasing</t>
  </si>
  <si>
    <t xml:space="preserve">Bewirtschaftung bestehender Mietobjekte (n. umlagefähig)</t>
  </si>
  <si>
    <t xml:space="preserve">Kapitaldienst bestehender Immobiliendarlehen</t>
  </si>
  <si>
    <t xml:space="preserve">Kapitaldienst des kalkulierten Objekts (Jahr 1)</t>
  </si>
  <si>
    <t xml:space="preserve">Bewirtschaftung des kalkulierten Objekts (Jahr 1, inkl. Rücklage)</t>
  </si>
  <si>
    <t xml:space="preserve">= Summe Ausgaben</t>
  </si>
  <si>
    <t xml:space="preserve">Haushaltsüberschuss</t>
  </si>
  <si>
    <t xml:space="preserve">Überschuss</t>
  </si>
  <si>
    <t xml:space="preserve">Banken erwarten &gt; 0 nach neuem Kapitaldienst</t>
  </si>
  <si>
    <t xml:space="preserve">Überschussquote (Überschuss / Einnahmen)</t>
  </si>
  <si>
    <t xml:space="preserve">‹  Zurück: Bankgespräch</t>
  </si>
  <si>
    <t xml:space="preserve">Weiter: Vermögensaufstellung  ›</t>
  </si>
  <si>
    <t xml:space="preserve">BANK  ›  VERMÖGENSAUFSTELLUNG</t>
  </si>
  <si>
    <t xml:space="preserve">Vermögensaufstellung</t>
  </si>
  <si>
    <t xml:space="preserve">Selbstauskunft für die Bank  ·  aktuelle Werte eingeben und belegen (Gutachten, Depot- oder Kontoauszug)</t>
  </si>
  <si>
    <t xml:space="preserve">Vermögenswerte</t>
  </si>
  <si>
    <t xml:space="preserve">Vermögensstruktur</t>
  </si>
  <si>
    <t xml:space="preserve">VERKEHRSWERT</t>
  </si>
  <si>
    <t xml:space="preserve">VERPFÄNDET?</t>
  </si>
  <si>
    <t xml:space="preserve">NACHWEIS / KOMMENTAR</t>
  </si>
  <si>
    <t xml:space="preserve">nein</t>
  </si>
  <si>
    <t xml:space="preserve">Kontoauszug</t>
  </si>
  <si>
    <t xml:space="preserve">aktueller Kurswert</t>
  </si>
  <si>
    <t xml:space="preserve">Lebens-/Rentenversicherungen (Rückkaufswert)</t>
  </si>
  <si>
    <t xml:space="preserve">Bausparverträge (Guthaben)</t>
  </si>
  <si>
    <t xml:space="preserve">Immobilien (Verkehrswert)</t>
  </si>
  <si>
    <t xml:space="preserve">Objektliste beifügen</t>
  </si>
  <si>
    <t xml:space="preserve">Unternehmensbeteiligungen (z. B. GmbH-Anteile)</t>
  </si>
  <si>
    <t xml:space="preserve">Bewertung beifügen</t>
  </si>
  <si>
    <t xml:space="preserve">= Summe Vermögenswerte</t>
  </si>
  <si>
    <t xml:space="preserve">Verbindlichkeiten</t>
  </si>
  <si>
    <t xml:space="preserve">Kennzahlen für die Bank</t>
  </si>
  <si>
    <t xml:space="preserve">RESTSCHULD</t>
  </si>
  <si>
    <t xml:space="preserve">RATE / MONAT</t>
  </si>
  <si>
    <t xml:space="preserve">GLÄUBIGER / KOMMENTAR</t>
  </si>
  <si>
    <t xml:space="preserve">NETTOVERMÖGEN</t>
  </si>
  <si>
    <t xml:space="preserve">LIQUIDE MITTEL NACH EK-EINSATZ</t>
  </si>
  <si>
    <t xml:space="preserve">Immobiliendarlehen (bestehend)</t>
  </si>
  <si>
    <t xml:space="preserve">Darlehensliste beifügen</t>
  </si>
  <si>
    <t xml:space="preserve">Konsumkredite / Leasing</t>
  </si>
  <si>
    <t xml:space="preserve">Dispositionskredite</t>
  </si>
  <si>
    <t xml:space="preserve">Vermögenswerte − Verbindlichkeiten</t>
  </si>
  <si>
    <t xml:space="preserve">Bürgschaften / Mithaftungen</t>
  </si>
  <si>
    <t xml:space="preserve">Steuerschulden / Nachzahlungen</t>
  </si>
  <si>
    <t xml:space="preserve">Sonstige Verbindlichkeiten</t>
  </si>
  <si>
    <t xml:space="preserve">= Summe Verbindlichkeiten</t>
  </si>
  <si>
    <t xml:space="preserve">–</t>
  </si>
  <si>
    <t xml:space="preserve">Vermögenswerte – Verbindlichkeiten</t>
  </si>
  <si>
    <t xml:space="preserve">Eigenkapitalbedarf des kalkulierten Objekts (inkl. Reserve)</t>
  </si>
  <si>
    <t xml:space="preserve">Liquide Mittel nach Eigenkapitaleinsatz (Konten, Tagesgeld, Depot)</t>
  </si>
  <si>
    <t xml:space="preserve">sollte positiv bleiben (Notfallreserve)</t>
  </si>
  <si>
    <t xml:space="preserve">‹  Zurück: Haushaltsrechnung</t>
  </si>
  <si>
    <t xml:space="preserve">↺  Zurück zur Übersicht: Bankgespräch</t>
  </si>
  <si>
    <t xml:space="preserve">ANHANG  ›  HINWEISE</t>
  </si>
  <si>
    <t xml:space="preserve">Hinweise</t>
  </si>
  <si>
    <t xml:space="preserve">Steuerliche Regelungen und Modellannahmen · Rechtsstand September 2026 (Investitionssofortprogramm 2025, JStG 2024) · keine Steuerberatung im Einzelfall</t>
  </si>
  <si>
    <r>
      <rPr>
        <b val="true"/>
        <sz val="12.5"/>
        <color rgb="FF0B2A4A"/>
        <rFont val="Calibri"/>
        <family val="0"/>
        <charset val="1"/>
      </rPr>
      <t xml:space="preserve">Steuerliche Regelungen und ihre Umsetzung im Tool</t>
    </r>
    <r>
      <rPr>
        <sz val="9"/>
        <color rgb="FF5B6068"/>
        <rFont val="Calibri"/>
        <family val="0"/>
        <charset val="1"/>
      </rPr>
      <t xml:space="preserve">   17 Themen · Kurzfassung</t>
    </r>
  </si>
  <si>
    <t xml:space="preserve">THEMA</t>
  </si>
  <si>
    <t xml:space="preserve">REGELUNG (KURZFASSUNG)</t>
  </si>
  <si>
    <t xml:space="preserve">UMSETZUNG IM TOOL</t>
  </si>
  <si>
    <t xml:space="preserve">FUNDSTELLE</t>
  </si>
  <si>
    <t xml:space="preserve">Lineare Gebäude-AfA</t>
  </si>
  <si>
    <t xml:space="preserve">2 % p. a. (Fertigstellung 1925–2022), 2,5 % (vor 1925), 3 % (Fertigstellung ab 1.1.2023) für Wohngebäude im Privatvermögen; 3 % für Wirtschaftsgebäude im Betriebsvermögen. Kürzere tatsächliche Nutzungsdauer mit Gutachten nachweisbar.</t>
  </si>
  <si>
    <t xml:space="preserve">Auswahl „Automatisch nach Baujahr“ oder feste Sätze; Gutachten-Methode über Eingabe der Restnutzungsdauer. Keine zeitanteilige AfA im Kaufjahr (Jahr 1 = 12 Monate ab Kauf).</t>
  </si>
  <si>
    <t xml:space="preserve">§ 7 Abs. 4 S. 1 und S. 2 EStG; BFH IX R 25/19; BMF v. 22.2.2023</t>
  </si>
  <si>
    <t xml:space="preserve">Degressive AfA Wohngebäude</t>
  </si>
  <si>
    <t xml:space="preserve">5 % vom jeweiligen Restwert für Wohngebäude mit Baubeginn 1.10.2023–30.9.2029 (Anschaffung bis Ende des Fertigstellungsjahres). Wechsel zur linearen AfA (Restwert / Restnutzungsdauer) zulässig, kombinierbar mit § 7b.</t>
  </si>
  <si>
    <t xml:space="preserve">Auswahl „Degressiv 5 %“; Voraussetzung im Tool: Fertigstellung ab 2023 und Wohngebäude (Baubeginn selbst prüfen). Automatischer Wechsel zur linearen Restwert-AfA, sobald diese höher ist.</t>
  </si>
  <si>
    <t xml:space="preserve">§ 7 Abs. 5a EStG (Wachstumschancengesetz 2024)</t>
  </si>
  <si>
    <t xml:space="preserve">Sonder-AfA Mietwohnungsneubau</t>
  </si>
  <si>
    <t xml:space="preserve">Zusätzlich 5 % p. a. im Jahr der Anschaffung/Herstellung und den drei Folgejahren. Bauantrag 1.1.2023–30.9.2029, Effizienzhaus 40 mit QNG, Baukosten ≤ 5.200 €/m² (Fallbeil), Bemessungsgrundlage max. 4.000 €/m². Nach Ablauf: Restwert-AfA (§ 7a Abs. 9).</t>
  </si>
  <si>
    <t xml:space="preserve">Schalter „Sonder-AfA § 7b“; Prüfung von Baujahr, Wohnnutzung und Baukostenobergrenze; Deckelung der Bemessungsgrundlage; ab Jahr 5 Restwert / verbleibende Nutzungsdauer.</t>
  </si>
  <si>
    <t xml:space="preserve">§ 7b EStG; § 7a Abs. 9 EStG; BMF v. 21.5.2025</t>
  </si>
  <si>
    <t xml:space="preserve">Erhöhte Absetzungen Sanierung / Denkmal</t>
  </si>
  <si>
    <t xml:space="preserve">9 % p. a. in den Jahren 1–8 und 7 % p. a. in den Jahren 9–12 auf die bescheinigten Modernisierungs-/Sanierungskosten (Sanierungsgebiet bzw. Baudenkmal); Altsubstanz linear.</t>
  </si>
  <si>
    <t xml:space="preserve">Schalter § 7h/7i mit Eingabe der bescheinigten Kosten; Altsubstanz wird nach der gewählten Methode abgeschrieben.</t>
  </si>
  <si>
    <t xml:space="preserve">§§ 7h, 7i EStG; Bescheinigung der Gemeinde / Denkmalbehörde</t>
  </si>
  <si>
    <t xml:space="preserve">Kaufpreisaufteilung Boden / Gebäude</t>
  </si>
  <si>
    <t xml:space="preserve">Nur der Gebäudeanteil ist abschreibbar. Finanzverwaltung nutzt die BMF-Arbeitshilfe; eine vertragliche Aufteilung ist maßgeblich, wenn sie nicht nur zum Schein getroffen ist und den Wertverhältnissen entspricht; Gutachten ersetzt die Arbeitshilfe.</t>
  </si>
  <si>
    <t xml:space="preserve">Drei Methoden wählbar: Bodenrichtwert × Grundstücksanteil, Bodenanteil in %, Gebäudewert lt. Gutachten/Kaufvertrag. Kaufnebenkosten werden im gleichen Verhältnis aufgeteilt.</t>
  </si>
  <si>
    <t xml:space="preserve">BFH IX R 26/19; BMF-Arbeitshilfe Kaufpreisaufteilung</t>
  </si>
  <si>
    <t xml:space="preserve">Bewegliche Wirtschaftsgüter</t>
  </si>
  <si>
    <t xml:space="preserve">Gesondert ausgewiesene Einbauküche, Möbel usw. sind nicht Teil der GrESt-Bemessungsgrundlage und werden über die betriebsgewöhnliche Nutzungsdauer abgeschrieben (Einbauküche 10 Jahre).</t>
  </si>
  <si>
    <t xml:space="preserve">Eingabe „bewegliche Gegenstände“ + Nutzungsdauer; GrESt-Bemessungsgrundlage wird gekürzt; eigene AfA-Zeile.</t>
  </si>
  <si>
    <t xml:space="preserve">§ 2 GrEStG; BFH IX R 14/15; AfA-Tabellen</t>
  </si>
  <si>
    <t xml:space="preserve">Erhaltungsrücklage der WEG</t>
  </si>
  <si>
    <t xml:space="preserve">Der mit erworbene Rücklagenanteil gehört nicht zu den Gebäude-AK, unterliegt aber der Grunderwerbsteuer. Laufende Zuführungen zur Rücklage sind erst bei Verausgabung durch die WEG Werbungskosten.</t>
  </si>
  <si>
    <t xml:space="preserve">Eingabe des mitverkauften Rücklagenanteils (nicht abschreibbar); Rücklagenzuführung im Hausgeld ist Liquiditätsabfluss, aber nicht sofort steuerwirksam.</t>
  </si>
  <si>
    <t xml:space="preserve">BFH II R 49/17; BFH IX R 19/24</t>
  </si>
  <si>
    <t xml:space="preserve">Anschaffungsnahe Herstellungskosten</t>
  </si>
  <si>
    <t xml:space="preserve">Instandsetzungs- und Modernisierungsaufwendungen (netto, ohne USt) innerhalb von drei Jahren nach Anschaffung, die 15 % der Gebäude-AK übersteigen, sind Herstellungskosten (AfA statt Sofortabzug).</t>
  </si>
  <si>
    <t xml:space="preserve">Automatische Prüfung der 15 %-Grenze über die Maßnahmen der Jahre 1–3 (inkl. Sonderumlagen); manuelle Übersteuerung möglich; Prüfhinweis im Cockpit.</t>
  </si>
  <si>
    <t xml:space="preserve">§ 6 Abs. 1 Nr. 1a EStG; BMF v. 20.10.2017</t>
  </si>
  <si>
    <t xml:space="preserve">Verteilung größeren Erhaltungsaufwands</t>
  </si>
  <si>
    <t xml:space="preserve">Größerer Erhaltungsaufwand für Wohngebäude im Privatvermögen kann gleichmäßig auf 2 bis 5 Jahre verteilt werden (Progressionsglättung).</t>
  </si>
  <si>
    <t xml:space="preserve">Eingabe „Verteilung § 82b“ (1–5 Jahre), nur bei Privatpersonen wirksam.</t>
  </si>
  <si>
    <t xml:space="preserve">§ 82b EStDV</t>
  </si>
  <si>
    <t xml:space="preserve">Finanzierungskosten / Disagio</t>
  </si>
  <si>
    <t xml:space="preserve">Schuldzinsen, Grundschuldbestellung, Bearbeitungsgebühren sind sofort abziehbare Werbungskosten. Ein Disagio bis 5 % bei mindestens fünfjähriger Zinsbindung ist marktüblich und im Zahlungsjahr abziehbar, sonst Verteilung.</t>
  </si>
  <si>
    <t xml:space="preserve">Finanzierungsnebenkosten im Jahr 1 als Werbungskosten; Disagio automatisch Sofortabzug oder Verteilung über die Zinsbindung.</t>
  </si>
  <si>
    <t xml:space="preserve">§ 9 Abs. 1 S. 3 Nr. 1 EStG; § 11 Abs. 2 S. 4 EStG; BMF v. 20.10.2003</t>
  </si>
  <si>
    <t xml:space="preserve">Landesabhängig 3,5 % (Bayern) bis 6,5 % (BB, NW, SL, SH); Bremen seit 1.7.2025 5,5 %. Bemessungsgrundlage: Gegenleistung ohne gesondert ausgewiesene bewegliche Gegenstände.</t>
  </si>
  <si>
    <t xml:space="preserve">Tabelle in „Konfiguration“, Auswahl des Bundeslandes, manueller Satz möglich.</t>
  </si>
  <si>
    <t xml:space="preserve">§ 11 GrEStG; Landesgesetze</t>
  </si>
  <si>
    <t xml:space="preserve">Einkommensteuertarif 2026</t>
  </si>
  <si>
    <t xml:space="preserve">Grundfreibetrag 12.348 €; Progressionszonen bis 17.799 € / 69.878 €; Spitzensteuersatz 42 % ab 69.879 €, 45 % ab 277.826 € (Grundtarif; Splitting: Verdopplung der Grenzen).</t>
  </si>
  <si>
    <t xml:space="preserve">Grenzsteuersatz wird aus dem zvE (ohne Objekt) nach Tarif 2026 abgeleitet; Zusammenveranlagung über Halbierung der Tarifbasis; manueller Grenzsteuersatz möglich.</t>
  </si>
  <si>
    <t xml:space="preserve">§ 32a Abs. 1 EStG (VZ 2026)</t>
  </si>
  <si>
    <t xml:space="preserve">Solidaritätszuschlag / Kirchensteuer</t>
  </si>
  <si>
    <t xml:space="preserve">Soli 5,5 % der ESt oberhalb der Freigrenze (2026: 20.350 € / 40.700 € ESt); Kirchensteuer 8 % (BW, BY) bzw. 9 % der ESt, als Sonderausgabe abziehbar. Für Kapitalgesellschaften Soli ohne Freigrenze.</t>
  </si>
  <si>
    <t xml:space="preserve">Schalter Soli und Auswahl KiSt; Grenzbelastung = ESt-Satz × (1 + Soli + KiSt × (1 – ESt-Satz)).</t>
  </si>
  <si>
    <t xml:space="preserve">§§ 3, 4 SolZG; § 10 Abs. 1 Nr. 4 EStG; Kirchensteuergesetze</t>
  </si>
  <si>
    <t xml:space="preserve">Vermögensverwaltende GmbH</t>
  </si>
  <si>
    <t xml:space="preserve">KSt 15 % (2026/2027), ab 2028 jährlich –1 %-Punkt auf 10 % ab 2032, zzgl. Soli 5,5 %; mit erweiterter Kürzung keine Gewerbesteuer auf Mieterträge. Veräußerung immer steuerpflichtig (kein § 23), Verluste nur als Verlustvortrag. Ausschüttung: Abgeltungsteuer 26,375 % bzw. Teileinkünfteverfahren.</t>
  </si>
  <si>
    <t xml:space="preserve">Rechtsform-Auswahl; KSt-Staffel nach Kalenderjahr aus „Konfiguration“; GewSt nur bei „gewerblich“ (Messzahl 3,5 % × Hebesatz); Verlustvortrag automatisch (auch beim Exit verrechnet); Ausschüttungsbelastung nur als Hinweis.</t>
  </si>
  <si>
    <t xml:space="preserve">§ 23 KStG (Investitionssofortprogramm 2025); § 9 Nr. 1 S. 2 GewStG; § 8 Abs. 1 KStG i. V. m. § 10d EStG; § 32d EStG</t>
  </si>
  <si>
    <t xml:space="preserve">Private Veräußerung (Spekulationsfrist)</t>
  </si>
  <si>
    <t xml:space="preserve">Veräußerung eines vermieteten Objekts im Privatvermögen innerhalb von 10 Jahren nach Anschaffung ist steuerpflichtig (Gewinn = Verkaufspreis – Verkaufskosten – (AK – AfA)); danach steuerfrei. Drei-Objekt-Grenze (gewerblicher Grundstückshandel) beachten.</t>
  </si>
  <si>
    <t xml:space="preserve">Exit-Block: Steuerpflicht bei Haltedauer ≤ 10 Jahre (Privat) bzw. immer (GmbH); AfA wird über den Buchwert nachversteuert.</t>
  </si>
  <si>
    <t xml:space="preserve">§§ 22 Nr. 2, 23 Abs. 1 S. 1 Nr. 1 EStG; § 15 Abs. 2 EStG (Drei-Objekt-Grenze)</t>
  </si>
  <si>
    <t xml:space="preserve">Verluste aus Vermietung und Verpachtung sind mit anderen Einkünften verrechenbar (Einkünfteerzielungsabsicht bei Dauervermietung typisiert). Bei verbilligter Vermietung &lt; 66 % der ortsüblichen Miete anteilige Kürzung des Werbungskostenabzugs.</t>
  </si>
  <si>
    <t xml:space="preserve">Option „sofortige Verrechnung“ (Steuererstattung im Cashflow) oder „nur Verlustvortrag“.</t>
  </si>
  <si>
    <t xml:space="preserve">§ 21 Abs. 2 EStG; § 10d EStG; BMF v. 8.10.2004</t>
  </si>
  <si>
    <t xml:space="preserve">Umsatzsteuer</t>
  </si>
  <si>
    <t xml:space="preserve">Wohnraumvermietung ist umsatzsteuerfrei (kein Vorsteuerabzug); bei Gewerbeeinheiten Option zur Umsatzsteuer möglich, wenn der Mieter vorsteuerabzugsberechtigt ist.</t>
  </si>
  <si>
    <t xml:space="preserve">Nicht modelliert; Kosten werden brutto angesetzt.</t>
  </si>
  <si>
    <t xml:space="preserve">§ 4 Nr. 12, § 9 UStG</t>
  </si>
  <si>
    <t xml:space="preserve">Modellannahmen</t>
  </si>
  <si>
    <t xml:space="preserve">VEREINFACHUNG IM MODELL</t>
  </si>
  <si>
    <t xml:space="preserve">Zeitraster</t>
  </si>
  <si>
    <t xml:space="preserve">Jahr 1 der Kalkulation umfasst die ersten 12 Monate ab dem Kaufdatum; AfA und Kosten werden nicht zeitanteilig auf Kalenderjahre verteilt (steuerlich erfolgt die AfA im Kaufjahr monatsgenau).</t>
  </si>
  <si>
    <t xml:space="preserve">Annuitätendarlehen mit konstanter Rate (Zins + anfängliche Tilgung); nach Ablauf der Zinsbindung gilt der eingegebene Anschlusszins bei unveränderter Rate. Sondertilgungen konstant p. a.; keine Vorfälligkeitsentschädigung beim Exit.</t>
  </si>
  <si>
    <t xml:space="preserve">Steuersatz</t>
  </si>
  <si>
    <t xml:space="preserve">Konstanter Grenzsteuersatz (Privat) bzw. KSt-Staffel + Soli (+ GewSt) – keine vollständige Veranlagungsrechnung, keine Progressionswirkung des Objekts auf das übrige Einkommen.</t>
  </si>
  <si>
    <t xml:space="preserve">AfA-Kombination</t>
  </si>
  <si>
    <t xml:space="preserve">Bei Kombination von degressiver AfA und Sonder-AfA § 7b wird die degressive AfA auf den um die Sonder-AfA geminderten Restwert berechnet (konservativ). Erhöhte Absetzungen § 7h/7i laufen parallel auf dem Sanierungsanteil.</t>
  </si>
  <si>
    <t xml:space="preserve">Rücklagen</t>
  </si>
  <si>
    <t xml:space="preserve">Zuführungen zur WEG-Erhaltungsrücklage und zur eigenen Instandhaltungsrücklage sind Liquiditätsabflüsse, aber nicht sofort steuerwirksam; Verausgabungen der WEG sind nicht separat modelliert.</t>
  </si>
  <si>
    <t xml:space="preserve">GmbH</t>
  </si>
  <si>
    <t xml:space="preserve">Keine Hinzurechnungen nach § 8 GewStG, keine Mindestbesteuerung (§ 10d Abs. 2 EStG), keine Ausschüttungsbelastung im Cashflow; Grunderwerbsteuer beim Share Deal nicht abgebildet.</t>
  </si>
  <si>
    <t xml:space="preserve">Wertentwicklung, Miet- und Kostensteigerung sind Prognoseannahmen; die Eigenkapitalrendite (IRR) bezieht sich auf das eingesetzte Eigenkapital ohne Liquiditätsreserve.</t>
  </si>
  <si>
    <t xml:space="preserve">Haftung</t>
  </si>
  <si>
    <t xml:space="preserve">Dieses Tool ersetzt keine Rechts-, Steuer- oder Finanzberatung und keine Prüfung im Einzelfall. Alle Angaben ohne Gewähr; Rechtsstand September 2026.</t>
  </si>
  <si>
    <t xml:space="preserve">ANHANG  ›  KONFIGURATION</t>
  </si>
  <si>
    <t xml:space="preserve">Konfiguration</t>
  </si>
  <si>
    <r>
      <rPr>
        <b val="true"/>
        <sz val="10"/>
        <color rgb="FFB54708"/>
        <rFont val="Calibri"/>
        <family val="0"/>
        <charset val="1"/>
      </rPr>
      <t xml:space="preserve">▲  Expertenbereich</t>
    </r>
    <r>
      <rPr>
        <sz val="10"/>
        <color rgb="FF5B6068"/>
        <rFont val="Calibri"/>
        <family val="0"/>
        <charset val="1"/>
      </rPr>
      <t xml:space="preserve">   ·   Änderungen wirken auf alle Blätter – Reihenfolge der Auswahllisten nicht ändern</t>
    </r>
  </si>
  <si>
    <r>
      <rPr>
        <b val="true"/>
        <sz val="12.5"/>
        <color rgb="FF0B2A4A"/>
        <rFont val="Calibri"/>
        <family val="0"/>
        <charset val="1"/>
      </rPr>
      <t xml:space="preserve">Grunderwerbsteuer nach Bundesland</t>
    </r>
    <r>
      <rPr>
        <sz val="9"/>
        <color rgb="FF5B6068"/>
        <rFont val="Calibri"/>
        <family val="0"/>
        <charset val="1"/>
      </rPr>
      <t xml:space="preserve">   § 11 GrEStG · Landesgesetze, Übersicht z. B. finanz-tools.de (Stand 2026)</t>
    </r>
  </si>
  <si>
    <r>
      <rPr>
        <b val="true"/>
        <sz val="12.5"/>
        <color rgb="FF0B2A4A"/>
        <rFont val="Calibri"/>
        <family val="0"/>
        <charset val="1"/>
      </rPr>
      <t xml:space="preserve">Auswahllisten</t>
    </r>
    <r>
      <rPr>
        <sz val="9"/>
        <color rgb="FF5B6068"/>
        <rFont val="Calibri"/>
        <family val="0"/>
        <charset val="1"/>
      </rPr>
      <t xml:space="preserve">   Dropdown-Quellen · Reihenfolge nicht ändern</t>
    </r>
  </si>
  <si>
    <t xml:space="preserve">BUNDESLAND</t>
  </si>
  <si>
    <t xml:space="preserve">STEUERSATZ</t>
  </si>
  <si>
    <t xml:space="preserve">GÜLTIG SEIT</t>
  </si>
  <si>
    <t xml:space="preserve">OBJEKTART</t>
  </si>
  <si>
    <t xml:space="preserve">05.11.2011</t>
  </si>
  <si>
    <t xml:space="preserve">Bayern</t>
  </si>
  <si>
    <t xml:space="preserve">01.01.1997</t>
  </si>
  <si>
    <t xml:space="preserve">Mehrfamilienhaus</t>
  </si>
  <si>
    <t xml:space="preserve">Berlin</t>
  </si>
  <si>
    <t xml:space="preserve">01.01.2014</t>
  </si>
  <si>
    <t xml:space="preserve">Einfamilienhaus / Doppelhaushälfte</t>
  </si>
  <si>
    <t xml:space="preserve">Brandenburg</t>
  </si>
  <si>
    <t xml:space="preserve">01.07.2015</t>
  </si>
  <si>
    <t xml:space="preserve">Gewerbeeinheit</t>
  </si>
  <si>
    <t xml:space="preserve">Bremen</t>
  </si>
  <si>
    <t xml:space="preserve">01.07.2025</t>
  </si>
  <si>
    <t xml:space="preserve">Hamburg</t>
  </si>
  <si>
    <t xml:space="preserve">01.01.2023</t>
  </si>
  <si>
    <t xml:space="preserve">METHODE KAUFPREISAUFTEILUNG</t>
  </si>
  <si>
    <t xml:space="preserve">Hessen</t>
  </si>
  <si>
    <t xml:space="preserve">01.08.2014</t>
  </si>
  <si>
    <t xml:space="preserve">Mecklenburg-Vorpommern</t>
  </si>
  <si>
    <t xml:space="preserve">01.07.2019</t>
  </si>
  <si>
    <t xml:space="preserve">Bodenanteil in % des Kaufpreises (Eingabe)</t>
  </si>
  <si>
    <t xml:space="preserve">Niedersachsen</t>
  </si>
  <si>
    <t xml:space="preserve">Gebäudewert lt. Gutachten / Kaufvertrag (Eingabe)</t>
  </si>
  <si>
    <t xml:space="preserve">Nordrhein-Westfalen</t>
  </si>
  <si>
    <t xml:space="preserve">01.01.2015</t>
  </si>
  <si>
    <t xml:space="preserve">Rheinland-Pfalz</t>
  </si>
  <si>
    <t xml:space="preserve">01.03.2012</t>
  </si>
  <si>
    <t xml:space="preserve">STEUERLICHE BEHANDLUNG RENOVIERUNG</t>
  </si>
  <si>
    <t xml:space="preserve">Saarland</t>
  </si>
  <si>
    <t xml:space="preserve">Sachsen</t>
  </si>
  <si>
    <t xml:space="preserve">Erhaltungsaufwand – sofort abziehbar (ggf. Verteilung § 82b EStDV)</t>
  </si>
  <si>
    <t xml:space="preserve">Sachsen-Anhalt</t>
  </si>
  <si>
    <t xml:space="preserve">Herstellungskosten – Aktivierung und Abschreibung</t>
  </si>
  <si>
    <t xml:space="preserve">Schleswig-Holstein</t>
  </si>
  <si>
    <t xml:space="preserve">Thüringen</t>
  </si>
  <si>
    <t xml:space="preserve">01.01.2024</t>
  </si>
  <si>
    <t xml:space="preserve">RECHTSFORM</t>
  </si>
  <si>
    <r>
      <rPr>
        <b val="true"/>
        <sz val="12.5"/>
        <color rgb="FF0B2A4A"/>
        <rFont val="Calibri"/>
        <family val="0"/>
        <charset val="1"/>
      </rPr>
      <t xml:space="preserve">Einkommensteuertarif 2026</t>
    </r>
    <r>
      <rPr>
        <sz val="9"/>
        <color rgb="FF5B6068"/>
        <rFont val="Calibri"/>
        <family val="0"/>
        <charset val="1"/>
      </rPr>
      <t xml:space="preserve">   § 32a EStG</t>
    </r>
  </si>
  <si>
    <t xml:space="preserve">Vermögensverwaltende GmbH – mit erweiterter Kürzung (§ 9 Nr. 1 S. 2 GewStG)</t>
  </si>
  <si>
    <t xml:space="preserve">Grundfreibetrag</t>
  </si>
  <si>
    <t xml:space="preserve">bis 12.348 €: Steuer 0</t>
  </si>
  <si>
    <t xml:space="preserve">GmbH / Holding – gewerblich, ohne erweiterte Kürzung (KSt + GewSt)</t>
  </si>
  <si>
    <t xml:space="preserve">Ende erste Progressionszone</t>
  </si>
  <si>
    <t xml:space="preserve">12.349 – 17.799 €: (914,51·y + 1.400)·y</t>
  </si>
  <si>
    <t xml:space="preserve">Ende zweite Progressionszone</t>
  </si>
  <si>
    <t xml:space="preserve">17.800 – 69.878 €: (173,10·z + 2.397)·z + 1.034,87</t>
  </si>
  <si>
    <t xml:space="preserve">VERANLAGUNG</t>
  </si>
  <si>
    <t xml:space="preserve">Beginn Reichensteuer</t>
  </si>
  <si>
    <t xml:space="preserve">69.879 – 277.825 €: 0,42·x – 11.135,63</t>
  </si>
  <si>
    <t xml:space="preserve">Koeffizient a (Zone 2)</t>
  </si>
  <si>
    <t xml:space="preserve">Zusammenveranlagung (Splittingtarif)</t>
  </si>
  <si>
    <t xml:space="preserve">Koeffizient b (Zone 2)</t>
  </si>
  <si>
    <t xml:space="preserve">Koeffizient c (Zone 3)</t>
  </si>
  <si>
    <t xml:space="preserve">JA / NEIN</t>
  </si>
  <si>
    <t xml:space="preserve">Koeffizient d (Zone 3)</t>
  </si>
  <si>
    <t xml:space="preserve">Spitzensteuersatz</t>
  </si>
  <si>
    <t xml:space="preserve">Reichensteuersatz</t>
  </si>
  <si>
    <t xml:space="preserve">ab 277.826 €: 0,45·x – 19.470,38</t>
  </si>
  <si>
    <t xml:space="preserve">Solidaritätszuschlag (Satz)</t>
  </si>
  <si>
    <t xml:space="preserve">5,5 % der ESt/KSt; Freigrenze 2026: 20.350 € / 40.700 € ESt</t>
  </si>
  <si>
    <t xml:space="preserve">KIRCHENSTEUER</t>
  </si>
  <si>
    <t xml:space="preserve">Kirchensteuer 8 %</t>
  </si>
  <si>
    <t xml:space="preserve">Baden-Württemberg, Bayern</t>
  </si>
  <si>
    <t xml:space="preserve">Keine Kirchensteuer</t>
  </si>
  <si>
    <t xml:space="preserve">Kirchensteuer 9 %</t>
  </si>
  <si>
    <t xml:space="preserve">übrige Bundesländer</t>
  </si>
  <si>
    <t xml:space="preserve">9 % (übrige Bundesländer)</t>
  </si>
  <si>
    <r>
      <rPr>
        <b val="true"/>
        <sz val="12.5"/>
        <color rgb="FF0B2A4A"/>
        <rFont val="Calibri"/>
        <family val="0"/>
        <charset val="1"/>
      </rPr>
      <t xml:space="preserve">Körperschaftsteuersatz nach Kalenderjahr</t>
    </r>
    <r>
      <rPr>
        <sz val="9"/>
        <color rgb="FF5B6068"/>
        <rFont val="Calibri"/>
        <family val="0"/>
        <charset val="1"/>
      </rPr>
      <t xml:space="preserve">   § 23 KStG · ab 2028 −1 %-Punkt p. a. bis 10 % (2032) · zzgl. Soli 5,5 %</t>
    </r>
  </si>
  <si>
    <t xml:space="preserve">AfA-METHODE GEBÄUDE</t>
  </si>
  <si>
    <t xml:space="preserve">KALENDERJAHR</t>
  </si>
  <si>
    <t xml:space="preserve">Linear 2,0 % – Fertigstellung 1925 bis 2022 (§ 7 Abs. 4 S. 1 Nr. 2b EStG)</t>
  </si>
  <si>
    <t xml:space="preserve">Linear 2,5 % – Fertigstellung vor 1925 (§ 7 Abs. 4 S. 1 Nr. 2c EStG)</t>
  </si>
  <si>
    <t xml:space="preserve">Linear 3,0 % – Fertigstellung ab 2023 (§ 7 Abs. 4 S. 1 Nr. 2a) / Wirtschaftsgebäude im BV (Nr. 1)</t>
  </si>
  <si>
    <t xml:space="preserve">Degressiv 5 % vom Restwert – § 7 Abs. 5a EStG (Wohngebäude, Baubeginn 1.10.2023 – 30.9.2029)</t>
  </si>
  <si>
    <t xml:space="preserve">Linear nach tatsächlicher Restnutzungsdauer – Gutachten (§ 7 Abs. 4 S. 2 EStG)</t>
  </si>
  <si>
    <t xml:space="preserve">VERLUSTVERRECHNUNG</t>
  </si>
  <si>
    <t xml:space="preserve">Nur Verlustvortrag – Verrechnung mit späteren Gewinnen aus dem Objekt</t>
  </si>
  <si>
    <t xml:space="preserve">Letztes Tabellenjahr (danach konstant)</t>
  </si>
  <si>
    <t xml:space="preserve">Konstanten und Schwellenwerte</t>
  </si>
  <si>
    <t xml:space="preserve">Umsatzsteuersatz (Netto-Ermittlung 15 %-Grenze)</t>
  </si>
  <si>
    <t xml:space="preserve">§ 6 Abs. 1 Nr. 1a EStG stellt auf Nettobeträge ab</t>
  </si>
  <si>
    <t xml:space="preserve">Grenze anschaffungsnahe Herstellungskosten</t>
  </si>
  <si>
    <t xml:space="preserve">innerhalb von 3 Jahren nach Anschaffung (AK Gebäude)</t>
  </si>
  <si>
    <t xml:space="preserve">Sonder-AfA § 7b: Satz p. a.</t>
  </si>
  <si>
    <t xml:space="preserve">im Jahr der Anschaffung und in den 3 Folgejahren</t>
  </si>
  <si>
    <t xml:space="preserve">Sonder-AfA § 7b: Begünstigungszeitraum</t>
  </si>
  <si>
    <t xml:space="preserve">Sonder-AfA § 7b: Baukostenobergrenze je m²</t>
  </si>
  <si>
    <t xml:space="preserve">je m² Wohnfläche · bei Überschreitung entfällt § 7b ganz</t>
  </si>
  <si>
    <t xml:space="preserve">Sonder-AfA § 7b: max. Bemessungsgrundlage je m²</t>
  </si>
  <si>
    <t xml:space="preserve">je m² Wohnfläche · darüber keine Sonder-AfA</t>
  </si>
  <si>
    <t xml:space="preserve">Degressive AfA § 7 Abs. 5a: Satz vom Restwert</t>
  </si>
  <si>
    <t xml:space="preserve">Baubeginn 1.10.2023 – 30.9.2029, Wohngebäude</t>
  </si>
  <si>
    <t xml:space="preserve">Erhöhte Absetzungen § 7h/§ 7i: Satz Jahre 1–8</t>
  </si>
  <si>
    <t xml:space="preserve">Erhöhte Absetzungen § 7h/§ 7i: Satz Jahre 9–12</t>
  </si>
  <si>
    <t xml:space="preserve">Spekulationsfrist § 23 EStG</t>
  </si>
  <si>
    <t xml:space="preserve">Verkauf nach &gt; 10 Jahren steuerfrei (Privatvermögen)</t>
  </si>
  <si>
    <t xml:space="preserve">Max. Verteilungszeitraum § 82b EStDV</t>
  </si>
  <si>
    <t xml:space="preserve">größerer Erhaltungsaufwand, Wohngebäude (Privat)</t>
  </si>
  <si>
    <t xml:space="preserve">Disagio: Grenze Sofortabzug (Anteil)</t>
  </si>
  <si>
    <t xml:space="preserve">bis 5 % sofort abziehbar bei ≥ 5 Jahren Zinsbindung</t>
  </si>
  <si>
    <t xml:space="preserve">Disagio: Mindest-Zinsbindung Sofortabzug</t>
  </si>
  <si>
    <t xml:space="preserve">BMF-Schreiben vom 20.10.2003</t>
  </si>
  <si>
    <t xml:space="preserve">Gewerbesteuer-Messzahl</t>
  </si>
  <si>
    <t xml:space="preserve">§ 11 Abs. 2 GewStG</t>
  </si>
  <si>
    <t xml:space="preserve">Abgeltungsteuer auf Ausschüttungen</t>
  </si>
  <si>
    <t xml:space="preserve">zzgl. Soli = 26,375 % · Information, nicht im Cashflow</t>
  </si>
  <si>
    <t xml:space="preserve">Kalkulationszins für Barwerte (AfA-Vergleich)</t>
  </si>
  <si>
    <t xml:space="preserve">Diskontierung der Steuerersparnisse</t>
  </si>
  <si>
    <r>
      <rPr>
        <b val="true"/>
        <sz val="12.5"/>
        <color rgb="FF0B2A4A"/>
        <rFont val="Calibri"/>
        <family val="0"/>
        <charset val="1"/>
      </rPr>
      <t xml:space="preserve">Ampel-Schwellenwerte</t>
    </r>
    <r>
      <rPr>
        <sz val="9"/>
        <color rgb="FF5B6068"/>
        <rFont val="Calibri"/>
        <family val="0"/>
        <charset val="1"/>
      </rPr>
      <t xml:space="preserve">   Cockpit, Dashboard, Leitfaden und Sensitivität</t>
    </r>
  </si>
  <si>
    <t xml:space="preserve">GRÜN AB</t>
  </si>
  <si>
    <t xml:space="preserve">GELB AB</t>
  </si>
  <si>
    <t xml:space="preserve">Jahresnettokaltmiete / Kaufpreis</t>
  </si>
  <si>
    <t xml:space="preserve">NOI / Gesamtinvestition</t>
  </si>
  <si>
    <t xml:space="preserve">NOI / Kapitaldienst</t>
  </si>
  <si>
    <t xml:space="preserve">Eigenkapitalrendite p. a. (IRR nach Steuern)</t>
  </si>
  <si>
    <t xml:space="preserve">bei Verkauf nach der Haltedauer</t>
  </si>
  <si>
    <t xml:space="preserve">EK-Rendite Jahr 1 (Vermögenszuwachs / EK)</t>
  </si>
  <si>
    <t xml:space="preserve">inkl. Tilgung und Wertsteigerung</t>
  </si>
</sst>
</file>

<file path=xl/styles.xml><?xml version="1.0" encoding="utf-8"?>
<styleSheet xmlns="http://schemas.openxmlformats.org/spreadsheetml/2006/main">
  <numFmts count="48">
    <numFmt numFmtId="164" formatCode="@* &quot;●  kritisch   &quot;"/>
    <numFmt numFmtId="165" formatCode="@* &quot;●  prüfen   &quot;"/>
    <numFmt numFmtId="166" formatCode="@* &quot;●  erfüllt   &quot;"/>
    <numFmt numFmtId="167" formatCode="\–;\–;\–;\–"/>
    <numFmt numFmtId="168" formatCode="General"/>
    <numFmt numFmtId="169" formatCode="@"/>
    <numFmt numFmtId="170" formatCode="#,##0&quot; €&quot;;\−#,##0&quot; €&quot;;\–"/>
    <numFmt numFmtId="171" formatCode="[=1]0&quot; Jahr&quot;;0&quot; Jahre&quot;"/>
    <numFmt numFmtId="172" formatCode="0.0\ %;\−0.0\ %;\–"/>
    <numFmt numFmtId="173" formatCode="0.00\×;\−0.00\×;\–"/>
    <numFmt numFmtId="174" formatCode="#,##0"/>
    <numFmt numFmtId="175" formatCode="0.00\ %;\−0.00\ %;\–"/>
    <numFmt numFmtId="176" formatCode="0;\−0"/>
    <numFmt numFmtId="177" formatCode="#,##0&quot; m²&quot;;\−#,##0&quot; m²&quot;"/>
    <numFmt numFmtId="178" formatCode="dd\.mm\.yyyy"/>
    <numFmt numFmtId="179" formatCode="#,##0&quot; €&quot;;\−#,##0&quot; €&quot;"/>
    <numFmt numFmtId="180" formatCode="#,##0.00&quot; €&quot;;\−#,##0.00&quot; €&quot;;\–"/>
    <numFmt numFmtId="181" formatCode="0.0\×;\−0.0\×"/>
    <numFmt numFmtId="182" formatCode="0.00\ %;\−0.00\ %"/>
    <numFmt numFmtId="183" formatCode="#,##0;\−#,##0;\–"/>
    <numFmt numFmtId="184" formatCode="0.0\ %;\−0.0\ %"/>
    <numFmt numFmtId="185" formatCode="0\ %;\−0\ %;\–"/>
    <numFmt numFmtId="186" formatCode="[=1]0&quot; Monat&quot;;0&quot; Monate&quot;"/>
    <numFmt numFmtId="187" formatCode="&quot;Zahlung &quot;#,##0&quot; €&quot;;&quot;Erstattung &quot;#,##0&quot; €&quot;;\–"/>
    <numFmt numFmtId="188" formatCode="0\ %;\−0\ %"/>
    <numFmt numFmtId="189" formatCode="\−#,##0&quot; €&quot;;\+#,##0&quot; €&quot;;\–"/>
    <numFmt numFmtId="190" formatCode="0.00\×;\−0.00\×"/>
    <numFmt numFmtId="191" formatCode="&quot;●  &quot;@"/>
    <numFmt numFmtId="192" formatCode=";;;"/>
    <numFmt numFmtId="193" formatCode="&quot;Jahr &quot;0;&quot;−Jahr &quot;0"/>
    <numFmt numFmtId="194" formatCode="\+#,##0;\−#,##0;\–"/>
    <numFmt numFmtId="195" formatCode="&quot;Stand &quot;dd\.mm\.yyyy"/>
    <numFmt numFmtId="196" formatCode="#,##0&quot; €&quot;;\−#,##0&quot; €&quot;;0&quot; €&quot;"/>
    <numFmt numFmtId="197" formatCode="#,##0,&quot; T€&quot;;\−#,##0,&quot; T€&quot;;\–"/>
    <numFmt numFmtId="198" formatCode="#,##0.00&quot; €/m²&quot;;\−#,##0.00&quot; €/m²&quot;"/>
    <numFmt numFmtId="199" formatCode="0.000;\−0.000"/>
    <numFmt numFmtId="200" formatCode="#,##0&quot; m²&quot;;\−#,##0&quot; m²&quot;;\–"/>
    <numFmt numFmtId="201" formatCode="[=1]0&quot; Jahr&quot;;[=0]\–;0&quot; Jahre&quot;"/>
    <numFmt numFmtId="202" formatCode="[=1]0&quot; Monat&quot;;[=0]\–;0&quot; Monate&quot;"/>
    <numFmt numFmtId="203" formatCode="[=1]&quot;ja&quot;;[=0]&quot;nein&quot;;0"/>
    <numFmt numFmtId="204" formatCode="#0.00\ %;\−#0.00\ %;\–"/>
    <numFmt numFmtId="205" formatCode="#,##0&quot; €/m²&quot;;\−#,##0&quot; €/m²&quot;;\–"/>
    <numFmt numFmtId="206" formatCode="0&quot; Jahre&quot;;;&quot;– (kein Gutachten)&quot;"/>
    <numFmt numFmtId="207" formatCode="\+0.0\ %;\−0.0\ %;&quot;Basis&quot;"/>
    <numFmt numFmtId="208" formatCode="&quot;Miete +&quot;0\ %;&quot;Miete −&quot;0\ %;&quot;Miete Basis&quot;"/>
    <numFmt numFmtId="209" formatCode="0.0\ %;\−0.0\ %;0.0\ %"/>
    <numFmt numFmtId="210" formatCode="0%"/>
    <numFmt numFmtId="211" formatCode="#,##0.00;\−#,##0.00"/>
  </numFmts>
  <fonts count="8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rgb="FF9CBBE2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9CBBE2"/>
      <name val="Calibri"/>
      <family val="0"/>
      <charset val="1"/>
    </font>
    <font>
      <sz val="11"/>
      <color rgb="FF1A1D21"/>
      <name val="Calibri"/>
      <family val="2"/>
      <charset val="1"/>
    </font>
    <font>
      <b val="true"/>
      <sz val="9"/>
      <color rgb="FF9CBBE2"/>
      <name val="Calibri"/>
      <family val="0"/>
      <charset val="1"/>
    </font>
    <font>
      <b val="true"/>
      <sz val="8"/>
      <color rgb="FF9CBBE2"/>
      <name val="Calibri"/>
      <family val="0"/>
      <charset val="1"/>
    </font>
    <font>
      <b val="true"/>
      <sz val="12.5"/>
      <color rgb="FF9CBBE2"/>
      <name val="Calibri"/>
      <family val="0"/>
      <charset val="1"/>
    </font>
    <font>
      <sz val="10"/>
      <color rgb="FFC8D7EB"/>
      <name val="Calibri"/>
      <family val="0"/>
      <charset val="1"/>
    </font>
    <font>
      <b val="true"/>
      <sz val="10"/>
      <color rgb="FF1D4F8A"/>
      <name val="Calibri"/>
      <family val="0"/>
      <charset val="1"/>
    </font>
    <font>
      <b val="true"/>
      <sz val="30"/>
      <color rgb="FFFFFFFF"/>
      <name val="Calibri"/>
      <family val="0"/>
      <charset val="1"/>
    </font>
    <font>
      <sz val="9"/>
      <color rgb="FFC8D7EB"/>
      <name val="Calibri"/>
      <family val="0"/>
      <charset val="1"/>
    </font>
    <font>
      <sz val="8"/>
      <color rgb="FF9CBBE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0B2A4A"/>
      <name val="Calibri"/>
      <family val="0"/>
      <charset val="1"/>
    </font>
    <font>
      <sz val="8"/>
      <color rgb="FFC8D7EB"/>
      <name val="Calibri"/>
      <family val="0"/>
      <charset val="1"/>
    </font>
    <font>
      <b val="true"/>
      <sz val="12.5"/>
      <color rgb="FF0B2A4A"/>
      <name val="Calibri"/>
      <family val="0"/>
      <charset val="1"/>
    </font>
    <font>
      <sz val="8.5"/>
      <color rgb="FF1D4F8A"/>
      <name val="Calibri"/>
      <family val="0"/>
      <charset val="1"/>
    </font>
    <font>
      <sz val="8"/>
      <color rgb="FF1D4F8A"/>
      <name val="Calibri"/>
      <family val="0"/>
      <charset val="1"/>
    </font>
    <font>
      <sz val="10"/>
      <color rgb="FF1A1D21"/>
      <name val="Calibri"/>
      <family val="0"/>
      <charset val="1"/>
    </font>
    <font>
      <sz val="8"/>
      <color rgb="FF5B6068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b val="true"/>
      <sz val="20"/>
      <color rgb="FF0B2A4A"/>
      <name val="Calibri"/>
      <family val="0"/>
      <charset val="1"/>
    </font>
    <font>
      <b val="true"/>
      <sz val="8"/>
      <color rgb="FF5B6068"/>
      <name val="Calibri"/>
      <family val="0"/>
      <charset val="1"/>
    </font>
    <font>
      <sz val="9"/>
      <color rgb="FF3A3F45"/>
      <name val="Calibri"/>
      <family val="0"/>
      <charset val="1"/>
    </font>
    <font>
      <sz val="9"/>
      <color rgb="FF5B6068"/>
      <name val="Calibri"/>
      <family val="0"/>
      <charset val="1"/>
    </font>
    <font>
      <sz val="10"/>
      <color rgb="FF1D4F8A"/>
      <name val="Calibri"/>
      <family val="0"/>
      <charset val="1"/>
    </font>
    <font>
      <b val="true"/>
      <sz val="10"/>
      <color rgb="FFB42318"/>
      <name val="Calibri"/>
      <family val="0"/>
      <charset val="1"/>
    </font>
    <font>
      <b val="true"/>
      <sz val="9"/>
      <color rgb="FF1F7A4D"/>
      <name val="Calibri"/>
      <family val="0"/>
      <charset val="1"/>
    </font>
    <font>
      <b val="true"/>
      <sz val="9"/>
      <color rgb="FFB54708"/>
      <name val="Calibri"/>
      <family val="0"/>
      <charset val="1"/>
    </font>
    <font>
      <b val="true"/>
      <sz val="9"/>
      <color rgb="FFB42318"/>
      <name val="Calibri"/>
      <family val="0"/>
      <charset val="1"/>
    </font>
    <font>
      <b val="true"/>
      <sz val="9"/>
      <color rgb="FF1D4F8A"/>
      <name val="Calibri"/>
      <family val="0"/>
      <charset val="1"/>
    </font>
    <font>
      <b val="true"/>
      <sz val="8.5"/>
      <color rgb="FF1D4F8A"/>
      <name val="Calibri"/>
      <family val="0"/>
      <charset val="1"/>
    </font>
    <font>
      <b val="true"/>
      <sz val="22"/>
      <color rgb="FF0B2A4A"/>
      <name val="Calibri"/>
      <family val="0"/>
      <charset val="1"/>
    </font>
    <font>
      <b val="true"/>
      <sz val="9"/>
      <color rgb="FF0B2A4A"/>
      <name val="Calibri"/>
      <family val="0"/>
      <charset val="1"/>
    </font>
    <font>
      <b val="true"/>
      <sz val="8"/>
      <color rgb="FF1F7A4D"/>
      <name val="Calibri"/>
      <family val="0"/>
      <charset val="1"/>
    </font>
    <font>
      <b val="true"/>
      <sz val="8"/>
      <color rgb="FFB54708"/>
      <name val="Calibri"/>
      <family val="0"/>
      <charset val="1"/>
    </font>
    <font>
      <b val="true"/>
      <sz val="12.5"/>
      <color rgb="FF5B6068"/>
      <name val="Calibri"/>
      <family val="0"/>
      <charset val="1"/>
    </font>
    <font>
      <sz val="10"/>
      <color rgb="FF000000"/>
      <name val="Calibri"/>
      <family val="2"/>
    </font>
    <font>
      <b val="true"/>
      <sz val="10.5"/>
      <color rgb="FF0F1C16"/>
      <name val="Inter"/>
      <family val="2"/>
    </font>
    <font>
      <sz val="7.5"/>
      <color rgb="FF6B685E"/>
      <name val="Inter"/>
      <family val="2"/>
    </font>
    <font>
      <sz val="8"/>
      <color rgb="FF6B685E"/>
      <name val="Inter"/>
      <family val="2"/>
    </font>
    <font>
      <sz val="10"/>
      <color rgb="FF5B6068"/>
      <name val="Calibri"/>
      <family val="0"/>
      <charset val="1"/>
    </font>
    <font>
      <i val="true"/>
      <sz val="9"/>
      <color rgb="FF5B6068"/>
      <name val="Calibri"/>
      <family val="0"/>
      <charset val="1"/>
    </font>
    <font>
      <b val="true"/>
      <sz val="9"/>
      <color rgb="FF5B6068"/>
      <name val="Calibri"/>
      <family val="0"/>
      <charset val="1"/>
    </font>
    <font>
      <b val="true"/>
      <sz val="8"/>
      <color rgb="FFFFFFFF"/>
      <name val="Inter"/>
      <family val="2"/>
    </font>
    <font>
      <b val="true"/>
      <sz val="30"/>
      <color rgb="FF0B2A4A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4A86C8"/>
      <name val="Calibri"/>
      <family val="0"/>
      <charset val="1"/>
    </font>
    <font>
      <sz val="8"/>
      <color rgb="FFB8C3D1"/>
      <name val="Calibri"/>
      <family val="0"/>
      <charset val="1"/>
    </font>
    <font>
      <sz val="8"/>
      <color rgb="FF0B2A4A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8"/>
      <color rgb="FFB42318"/>
      <name val="Calibri"/>
      <family val="0"/>
      <charset val="1"/>
    </font>
    <font>
      <b val="true"/>
      <sz val="8"/>
      <color rgb="FF1D4F8A"/>
      <name val="Calibri"/>
      <family val="0"/>
      <charset val="1"/>
    </font>
    <font>
      <sz val="8"/>
      <color rgb="FF5B6068"/>
      <name val="Calibri"/>
      <family val="2"/>
    </font>
    <font>
      <b val="true"/>
      <sz val="9"/>
      <color rgb="FFFFFFFF"/>
      <name val="Calibri"/>
      <family val="0"/>
      <charset val="1"/>
    </font>
    <font>
      <b val="true"/>
      <sz val="8.5"/>
      <color rgb="FFB42318"/>
      <name val="Calibri"/>
      <family val="0"/>
      <charset val="1"/>
    </font>
    <font>
      <sz val="8.5"/>
      <color rgb="FF5B6068"/>
      <name val="Calibri"/>
      <family val="0"/>
      <charset val="1"/>
    </font>
    <font>
      <sz val="10"/>
      <color rgb="FF3A3F45"/>
      <name val="Calibri"/>
      <family val="0"/>
      <charset val="1"/>
    </font>
    <font>
      <b val="true"/>
      <sz val="8.5"/>
      <color rgb="FFF4F0E8"/>
      <name val="Calibri"/>
      <family val="0"/>
      <charset val="1"/>
    </font>
    <font>
      <sz val="9"/>
      <color rgb="FF1A1D21"/>
      <name val="Calibri"/>
      <family val="0"/>
      <charset val="1"/>
    </font>
    <font>
      <sz val="10"/>
      <color rgb="FFE6CB77"/>
      <name val="Calibri"/>
      <family val="0"/>
      <charset val="1"/>
    </font>
    <font>
      <sz val="9"/>
      <color rgb="FF1D4F8A"/>
      <name val="Calibri"/>
      <family val="0"/>
      <charset val="1"/>
    </font>
    <font>
      <b val="true"/>
      <sz val="12.5"/>
      <color rgb="FF4A86C8"/>
      <name val="Calibri"/>
      <family val="0"/>
      <charset val="1"/>
    </font>
    <font>
      <b val="true"/>
      <sz val="8.5"/>
      <color rgb="FF4A86C8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1"/>
      <color rgb="FF0B2A4A"/>
      <name val="Calibri"/>
      <family val="0"/>
      <charset val="1"/>
    </font>
    <font>
      <b val="true"/>
      <sz val="10"/>
      <color rgb="FF1A1D21"/>
      <name val="Calibri"/>
      <family val="0"/>
      <charset val="1"/>
    </font>
    <font>
      <b val="true"/>
      <sz val="8"/>
      <color rgb="FF98A2B3"/>
      <name val="Calibri"/>
      <family val="0"/>
      <charset val="1"/>
    </font>
    <font>
      <i val="true"/>
      <sz val="8"/>
      <color rgb="FF5B6068"/>
      <name val="Calibri"/>
      <family val="0"/>
      <charset val="1"/>
    </font>
    <font>
      <b val="true"/>
      <sz val="8.5"/>
      <color rgb="FF5B6068"/>
      <name val="Calibri"/>
      <family val="0"/>
      <charset val="1"/>
    </font>
    <font>
      <b val="true"/>
      <sz val="8.5"/>
      <color rgb="FF0B2A4A"/>
      <name val="Calibri"/>
      <family val="0"/>
      <charset val="1"/>
    </font>
    <font>
      <b val="true"/>
      <sz val="8.5"/>
      <color rgb="FFE6CB77"/>
      <name val="Calibri"/>
      <family val="0"/>
      <charset val="1"/>
    </font>
    <font>
      <b val="true"/>
      <sz val="10"/>
      <color rgb="FFB54708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2A4A"/>
        <bgColor rgb="FF173026"/>
      </patternFill>
    </fill>
    <fill>
      <patternFill patternType="solid">
        <fgColor rgb="FF4A86C8"/>
        <bgColor rgb="FF4F81BD"/>
      </patternFill>
    </fill>
    <fill>
      <patternFill patternType="solid">
        <fgColor rgb="FFFFF5D6"/>
        <bgColor rgb="FFFDF3E7"/>
      </patternFill>
    </fill>
    <fill>
      <patternFill patternType="solid">
        <fgColor rgb="FFFFFFFF"/>
        <bgColor rgb="FFFFF9EA"/>
      </patternFill>
    </fill>
    <fill>
      <patternFill patternType="solid">
        <fgColor rgb="FF1D4F8A"/>
        <bgColor rgb="FF3A3F45"/>
      </patternFill>
    </fill>
    <fill>
      <patternFill patternType="solid">
        <fgColor rgb="FFE7EEF7"/>
        <bgColor rgb="FFEEF3FA"/>
      </patternFill>
    </fill>
    <fill>
      <patternFill patternType="solid">
        <fgColor rgb="FFF3F7FC"/>
        <bgColor rgb="FFF3F4F6"/>
      </patternFill>
    </fill>
    <fill>
      <patternFill patternType="solid">
        <fgColor rgb="FFFFF9EA"/>
        <bgColor rgb="FFFDF3E7"/>
      </patternFill>
    </fill>
    <fill>
      <patternFill patternType="solid">
        <fgColor rgb="FFEEF3FA"/>
        <bgColor rgb="FFF3F4F6"/>
      </patternFill>
    </fill>
  </fills>
  <borders count="58">
    <border diagonalUp="false" diagonalDown="false">
      <left/>
      <right/>
      <top/>
      <bottom/>
      <diagonal/>
    </border>
    <border diagonalUp="false" diagonalDown="false">
      <left style="thin">
        <color rgb="FFE6CB77"/>
      </left>
      <right style="thin">
        <color rgb="FFE6CB77"/>
      </right>
      <top style="thin">
        <color rgb="FFE6CB77"/>
      </top>
      <bottom style="thin">
        <color rgb="FFE6CB77"/>
      </bottom>
      <diagonal/>
    </border>
    <border diagonalUp="false" diagonalDown="false">
      <left/>
      <right/>
      <top style="hair">
        <color rgb="FF4A86C8"/>
      </top>
      <bottom/>
      <diagonal/>
    </border>
    <border diagonalUp="false" diagonalDown="false">
      <left style="thin">
        <color rgb="FFFFFFFF"/>
      </left>
      <right style="thick">
        <color rgb="FF0B2A4A"/>
      </right>
      <top style="thin">
        <color rgb="FFFFFFFF"/>
      </top>
      <bottom style="thin">
        <color rgb="FFFFFFFF"/>
      </bottom>
      <diagonal/>
    </border>
    <border diagonalUp="false" diagonalDown="false">
      <left style="thick">
        <color rgb="FF0B2A4A"/>
      </left>
      <right style="thin">
        <color rgb="FF4A86C8"/>
      </right>
      <top style="thin">
        <color rgb="FF4A86C8"/>
      </top>
      <bottom style="thin">
        <color rgb="FF4A86C8"/>
      </bottom>
      <diagonal/>
    </border>
    <border diagonalUp="false" diagonalDown="false">
      <left/>
      <right/>
      <top/>
      <bottom style="thick">
        <color rgb="FF4A86C8"/>
      </bottom>
      <diagonal/>
    </border>
    <border diagonalUp="false" diagonalDown="false">
      <left style="thick">
        <color rgb="FF4A86C8"/>
      </left>
      <right/>
      <top/>
      <bottom style="thin">
        <color rgb="FF4A86C8"/>
      </bottom>
      <diagonal/>
    </border>
    <border diagonalUp="false" diagonalDown="false">
      <left/>
      <right/>
      <top/>
      <bottom style="thin">
        <color rgb="FF4A86C8"/>
      </bottom>
      <diagonal/>
    </border>
    <border diagonalUp="false" diagonalDown="false">
      <left style="thick">
        <color rgb="FFC9A94A"/>
      </left>
      <right/>
      <top style="medium">
        <color rgb="FFC9A94A"/>
      </top>
      <bottom style="medium">
        <color rgb="FFC9A94A"/>
      </bottom>
      <diagonal/>
    </border>
    <border diagonalUp="false" diagonalDown="false">
      <left style="thin">
        <color rgb="FFC9A94A"/>
      </left>
      <right style="medium">
        <color rgb="FFC9A94A"/>
      </right>
      <top style="medium">
        <color rgb="FFC9A94A"/>
      </top>
      <bottom style="medium">
        <color rgb="FFC9A94A"/>
      </bottom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/>
      <right/>
      <top/>
      <bottom style="hair">
        <color rgb="FFE6E8EB"/>
      </bottom>
      <diagonal/>
    </border>
    <border diagonalUp="false" diagonalDown="false">
      <left/>
      <right style="thick">
        <color rgb="FFFFFFFF"/>
      </right>
      <top/>
      <bottom style="thin">
        <color rgb="FF4A86C8"/>
      </bottom>
      <diagonal/>
    </border>
    <border diagonalUp="false" diagonalDown="false">
      <left/>
      <right style="thick">
        <color rgb="FFFFFFFF"/>
      </right>
      <top/>
      <bottom style="hair">
        <color rgb="FFE6E8EB"/>
      </bottom>
      <diagonal/>
    </border>
    <border diagonalUp="false" diagonalDown="false">
      <left style="thick">
        <color rgb="FFFFFFFF"/>
      </left>
      <right/>
      <top/>
      <bottom style="hair">
        <color rgb="FFE6E8EB"/>
      </bottom>
      <diagonal/>
    </border>
    <border diagonalUp="false" diagonalDown="false">
      <left/>
      <right/>
      <top style="thin">
        <color rgb="FF0B2A4A"/>
      </top>
      <bottom style="double">
        <color rgb="FF0B2A4A"/>
      </bottom>
      <diagonal/>
    </border>
    <border diagonalUp="false" diagonalDown="false">
      <left style="thick">
        <color rgb="FF4A86C8"/>
      </left>
      <right style="thick">
        <color rgb="FFFFFFFF"/>
      </right>
      <top/>
      <bottom style="thin">
        <color rgb="FFC8D7EB"/>
      </bottom>
      <diagonal/>
    </border>
    <border diagonalUp="false" diagonalDown="false">
      <left style="thick">
        <color rgb="FF4A86C8"/>
      </left>
      <right style="thick">
        <color rgb="FFFFFFFF"/>
      </right>
      <top/>
      <bottom/>
      <diagonal/>
    </border>
    <border diagonalUp="false" diagonalDown="false">
      <left/>
      <right/>
      <top style="thin">
        <color rgb="FFD5D9DE"/>
      </top>
      <bottom/>
      <diagonal/>
    </border>
    <border diagonalUp="false" diagonalDown="false">
      <left/>
      <right/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E6CB77"/>
      </left>
      <right/>
      <top/>
      <bottom/>
      <diagonal/>
    </border>
    <border diagonalUp="false" diagonalDown="false">
      <left style="thin">
        <color rgb="FF1D4F8A"/>
      </left>
      <right style="thin">
        <color rgb="FF1D4F8A"/>
      </right>
      <top style="thin">
        <color rgb="FF1D4F8A"/>
      </top>
      <bottom style="thin">
        <color rgb="FF1D4F8A"/>
      </bottom>
      <diagonal/>
    </border>
    <border diagonalUp="false" diagonalDown="false">
      <left style="thick">
        <color rgb="FF4A86C8"/>
      </left>
      <right/>
      <top/>
      <bottom style="thin">
        <color rgb="FFC8D7EB"/>
      </bottom>
      <diagonal/>
    </border>
    <border diagonalUp="false" diagonalDown="false">
      <left style="thick">
        <color rgb="FF4A86C8"/>
      </left>
      <right/>
      <top/>
      <bottom/>
      <diagonal/>
    </border>
    <border diagonalUp="false" diagonalDown="false">
      <left/>
      <right/>
      <top style="hair">
        <color rgb="FFD5D9DE"/>
      </top>
      <bottom/>
      <diagonal/>
    </border>
    <border diagonalUp="false" diagonalDown="false">
      <left/>
      <right/>
      <top/>
      <bottom style="thin">
        <color rgb="FFC8D7EB"/>
      </bottom>
      <diagonal/>
    </border>
    <border diagonalUp="false" diagonalDown="false">
      <left style="dashed">
        <color rgb="FFE6CB77"/>
      </left>
      <right style="dashed">
        <color rgb="FFE6CB77"/>
      </right>
      <top style="dashed">
        <color rgb="FFE6CB77"/>
      </top>
      <bottom style="dashed">
        <color rgb="FFE6CB77"/>
      </bottom>
      <diagonal/>
    </border>
    <border diagonalUp="false" diagonalDown="false">
      <left/>
      <right/>
      <top style="thin">
        <color rgb="FFD5DEEA"/>
      </top>
      <bottom style="hair">
        <color rgb="FFE6E8EB"/>
      </bottom>
      <diagonal/>
    </border>
    <border diagonalUp="false" diagonalDown="false">
      <left/>
      <right style="thick">
        <color rgb="FFFFFFFF"/>
      </right>
      <top style="thick">
        <color rgb="FFFFFFFF"/>
      </top>
      <bottom/>
      <diagonal/>
    </border>
    <border diagonalUp="false" diagonalDown="false">
      <left style="dashed">
        <color rgb="FF4A86C8"/>
      </left>
      <right style="dashed">
        <color rgb="FF4A86C8"/>
      </right>
      <top style="dashed">
        <color rgb="FF4A86C8"/>
      </top>
      <bottom style="dashed">
        <color rgb="FF4A86C8"/>
      </bottom>
      <diagonal/>
    </border>
    <border diagonalUp="false" diagonalDown="false">
      <left style="thin">
        <color rgb="FFD5D9DE"/>
      </left>
      <right/>
      <top/>
      <bottom/>
      <diagonal/>
    </border>
    <border diagonalUp="false" diagonalDown="false">
      <left style="thick">
        <color rgb="FF4A86C8"/>
      </left>
      <right style="thin">
        <color rgb="FFC8D7EB"/>
      </right>
      <top style="thin">
        <color rgb="FFC8D7EB"/>
      </top>
      <bottom style="thin">
        <color rgb="FFC8D7EB"/>
      </bottom>
      <diagonal/>
    </border>
    <border diagonalUp="false" diagonalDown="false">
      <left/>
      <right/>
      <top style="thin">
        <color rgb="FF0B2A4A"/>
      </top>
      <bottom/>
      <diagonal/>
    </border>
    <border diagonalUp="false" diagonalDown="false">
      <left/>
      <right/>
      <top/>
      <bottom style="thin">
        <color rgb="FF0B2A4A"/>
      </bottom>
      <diagonal/>
    </border>
    <border diagonalUp="false" diagonalDown="false">
      <left/>
      <right/>
      <top/>
      <bottom style="thin">
        <color rgb="FFD5D9DE"/>
      </bottom>
      <diagonal/>
    </border>
    <border diagonalUp="false" diagonalDown="false">
      <left/>
      <right/>
      <top style="thin">
        <color rgb="FFD5DEEA"/>
      </top>
      <bottom/>
      <diagonal/>
    </border>
    <border diagonalUp="false" diagonalDown="false">
      <left/>
      <right/>
      <top style="thin">
        <color rgb="FFD5D9DE"/>
      </top>
      <bottom style="hair">
        <color rgb="FFE6E8EB"/>
      </bottom>
      <diagonal/>
    </border>
    <border diagonalUp="false" diagonalDown="false">
      <left/>
      <right style="thin">
        <color rgb="FFD5D9DE"/>
      </right>
      <top/>
      <bottom/>
      <diagonal/>
    </border>
    <border diagonalUp="false" diagonalDown="false">
      <left/>
      <right/>
      <top/>
      <bottom style="medium">
        <color rgb="FF4A86C8"/>
      </bottom>
      <diagonal/>
    </border>
    <border diagonalUp="false" diagonalDown="false">
      <left/>
      <right style="thin">
        <color rgb="FFD5D9DE"/>
      </right>
      <top/>
      <bottom style="medium">
        <color rgb="FF4A86C8"/>
      </bottom>
      <diagonal/>
    </border>
    <border diagonalUp="false" diagonalDown="false">
      <left/>
      <right style="thin">
        <color rgb="FFD5D9DE"/>
      </right>
      <top/>
      <bottom style="thin">
        <color rgb="FF4A86C8"/>
      </bottom>
      <diagonal/>
    </border>
    <border diagonalUp="false" diagonalDown="false">
      <left/>
      <right style="thin">
        <color rgb="FFD5D9DE"/>
      </right>
      <top/>
      <bottom style="hair">
        <color rgb="FFE6E8EB"/>
      </bottom>
      <diagonal/>
    </border>
    <border diagonalUp="false" diagonalDown="false">
      <left/>
      <right style="thin">
        <color rgb="FFD5D9DE"/>
      </right>
      <top style="thin">
        <color rgb="FFD5DEEA"/>
      </top>
      <bottom style="hair">
        <color rgb="FFE6E8EB"/>
      </bottom>
      <diagonal/>
    </border>
    <border diagonalUp="false" diagonalDown="false">
      <left/>
      <right style="thin">
        <color rgb="FFD5D9DE"/>
      </right>
      <top style="thin">
        <color rgb="FF0B2A4A"/>
      </top>
      <bottom style="double">
        <color rgb="FF0B2A4A"/>
      </bottom>
      <diagonal/>
    </border>
    <border diagonalUp="false" diagonalDown="false">
      <left/>
      <right/>
      <top style="thin">
        <color rgb="FF0B2A4A"/>
      </top>
      <bottom style="hair">
        <color rgb="FFE6E8EB"/>
      </bottom>
      <diagonal/>
    </border>
    <border diagonalUp="false" diagonalDown="false">
      <left/>
      <right/>
      <top style="hair">
        <color rgb="FFE6E8EB"/>
      </top>
      <bottom style="hair">
        <color rgb="FFE6E8EB"/>
      </bottom>
      <diagonal/>
    </border>
    <border diagonalUp="false" diagonalDown="false">
      <left/>
      <right style="thin">
        <color rgb="FFD5D9DE"/>
      </right>
      <top style="hair">
        <color rgb="FFE6E8EB"/>
      </top>
      <bottom style="hair">
        <color rgb="FFE6E8EB"/>
      </bottom>
      <diagonal/>
    </border>
    <border diagonalUp="false" diagonalDown="false">
      <left/>
      <right/>
      <top style="hair">
        <color rgb="FFE6E8EB"/>
      </top>
      <bottom style="double">
        <color rgb="FF0B2A4A"/>
      </bottom>
      <diagonal/>
    </border>
    <border diagonalUp="false" diagonalDown="false">
      <left/>
      <right style="thin">
        <color rgb="FFD5D9DE"/>
      </right>
      <top style="hair">
        <color rgb="FFE6E8EB"/>
      </top>
      <bottom style="double">
        <color rgb="FF0B2A4A"/>
      </bottom>
      <diagonal/>
    </border>
    <border diagonalUp="false" diagonalDown="false">
      <left/>
      <right style="thin">
        <color rgb="FF4A86C8"/>
      </right>
      <top/>
      <bottom style="thin">
        <color rgb="FF4A86C8"/>
      </bottom>
      <diagonal/>
    </border>
    <border diagonalUp="false" diagonalDown="false">
      <left/>
      <right style="thin">
        <color rgb="FF4A86C8"/>
      </right>
      <top/>
      <bottom style="hair">
        <color rgb="FFE6E8EB"/>
      </bottom>
      <diagonal/>
    </border>
    <border diagonalUp="false" diagonalDown="false">
      <left style="medium">
        <color rgb="FF0B2A4A"/>
      </left>
      <right style="medium">
        <color rgb="FF0B2A4A"/>
      </right>
      <top style="medium">
        <color rgb="FF0B2A4A"/>
      </top>
      <bottom style="medium">
        <color rgb="FF0B2A4A"/>
      </bottom>
      <diagonal/>
    </border>
    <border diagonalUp="false" diagonalDown="false">
      <left style="thick">
        <color rgb="FF4A86C8"/>
      </left>
      <right/>
      <top/>
      <bottom style="thin">
        <color rgb="FF1D4F8A"/>
      </bottom>
      <diagonal/>
    </border>
    <border diagonalUp="false" diagonalDown="false">
      <left/>
      <right/>
      <top/>
      <bottom style="thin">
        <color rgb="FF1D4F8A"/>
      </bottom>
      <diagonal/>
    </border>
    <border diagonalUp="false" diagonalDown="false">
      <left/>
      <right/>
      <top/>
      <bottom style="thin">
        <color rgb="FFE6CB77"/>
      </bottom>
      <diagonal/>
    </border>
    <border diagonalUp="false" diagonalDown="false">
      <left/>
      <right/>
      <top/>
      <bottom style="hair">
        <color rgb="FFD5D9DE"/>
      </bottom>
      <diagonal/>
    </border>
  </borders>
  <cellStyleXfs count="20"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0"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8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4" fillId="4" borderId="8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8" fontId="14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7" fillId="2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7" fillId="2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8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9" fillId="8" borderId="1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6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6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6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0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2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2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7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3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4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6" fillId="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8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0" fillId="8" borderId="1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2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0" fillId="9" borderId="2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7" fillId="9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9" fillId="8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1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8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1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8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31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8" fillId="1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4" fillId="4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8" fontId="31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7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20" fillId="8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30" fillId="8" borderId="2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8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38" fillId="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3" fillId="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25" fillId="0" borderId="1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80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1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0" fillId="7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49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50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" fillId="4" borderId="2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2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20" fillId="0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0" fillId="0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31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8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23" fillId="0" borderId="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0" fillId="7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7" fillId="6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5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0" fontId="52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6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27" fillId="2" borderId="3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2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3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37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0" fillId="0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7" fontId="20" fillId="7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8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89" fontId="52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14" fillId="4" borderId="2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72" fontId="52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9" fontId="28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9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0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8" borderId="2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8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30" fillId="8" borderId="3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8" fillId="8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4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8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8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1" fontId="29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2" fontId="5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5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20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4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8" fillId="1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38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9" fillId="1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26" fillId="10" borderId="7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8" fontId="26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10" borderId="7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8" fontId="3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0" fillId="0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20" fillId="7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7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26" fillId="0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8" borderId="3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2" fillId="8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7" fillId="2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61" fillId="2" borderId="3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3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8" fontId="31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2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1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31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2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5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25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2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38" fillId="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0" borderId="3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0" fillId="0" borderId="3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0" fontId="2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3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0" fontId="49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62" fillId="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3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24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65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9" fillId="1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9" fillId="1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6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6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2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9" fontId="2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2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0" fillId="0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40" fillId="0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3" fontId="38" fillId="1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0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40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66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4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6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9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8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200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8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64" fillId="0" borderId="1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201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3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2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7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0" borderId="3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64" fillId="0" borderId="38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70" fontId="25" fillId="0" borderId="3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0" fillId="7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31" fillId="7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0" fillId="7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7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9" fillId="0" borderId="1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72" fontId="4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9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0" fillId="0" borderId="2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20" fillId="0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0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2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5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4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2" fontId="32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32" fillId="0" borderId="3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1" fontId="4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6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31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0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8" fillId="0" borderId="3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20" fillId="7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4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1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3" fontId="61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93" fontId="61" fillId="2" borderId="3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1" fillId="6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1" fillId="6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71" fillId="6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71" fillId="6" borderId="4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65" fillId="7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5" fillId="0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0" fillId="0" borderId="4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49" fillId="0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0" fillId="7" borderId="4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4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4" fillId="0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5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5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5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3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4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5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1" fillId="6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6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26" fillId="7" borderId="4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4" fontId="25" fillId="0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25" fillId="0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72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4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0" fontId="20" fillId="0" borderId="4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72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4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2" fillId="7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9" fillId="0" borderId="13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0" fontId="49" fillId="0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8" fontId="49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49" fillId="0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2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06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8" fillId="10" borderId="7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73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91" fontId="50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3" fontId="73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0" fillId="7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1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8" fontId="3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0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0" fillId="0" borderId="4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20" fillId="0" borderId="4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3" fillId="7" borderId="4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0" fillId="7" borderId="4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1" fillId="7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0" fillId="7" borderId="4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20" fillId="7" borderId="5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49" fillId="0" borderId="4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4" fillId="0" borderId="1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20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0" borderId="1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29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20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3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8" fillId="10" borderId="5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7" fontId="38" fillId="1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7" fontId="77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8" fontId="37" fillId="0" borderId="5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8" fontId="40" fillId="7" borderId="5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73" fillId="0" borderId="5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73" fillId="0" borderId="5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209" fontId="38" fillId="1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40" fillId="7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5" fillId="7" borderId="5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9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8" fontId="14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96" fontId="25" fillId="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49" fillId="9" borderId="56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96" fontId="32" fillId="4" borderId="2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38" fillId="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2" fillId="7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22" fillId="7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9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4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0" fillId="0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32" fillId="4" borderId="28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5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25" fillId="0" borderId="5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31" fillId="0" borderId="5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38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11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8" fontId="31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6" fontId="25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3" fontId="14" fillId="4" borderId="1" xfId="0" applyFont="true" applyBorder="true" applyAlignment="true" applyProtection="true">
      <alignment horizontal="right" vertical="center" textRotation="0" wrapText="false" indent="1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ont>
        <b val="1"/>
        <color rgb="FFB42318"/>
      </font>
    </dxf>
    <dxf>
      <font>
        <b val="1"/>
        <color rgb="FFB54708"/>
      </font>
    </dxf>
    <dxf>
      <font>
        <b val="1"/>
        <color rgb="FF1F7A4D"/>
      </font>
    </dxf>
    <dxf>
      <font>
        <strike val="0"/>
      </font>
    </dxf>
    <dxf>
      <font>
        <color rgb="FFB42318"/>
      </font>
    </dxf>
    <dxf>
      <font>
        <color rgb="FFB42318"/>
      </font>
      <numFmt numFmtId="164" formatCode="@* &quot;●  kritisch   &quot;"/>
    </dxf>
    <dxf>
      <font>
        <color rgb="FFB54708"/>
      </font>
      <numFmt numFmtId="165" formatCode="@* &quot;●  prüfen   &quot;"/>
    </dxf>
    <dxf>
      <font>
        <color rgb="FF1F7A4D"/>
      </font>
      <numFmt numFmtId="166" formatCode="@* &quot;●  erfüllt   &quot;"/>
    </dxf>
    <dxf>
      <font>
        <b val="1"/>
        <color rgb="FFB42318"/>
      </font>
      <fill>
        <patternFill>
          <bgColor rgb="FFFBECEB"/>
        </patternFill>
      </fill>
    </dxf>
    <dxf>
      <font>
        <b val="1"/>
        <color rgb="FFB54708"/>
      </font>
      <fill>
        <patternFill>
          <bgColor rgb="FFFDF3E7"/>
        </patternFill>
      </fill>
    </dxf>
    <dxf>
      <font>
        <b val="1"/>
        <color rgb="FF1F7A4D"/>
      </font>
      <fill>
        <patternFill>
          <bgColor rgb="FFEAF5EF"/>
        </patternFill>
      </fill>
    </dxf>
    <dxf>
      <border diagonalUp="false" diagonalDown="false">
        <left style="thick">
          <color rgb="FFB42318"/>
        </left>
        <right/>
        <top/>
        <bottom/>
        <diagonal/>
      </border>
    </dxf>
    <dxf>
      <border diagonalUp="false" diagonalDown="false">
        <left style="thick">
          <color rgb="FFB54708"/>
        </left>
        <right/>
        <top/>
        <bottom/>
        <diagonal/>
      </border>
    </dxf>
    <dxf>
      <border diagonalUp="false" diagonalDown="false">
        <left style="thick">
          <color rgb="FF1F7A4D"/>
        </left>
        <right/>
        <top/>
        <bottom/>
        <diagonal/>
      </border>
    </dxf>
    <dxf>
      <font>
        <color rgb="FF8A9099"/>
      </font>
      <fill>
        <patternFill>
          <bgColor rgb="FFF3F4F6"/>
        </patternFill>
      </fill>
      <border diagonalUp="false" diagonalDown="false">
        <left style="thin">
          <color rgb="FFD5D9DE"/>
        </left>
        <right style="thin">
          <color rgb="FFD5D9DE"/>
        </right>
        <top style="thin">
          <color rgb="FFD5D9DE"/>
        </top>
        <bottom style="thin">
          <color rgb="FFD5D9DE"/>
        </bottom>
        <diagonal/>
      </border>
    </dxf>
    <dxf>
      <font>
        <color rgb="FFB42318"/>
      </font>
      <fill>
        <patternFill>
          <bgColor rgb="FFF3F7FC"/>
        </patternFill>
      </fill>
      <border diagonalUp="false" diagonalDown="false">
        <left style="thick">
          <color rgb="FFB42318"/>
        </left>
        <right/>
        <top/>
        <bottom style="hair">
          <color rgb="FFD5D9DE"/>
        </bottom>
        <diagonal/>
      </border>
    </dxf>
    <dxf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hair">
          <color rgb="FFD5D9DE"/>
        </bottom>
        <diagonal/>
      </border>
    </dxf>
    <dxf>
      <border diagonalUp="false" diagonalDown="false">
        <left/>
        <right/>
        <top/>
        <bottom style="hair">
          <color rgb="FFD5D9DE"/>
        </bottom>
        <diagonal/>
      </border>
    </dxf>
    <dxf>
      <font>
        <color rgb="FFB42318"/>
      </font>
      <fill>
        <patternFill>
          <bgColor rgb="FFF3F7FC"/>
        </patternFill>
      </fill>
      <border diagonalUp="false" diagonalDown="false">
        <left style="thick">
          <color rgb="FFB42318"/>
        </left>
        <right/>
        <top/>
        <bottom style="thin">
          <color rgb="FFD5DEEA"/>
        </bottom>
        <diagonal/>
      </border>
    </dxf>
    <dxf>
      <font>
        <color rgb="FFB42318"/>
      </font>
      <fill>
        <patternFill>
          <bgColor rgb="FFF3F7FC"/>
        </patternFill>
      </fill>
      <border diagonalUp="false" diagonalDown="false">
        <left style="thick">
          <color rgb="FFB42318"/>
        </left>
        <right/>
        <top/>
        <bottom style="thin">
          <color rgb="FFFFFFFF"/>
        </bottom>
        <diagonal/>
      </border>
    </dxf>
    <dxf>
      <font>
        <color rgb="FF3A3F45"/>
      </font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thin">
          <color rgb="FFD5DEEA"/>
        </bottom>
        <diagonal/>
      </border>
    </dxf>
    <dxf>
      <font>
        <color rgb="FF3A3F45"/>
      </font>
      <fill>
        <patternFill>
          <bgColor rgb="FFF3F7FC"/>
        </patternFill>
      </fill>
      <border diagonalUp="false" diagonalDown="false">
        <left style="thick">
          <color rgb="FF4A86C8"/>
        </left>
        <right/>
        <top/>
        <bottom style="thin">
          <color rgb="FFFFFFFF"/>
        </bottom>
        <diagonal/>
      </border>
    </dxf>
    <dxf>
      <fill>
        <patternFill>
          <bgColor rgb="FFF3F7FC"/>
        </patternFill>
      </fill>
      <border diagonalUp="false" diagonalDown="false">
        <left/>
        <right/>
        <top/>
        <bottom style="thin">
          <color rgb="FFD5DEEA"/>
        </bottom>
        <diagonal/>
      </border>
    </dxf>
    <dxf>
      <fill>
        <patternFill>
          <bgColor rgb="FFF3F7FC"/>
        </patternFill>
      </fill>
      <border diagonalUp="false" diagonalDown="false">
        <left/>
        <right/>
        <top/>
        <bottom style="thin">
          <color rgb="FFFFFFFF"/>
        </bottom>
        <diagonal/>
      </border>
    </dxf>
    <dxf>
      <font>
        <b val="1"/>
        <color rgb="FF0B2A4A"/>
      </font>
      <fill>
        <patternFill>
          <bgColor rgb="FF4A86C8"/>
        </patternFill>
      </fill>
    </dxf>
    <dxf>
      <font>
        <color rgb="FFB42318"/>
      </font>
      <fill>
        <patternFill>
          <bgColor rgb="FFE7EEF7"/>
        </patternFill>
      </fill>
    </dxf>
    <dxf>
      <font>
        <color rgb="FF0B2A4A"/>
      </font>
      <fill>
        <patternFill>
          <bgColor rgb="FFE7EEF7"/>
        </patternFill>
      </fill>
    </dxf>
    <dxf>
      <font>
        <color rgb="FF0B2A4A"/>
      </font>
    </dxf>
    <dxf>
      <font>
        <color rgb="FF5B6068"/>
      </font>
      <fill>
        <patternFill>
          <bgColor rgb="FFE7EEF7"/>
        </patternFill>
      </fill>
    </dxf>
    <dxf>
      <font>
        <color rgb="FF5B6068"/>
      </font>
    </dxf>
    <dxf>
      <font>
        <b val="1"/>
        <color rgb="FFB42318"/>
      </font>
      <fill>
        <patternFill>
          <bgColor rgb="FFC8D7EB"/>
        </patternFill>
      </fill>
    </dxf>
    <dxf>
      <font>
        <color rgb="FF0B2A4A"/>
      </font>
      <fill>
        <patternFill>
          <bgColor rgb="FFC8D7EB"/>
        </patternFill>
      </fill>
    </dxf>
    <dxf>
      <fill>
        <patternFill>
          <bgColor rgb="FFE7EEF7"/>
        </patternFill>
      </fill>
    </dxf>
    <dxf>
      <font>
        <i val="1"/>
        <color rgb="FF98A2B3"/>
      </font>
      <numFmt numFmtId="167" formatCode="\–;\–;\–;\–"/>
      <fill>
        <patternFill>
          <bgColor rgb="FFE7EEF7"/>
        </patternFill>
      </fill>
    </dxf>
    <dxf>
      <font>
        <i val="1"/>
        <color rgb="FF98A2B3"/>
      </font>
      <numFmt numFmtId="167" formatCode="\–;\–;\–;\–"/>
    </dxf>
    <dxf>
      <font>
        <color rgb="FF1A1D21"/>
      </font>
      <fill>
        <patternFill>
          <bgColor rgb="FFE7EEF7"/>
        </patternFill>
      </fill>
    </dxf>
    <dxf>
      <font>
        <color rgb="FF1A1D21"/>
      </font>
    </dxf>
    <dxf>
      <font>
        <i val="1"/>
        <color rgb="FF98A2B3"/>
      </font>
    </dxf>
    <dxf>
      <font>
        <color rgb="FF98A2B3"/>
      </font>
    </dxf>
    <dxf>
      <font>
        <b val="1"/>
        <color rgb="FF1D4F8A"/>
      </font>
      <fill>
        <patternFill>
          <bgColor rgb="FFE7EEF7"/>
        </patternFill>
      </fill>
    </dxf>
    <dxf>
      <font>
        <b val="1"/>
        <color rgb="FF1D4F8A"/>
      </font>
    </dxf>
    <dxf>
      <font>
        <i val="1"/>
        <color rgb="FF98A2B3"/>
      </font>
      <numFmt numFmtId="167" formatCode="\–;\–;\–;\–"/>
      <fill>
        <patternFill>
          <bgColor rgb="FFFFFFFF"/>
        </patternFill>
      </fill>
    </dxf>
    <dxf>
      <font>
        <i val="1"/>
        <color rgb="FF98A2B3"/>
      </font>
      <numFmt numFmtId="167" formatCode="\–;\–;\–;\–"/>
      <fill>
        <patternFill>
          <bgColor rgb="FFC8D7EB"/>
        </patternFill>
      </fill>
    </dxf>
    <dxf>
      <font>
        <i val="1"/>
        <color rgb="FF98A2B3"/>
      </font>
      <fill>
        <patternFill>
          <bgColor rgb="FFFFFFFF"/>
        </patternFill>
      </fill>
    </dxf>
    <dxf>
      <font>
        <b val="1"/>
        <color rgb="FF0B2A4A"/>
      </font>
      <fill>
        <patternFill>
          <bgColor rgb="FFE7EEF7"/>
        </patternFill>
      </fill>
    </dxf>
    <dxf>
      <font>
        <b val="1"/>
        <color rgb="FFB42318"/>
      </font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  <dxf>
      <font>
        <b val="1"/>
        <color rgb="FF1A1D21"/>
      </font>
      <border diagonalUp="false" diagonalDown="false">
        <left style="medium">
          <color rgb="FF0B2A4A"/>
        </left>
        <right style="medium">
          <color rgb="FF0B2A4A"/>
        </right>
        <top style="medium">
          <color rgb="FF0B2A4A"/>
        </top>
        <bottom style="medium">
          <color rgb="FF0B2A4A"/>
        </bottom>
        <diagonal/>
      </border>
    </dxf>
  </dxfs>
  <colors>
    <indexedColors>
      <rgbColor rgb="FF000000"/>
      <rgbColor rgb="FFFFFFFF"/>
      <rgbColor rgb="FFFBECEB"/>
      <rgbColor rgb="FF8AA64F"/>
      <rgbColor rgb="FFEEF3FA"/>
      <rgbColor rgb="FFE2DCCE"/>
      <rgbColor rgb="FFD9D9D9"/>
      <rgbColor rgb="FF8597A6"/>
      <rgbColor rgb="FFB42318"/>
      <rgbColor rgb="FF6B685E"/>
      <rgbColor rgb="FF0F1C16"/>
      <rgbColor rgb="FFA08A55"/>
      <rgbColor rgb="FF8064A2"/>
      <rgbColor rgb="FF1F7A4D"/>
      <rgbColor rgb="FFB8C3D1"/>
      <rgbColor rgb="FF6F8F7A"/>
      <rgbColor rgb="FF93A9CE"/>
      <rgbColor rgb="FFAB4744"/>
      <rgbColor rgb="FFFFF5D6"/>
      <rgbColor rgb="FFEAF5EF"/>
      <rgbColor rgb="FFD5DEEA"/>
      <rgbColor rgb="FFDC853E"/>
      <rgbColor rgb="FF5B6068"/>
      <rgbColor rgb="FFC8D7EB"/>
      <rgbColor rgb="FFF3F7FC"/>
      <rgbColor rgb="FFD5D9DE"/>
      <rgbColor rgb="FFFDF3E7"/>
      <rgbColor rgb="FF98A2B3"/>
      <rgbColor rgb="FFCEDDF0"/>
      <rgbColor rgb="FFF4F0E8"/>
      <rgbColor rgb="FF4A86C8"/>
      <rgbColor rgb="FFF3F4F6"/>
      <rgbColor rgb="FF8FA9C9"/>
      <rgbColor rgb="FFE7EEF7"/>
      <rgbColor rgb="FFE6E8EB"/>
      <rgbColor rgb="FFFFF9EA"/>
      <rgbColor rgb="FF9CBBE2"/>
      <rgbColor rgb="FFB9B4A6"/>
      <rgbColor rgb="FFB3B3B3"/>
      <rgbColor rgb="FFE6CB77"/>
      <rgbColor rgb="FF4672A8"/>
      <rgbColor rgb="FF49A8C4"/>
      <rgbColor rgb="FF9BBB59"/>
      <rgbColor rgb="FFC6A45C"/>
      <rgbColor rgb="FFC9A94A"/>
      <rgbColor rgb="FFB54708"/>
      <rgbColor rgb="FF725990"/>
      <rgbColor rgb="FF8A9099"/>
      <rgbColor rgb="FF0B2A4A"/>
      <rgbColor rgb="FF4F81BD"/>
      <rgbColor rgb="FF173026"/>
      <rgbColor rgb="FF1A1D21"/>
      <rgbColor rgb="FF8C3B2E"/>
      <rgbColor rgb="FFC0504D"/>
      <rgbColor rgb="FF1D4F8A"/>
      <rgbColor rgb="FF3A3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353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C9CE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5B606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8C939D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3A3F45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66539144"/>
        <c:axId val="8718522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539144"/>
        <c:axId val="8718522"/>
      </c:lineChart>
      <c:catAx>
        <c:axId val="6653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718522"/>
        <c:crosses val="autoZero"/>
        <c:auto val="1"/>
        <c:lblAlgn val="ctr"/>
        <c:lblOffset val="100"/>
        <c:noMultiLvlLbl val="1"/>
      </c:catAx>
      <c:valAx>
        <c:axId val="8718522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6539144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 und Restschuld (Jahre 1–35, T€)</a:t>
            </a:r>
          </a:p>
        </c:rich>
      </c:tx>
      <c:layout>
        <c:manualLayout>
          <c:xMode val="edge"/>
          <c:yMode val="edge"/>
          <c:x val="0.0353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28174790"/>
        <c:axId val="74713870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9CBBE2">
                <a:alpha val="50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9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 w="9525">
                  <a:solidFill>
                    <a:srgbClr val="E7EEF7"/>
                  </a:solidFill>
                  <a:round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 w="9525">
                <a:solidFill>
                  <a:srgbClr val="E7EEF7"/>
                </a:solidFill>
                <a:round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28174790"/>
        <c:axId val="74713870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#,##0;\−#,##0;\–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174790"/>
        <c:axId val="74713870"/>
      </c:lineChart>
      <c:catAx>
        <c:axId val="28174790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4713870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7471387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8174790"/>
        <c:crosses val="autoZero"/>
        <c:crossBetween val="between"/>
        <c:majorUnit val="2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63"/>
      <c:rAngAx val="0"/>
      <c:perspective val="10"/>
    </c:view3D>
    <c:plotArea>
      <c:layout>
        <c:manualLayout>
          <c:layoutTarget val="inner"/>
          <c:xMode val="edge"/>
          <c:yMode val="edge"/>
          <c:x val="0.3644"/>
          <c:y val="0.125"/>
          <c:w val="0.2713"/>
          <c:h val="0.722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A0A8B4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Grunderwerbsteu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Nota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delete val="1"/>
            </c:dLbl>
            <c:dLbl>
              <c:idx val="3"/>
              <c:numFmt formatCode="[=0]&quot;&quot;;&quot;Makl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delete val="1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Diagramme!$AI$141:$AI$145</c:f>
              <c:strCache>
                <c:ptCount val="5"/>
                <c:pt idx="0">
                  <c:v>Grunderwerbsteuer · 46 %</c:v>
                </c:pt>
                <c:pt idx="1">
                  <c:v>Notar · 14 %</c:v>
                </c:pt>
                <c:pt idx="2">
                  <c:v>Grundbuch · 5 %</c:v>
                </c:pt>
                <c:pt idx="3">
                  <c:v>Makler · 34 %</c:v>
                </c:pt>
                <c:pt idx="4">
                  <c:v>Sonstige · 2 %</c:v>
                </c:pt>
              </c:strCache>
            </c:strRef>
          </c:cat>
          <c:val>
            <c:numRef>
              <c:f>'S03 Kaufnebenkosten'!$D$61:$D$65</c:f>
              <c:numCache>
                <c:formatCode>#,##0;\−#,##0;\–</c:formatCode>
                <c:ptCount val="5"/>
                <c:pt idx="0">
                  <c:v>13850</c:v>
                </c:pt>
                <c:pt idx="1">
                  <c:v>4275</c:v>
                </c:pt>
                <c:pt idx="2">
                  <c:v>1425</c:v>
                </c:pt>
                <c:pt idx="3">
                  <c:v>10174.5</c:v>
                </c:pt>
                <c:pt idx="4">
                  <c:v>500</c:v>
                </c:pt>
              </c:numCache>
            </c:numRef>
          </c:val>
        </c:ser>
      </c:pie3DChart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3A3F45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38"/>
      <c:rAngAx val="0"/>
      <c:perspective val="10"/>
    </c:view3D>
    <c:plotArea>
      <c:layout>
        <c:manualLayout>
          <c:layoutTarget val="inner"/>
          <c:xMode val="edge"/>
          <c:yMode val="edge"/>
          <c:x val="0.365"/>
          <c:y val="0.1252"/>
          <c:w val="0.2701"/>
          <c:h val="0.721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C9DBEF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Bod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Gebäud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delete val="1"/>
            </c:dLbl>
            <c:dLbl>
              <c:idx val="3"/>
              <c:delete val="1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Diagramme!$AI$147:$AI$150</c:f>
              <c:strCache>
                <c:ptCount val="4"/>
                <c:pt idx="0">
                  <c:v>Boden · 19 %</c:v>
                </c:pt>
                <c:pt idx="1">
                  <c:v>Gebäude · 77 %</c:v>
                </c:pt>
                <c:pt idx="2">
                  <c:v>Inventar · 3 %</c:v>
                </c:pt>
                <c:pt idx="3">
                  <c:v>Rücklage · 1 %</c:v>
                </c:pt>
              </c:strCache>
            </c:strRef>
          </c:cat>
          <c:val>
            <c:numRef>
              <c:f>Diagramme!$C$152:$C$155</c:f>
              <c:numCache>
                <c:formatCode>#,##0;\−#,##0;\–</c:formatCode>
                <c:ptCount val="4"/>
                <c:pt idx="0">
                  <c:v>54000</c:v>
                </c:pt>
                <c:pt idx="1">
                  <c:v>220000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</c:ser>
      </c:pie3DChart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3A3F45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89"/>
      <c:rAngAx val="0"/>
      <c:perspective val="10"/>
    </c:view3D>
    <c:plotArea>
      <c:layout>
        <c:manualLayout>
          <c:layoutTarget val="inner"/>
          <c:xMode val="edge"/>
          <c:yMode val="edge"/>
          <c:x val="0.3789"/>
          <c:y val="0.1319"/>
          <c:w val="0.2421"/>
          <c:h val="0.705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C9DBEF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Kaufprei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Neben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delete val="1"/>
            </c:dLbl>
            <c:dLbl>
              <c:idx val="3"/>
              <c:delete val="1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Diagramme!$AI$152:$AI$155</c:f>
              <c:strCache>
                <c:ptCount val="4"/>
                <c:pt idx="0">
                  <c:v>Kaufpreis · 87 %</c:v>
                </c:pt>
                <c:pt idx="1">
                  <c:v>Nebenkosten · 9 %</c:v>
                </c:pt>
                <c:pt idx="2">
                  <c:v>Finanzierungskosten · 1 %</c:v>
                </c:pt>
                <c:pt idx="3">
                  <c:v>Maßnahmen · 4 %</c:v>
                </c:pt>
              </c:strCache>
            </c:strRef>
          </c:cat>
          <c:val>
            <c:numRef>
              <c:f>Diagramme!$C$141:$C$144</c:f>
              <c:numCache>
                <c:formatCode>#,##0;\−#,##0;\–</c:formatCode>
                <c:ptCount val="4"/>
                <c:pt idx="0">
                  <c:v>285000</c:v>
                </c:pt>
                <c:pt idx="1">
                  <c:v>30224.5</c:v>
                </c:pt>
                <c:pt idx="2">
                  <c:v>1750</c:v>
                </c:pt>
                <c:pt idx="3">
                  <c:v>12000</c:v>
                </c:pt>
              </c:numCache>
            </c:numRef>
          </c:val>
        </c:ser>
      </c:pie3DChart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3A3F45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4"/>
      <c:rAngAx val="0"/>
      <c:perspective val="10"/>
    </c:view3D>
    <c:plotArea>
      <c:layout>
        <c:manualLayout>
          <c:layoutTarget val="inner"/>
          <c:xMode val="edge"/>
          <c:yMode val="edge"/>
          <c:x val="0.3696"/>
          <c:y val="0.134"/>
          <c:w val="0.2608"/>
          <c:h val="0.754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C9DBEF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Hausgeld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Erhaltungsrücklag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Verwaltung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Instandhaltung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[=0]&quot;&quot;;&quot;Mietausfal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[=0]&quot;&quot;;&quot;Werbungs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Diagramme!$AI$157:$AI$162</c:f>
              <c:strCache>
                <c:ptCount val="6"/>
                <c:pt idx="0">
                  <c:v>Hausgeld · 15 %</c:v>
                </c:pt>
                <c:pt idx="1">
                  <c:v>Erhaltungsrücklage · 25 %</c:v>
                </c:pt>
                <c:pt idx="2">
                  <c:v>Verwaltung · 11 %</c:v>
                </c:pt>
                <c:pt idx="3">
                  <c:v>Instandhaltung · 26 %</c:v>
                </c:pt>
                <c:pt idx="4">
                  <c:v>Mietausfall · 12 %</c:v>
                </c:pt>
                <c:pt idx="5">
                  <c:v>Werbungskosten · 11 %</c:v>
                </c:pt>
              </c:strCache>
            </c:strRef>
          </c:cat>
          <c:val>
            <c:numRef>
              <c:f>'S06 Bewirtschaftung'!$D$61:$D$66</c:f>
              <c:numCache>
                <c:formatCode>#,##0;\−#,##0;\–</c:formatCode>
                <c:ptCount val="6"/>
                <c:pt idx="0">
                  <c:v>420</c:v>
                </c:pt>
                <c:pt idx="1">
                  <c:v>720</c:v>
                </c:pt>
                <c:pt idx="2">
                  <c:v>300</c:v>
                </c:pt>
                <c:pt idx="3">
                  <c:v>750</c:v>
                </c:pt>
                <c:pt idx="4">
                  <c:v>342</c:v>
                </c:pt>
                <c:pt idx="5">
                  <c:v>300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40"/>
      <c:rotY val="108"/>
      <c:rAngAx val="0"/>
      <c:perspective val="10"/>
    </c:view3D>
    <c:plotArea>
      <c:layout>
        <c:manualLayout>
          <c:layoutTarget val="inner"/>
          <c:xMode val="edge"/>
          <c:yMode val="edge"/>
          <c:x val="0.3161"/>
          <c:y val="0.1611"/>
          <c:w val="0.3678"/>
          <c:h val="0.707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Darlehen I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Diagramme!$AI$164:$AI$166</c:f>
              <c:strCache>
                <c:ptCount val="3"/>
                <c:pt idx="0">
                  <c:v>Darlehen I · 76 %</c:v>
                </c:pt>
                <c:pt idx="1">
                  <c:v>Darlehen II · 0 %</c:v>
                </c:pt>
                <c:pt idx="2">
                  <c:v>Eigenkapital · 24 %</c:v>
                </c:pt>
              </c:strCache>
            </c:strRef>
          </c:cat>
          <c:val>
            <c:numRef>
              <c:f>Diagramme!$C$147:$C$149</c:f>
              <c:numCache>
                <c:formatCode>#,##0;\−#,##0;\–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Darlehen I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Diagramme!$D$180:$AL$180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Diagramme!$F$173</c:f>
              <c:strCache>
                <c:ptCount val="1"/>
                <c:pt idx="0">
                  <c:v>Darlehen II (keines)</c:v>
                </c:pt>
              </c:strCache>
            </c:strRef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Diagramme!$D$181:$AL$181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18000961"/>
        <c:axId val="13546080"/>
      </c:barChart>
      <c:catAx>
        <c:axId val="18000961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3546080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1354608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8000961"/>
        <c:crosses val="autoZero"/>
        <c:crossBetween val="between"/>
        <c:majorUnit val="5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C9CE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5B606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8C939D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gapWidth val="80"/>
        <c:overlap val="100"/>
        <c:axId val="23643576"/>
        <c:axId val="9454919"/>
      </c:barChart>
      <c:lineChart>
        <c:grouping val="stacked"/>
        <c:varyColors val="0"/>
        <c:ser>
          <c:idx val="4"/>
          <c:order val="4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Diagramme!$G$172:$H$172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643576"/>
        <c:axId val="9454919"/>
      </c:lineChart>
      <c:catAx>
        <c:axId val="2364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454919"/>
        <c:crosses val="autoZero"/>
        <c:auto val="1"/>
        <c:lblAlgn val="ctr"/>
        <c:lblOffset val="100"/>
        <c:noMultiLvlLbl val="1"/>
      </c:catAx>
      <c:valAx>
        <c:axId val="9454919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3643576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Steuerliches Ergebnis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Diagramme!$D$196:$W$196</c:f>
              <c:numCache>
                <c:formatCode>#,##0;\−#,##0;\–</c:formatCode>
                <c:ptCount val="20"/>
                <c:pt idx="0">
                  <c:v>-18397.3569343066</c:v>
                </c:pt>
                <c:pt idx="1">
                  <c:v>-4266.59693430657</c:v>
                </c:pt>
                <c:pt idx="2">
                  <c:v>-3875.34173430657</c:v>
                </c:pt>
                <c:pt idx="3">
                  <c:v>-3473.27775030657</c:v>
                </c:pt>
                <c:pt idx="4">
                  <c:v>-3060.08139414657</c:v>
                </c:pt>
                <c:pt idx="5">
                  <c:v>-2635.41873905409</c:v>
                </c:pt>
                <c:pt idx="6">
                  <c:v>-2198.94517366534</c:v>
                </c:pt>
                <c:pt idx="7">
                  <c:v>-1750.30504411541</c:v>
                </c:pt>
                <c:pt idx="8">
                  <c:v>-1289.13128377835</c:v>
                </c:pt>
                <c:pt idx="9">
                  <c:v>-815.045030223342</c:v>
                </c:pt>
                <c:pt idx="10">
                  <c:v>-1247.29629957225</c:v>
                </c:pt>
                <c:pt idx="11">
                  <c:v>-759.490220706892</c:v>
                </c:pt>
                <c:pt idx="12">
                  <c:v>-255.851001286543</c:v>
                </c:pt>
                <c:pt idx="13">
                  <c:v>264.211487353889</c:v>
                </c:pt>
                <c:pt idx="14">
                  <c:v>801.311482416226</c:v>
                </c:pt>
                <c:pt idx="15">
                  <c:v>1356.08836557813</c:v>
                </c:pt>
                <c:pt idx="16">
                  <c:v>1929.2077445705</c:v>
                </c:pt>
                <c:pt idx="17">
                  <c:v>2521.36258242748</c:v>
                </c:pt>
                <c:pt idx="18">
                  <c:v>3133.27437653417</c:v>
                </c:pt>
                <c:pt idx="19">
                  <c:v>3765.69438969274</c:v>
                </c:pt>
              </c:numCache>
            </c:numRef>
          </c:val>
        </c:ser>
        <c:ser>
          <c:idx val="1"/>
          <c:order val="1"/>
          <c:tx>
            <c:v>Steuer (+ Zahlung / – Erstattung)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Diagramme!$D$197:$W$197</c:f>
              <c:numCache>
                <c:formatCode>#,##0;\−#,##0;\–</c:formatCode>
                <c:ptCount val="20"/>
                <c:pt idx="0">
                  <c:v>-8510.39654952701</c:v>
                </c:pt>
                <c:pt idx="1">
                  <c:v>-1973.67654264701</c:v>
                </c:pt>
                <c:pt idx="2">
                  <c:v>-1792.68658218941</c:v>
                </c:pt>
                <c:pt idx="3">
                  <c:v>-1606.69660795881</c:v>
                </c:pt>
                <c:pt idx="4">
                  <c:v>-1415.55693195547</c:v>
                </c:pt>
                <c:pt idx="5">
                  <c:v>-1219.11308366155</c:v>
                </c:pt>
                <c:pt idx="6">
                  <c:v>-1017.2056499955</c:v>
                </c:pt>
                <c:pt idx="7">
                  <c:v>-809.670109747261</c:v>
                </c:pt>
                <c:pt idx="8">
                  <c:v>-596.336662300458</c:v>
                </c:pt>
                <c:pt idx="9">
                  <c:v>-377.030050440955</c:v>
                </c:pt>
                <c:pt idx="10">
                  <c:v>-576.984300626527</c:v>
                </c:pt>
                <c:pt idx="11">
                  <c:v>-351.33106221636</c:v>
                </c:pt>
                <c:pt idx="12">
                  <c:v>-118.353602983139</c:v>
                </c:pt>
                <c:pt idx="13">
                  <c:v>122.221063512061</c:v>
                </c:pt>
                <c:pt idx="14">
                  <c:v>370.677076027957</c:v>
                </c:pt>
                <c:pt idx="15">
                  <c:v>627.310204856056</c:v>
                </c:pt>
                <c:pt idx="16">
                  <c:v>892.428352145378</c:v>
                </c:pt>
                <c:pt idx="17">
                  <c:v>1166.35207427996</c:v>
                </c:pt>
                <c:pt idx="18">
                  <c:v>1449.41512729219</c:v>
                </c:pt>
                <c:pt idx="19">
                  <c:v>1741.96503633918</c:v>
                </c:pt>
              </c:numCache>
            </c:numRef>
          </c:val>
        </c:ser>
        <c:gapWidth val="50"/>
        <c:overlap val="0"/>
        <c:axId val="85958696"/>
        <c:axId val="33371954"/>
      </c:barChart>
      <c:catAx>
        <c:axId val="85958696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3371954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3337195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5958696"/>
        <c:crosses val="autoZero"/>
        <c:crossBetween val="between"/>
        <c:majorUnit val="5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AfA regulär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Diagramme!$D$192:$W$192</c:f>
              <c:numCache>
                <c:formatCode>#,##0;\−#,##0;\–</c:formatCode>
                <c:ptCount val="20"/>
                <c:pt idx="0">
                  <c:v>4885.35693430657</c:v>
                </c:pt>
                <c:pt idx="1">
                  <c:v>4885.35693430657</c:v>
                </c:pt>
                <c:pt idx="2">
                  <c:v>4885.35693430657</c:v>
                </c:pt>
                <c:pt idx="3">
                  <c:v>4885.35693430657</c:v>
                </c:pt>
                <c:pt idx="4">
                  <c:v>4885.35693430657</c:v>
                </c:pt>
                <c:pt idx="5">
                  <c:v>4885.35693430657</c:v>
                </c:pt>
                <c:pt idx="6">
                  <c:v>4885.35693430657</c:v>
                </c:pt>
                <c:pt idx="7">
                  <c:v>4885.35693430657</c:v>
                </c:pt>
                <c:pt idx="8">
                  <c:v>4885.35693430657</c:v>
                </c:pt>
                <c:pt idx="9">
                  <c:v>4885.35693430657</c:v>
                </c:pt>
                <c:pt idx="10">
                  <c:v>4885.35693430657</c:v>
                </c:pt>
                <c:pt idx="11">
                  <c:v>4885.35693430657</c:v>
                </c:pt>
                <c:pt idx="12">
                  <c:v>4885.35693430657</c:v>
                </c:pt>
                <c:pt idx="13">
                  <c:v>4885.35693430657</c:v>
                </c:pt>
                <c:pt idx="14">
                  <c:v>4885.35693430657</c:v>
                </c:pt>
                <c:pt idx="15">
                  <c:v>4885.35693430657</c:v>
                </c:pt>
                <c:pt idx="16">
                  <c:v>4885.35693430657</c:v>
                </c:pt>
                <c:pt idx="17">
                  <c:v>4885.35693430657</c:v>
                </c:pt>
                <c:pt idx="18">
                  <c:v>4885.35693430657</c:v>
                </c:pt>
                <c:pt idx="19">
                  <c:v>4885.35693430657</c:v>
                </c:pt>
              </c:numCache>
            </c:numRef>
          </c:val>
        </c:ser>
        <c:ser>
          <c:idx val="1"/>
          <c:order val="1"/>
          <c:tx>
            <c:strRef>
              <c:f>Diagramme!$B$203</c:f>
              <c:strCache>
                <c:ptCount val="1"/>
                <c:pt idx="0">
                  <c:v>Sonder-AfA (keine)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Diagramme!$D$203:$W$203</c:f>
              <c:numCache>
                <c:formatCode>#,##0;\−#,##0;\–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v>Bewegliche Gegenstände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Diagramme!$D$195:$W$195</c:f>
              <c:numCache>
                <c:formatCode>#,##0;\−#,##0;\–</c:formatCode>
                <c:ptCount val="2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100"/>
        <c:axId val="13096438"/>
        <c:axId val="30238643"/>
      </c:barChart>
      <c:catAx>
        <c:axId val="13096438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0238643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30238643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3096438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98306295"/>
        <c:axId val="6074048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9CBBE2">
                <a:alpha val="50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9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 w="9525">
                  <a:solidFill>
                    <a:srgbClr val="E7EEF7"/>
                  </a:solidFill>
                  <a:round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 w="9525">
                <a:solidFill>
                  <a:srgbClr val="E7EEF7"/>
                </a:solidFill>
                <a:round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98306295"/>
        <c:axId val="6074048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#,##0;\−#,##0;\–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06295"/>
        <c:axId val="6074048"/>
      </c:lineChart>
      <c:catAx>
        <c:axId val="98306295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07404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6074048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8306295"/>
        <c:crosses val="autoZero"/>
        <c:crossBetween val="between"/>
        <c:majorUnit val="2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Überschuss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Diagramme!$D$206:$AG$206</c:f>
              <c:numCache>
                <c:formatCode>#,##0;\−#,##0;\–</c:formatCode>
                <c:ptCount val="30"/>
                <c:pt idx="0">
                  <c:v>3078.39654952701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Unterdeckung</c:v>
          </c:tx>
          <c:spPr>
            <a:solidFill>
              <a:srgbClr val="D9A09B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Diagramme!$D$207:$AG$207</c:f>
              <c:numCache>
                <c:formatCode>#,##0;\−#,##0;\–</c:formatCode>
                <c:ptCount val="30"/>
                <c:pt idx="0">
                  <c:v>0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60"/>
        <c:overlap val="100"/>
        <c:axId val="31148381"/>
        <c:axId val="53492268"/>
      </c:barChart>
      <c:catAx>
        <c:axId val="31148381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3492268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3492268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1148381"/>
        <c:crosses val="autoZero"/>
        <c:crossBetween val="between"/>
        <c:majorUnit val="5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v>Basis +</c:v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Dashboard!$X$20:$X$26</c:f>
              <c:numCache>
                <c:formatCode>General</c:formatCode>
                <c:ptCount val="7"/>
                <c:pt idx="0">
                  <c:v>0</c:v>
                </c:pt>
                <c:pt idx="1">
                  <c:v>714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Basis −</c:v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Dashboard!$Y$20:$Y$26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Betrag +</c:v>
          </c:tx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Dashboard!$Z$20:$Z$26</c:f>
              <c:numCache>
                <c:formatCode>General</c:formatCode>
                <c:ptCount val="7"/>
                <c:pt idx="0">
                  <c:v>921.5</c:v>
                </c:pt>
                <c:pt idx="1">
                  <c:v>207.5</c:v>
                </c:pt>
                <c:pt idx="2">
                  <c:v>714</c:v>
                </c:pt>
                <c:pt idx="3">
                  <c:v>0</c:v>
                </c:pt>
                <c:pt idx="4">
                  <c:v>0</c:v>
                </c:pt>
                <c:pt idx="5">
                  <c:v>256.533045793917</c:v>
                </c:pt>
                <c:pt idx="6">
                  <c:v>256.533045793917</c:v>
                </c:pt>
              </c:numCache>
            </c:numRef>
          </c:val>
        </c:ser>
        <c:ser>
          <c:idx val="3"/>
          <c:order val="3"/>
          <c:tx>
            <c:v>Abfluss +</c:v>
          </c:tx>
          <c:spPr>
            <a:solidFill>
              <a:srgbClr val="b8c3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Dashboard!$V$31:$AB$31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Dashboard!$AI$20</c:f>
              <c:strCache>
                <c:ptCount val="1"/>
                <c:pt idx="0">
                  <c:v>+922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0"/>
            <c:invertIfNegative val="0"/>
            <c:spPr>
              <a:noFill/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Dashboard!$AA$20:$AA$26</c:f>
              <c:numCache>
                <c:formatCode>General</c:formatCode>
                <c:ptCount val="7"/>
                <c:pt idx="0">
                  <c:v>219.866666666667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Dashboard!$AI$21</c:f>
              <c:strCache>
                <c:ptCount val="1"/>
                <c:pt idx="0">
                  <c:v>−208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1"/>
            <c:invertIfNegative val="0"/>
            <c:spPr>
              <a:noFill/>
              <a:ln w="0">
                <a:noFill/>
              </a:ln>
            </c:spPr>
          </c:dPt>
          <c:dLbls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Dashboard!$AB$20:$AB$26</c:f>
              <c:numCache>
                <c:formatCode>General</c:formatCode>
                <c:ptCount val="7"/>
                <c:pt idx="0">
                  <c:v>0</c:v>
                </c:pt>
                <c:pt idx="1">
                  <c:v>219.866666666667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Dashboard!$AI$22</c:f>
              <c:strCache>
                <c:ptCount val="1"/>
                <c:pt idx="0">
                  <c:v>−750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2"/>
            <c:invertIfNegative val="0"/>
            <c:spPr>
              <a:noFill/>
              <a:ln w="0">
                <a:noFill/>
              </a:ln>
            </c:spPr>
          </c:dPt>
          <c:dLbls>
            <c:dLbl>
              <c:idx val="2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Dashboard!$AC$20:$AC$26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219.866666666667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Dashboard!$AI$23</c:f>
              <c:strCache>
                <c:ptCount val="1"/>
                <c:pt idx="0">
                  <c:v>−417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3"/>
            <c:invertIfNegative val="0"/>
            <c:spPr>
              <a:noFill/>
              <a:ln w="0">
                <a:noFill/>
              </a:ln>
            </c:spPr>
          </c:dPt>
          <c:dLbls>
            <c:dLbl>
              <c:idx val="3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Dashboard!$AD$20:$AD$26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219.866666666667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8"/>
          <c:order val="8"/>
          <c:tx>
            <c:strRef>
              <c:f>Dashboard!$AI$24</c:f>
              <c:strCache>
                <c:ptCount val="1"/>
                <c:pt idx="0">
                  <c:v>−453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4"/>
            <c:invertIfNegative val="0"/>
            <c:spPr>
              <a:noFill/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Dashboard!$AE$20:$AE$26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219.866666666667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9"/>
          <c:order val="9"/>
          <c:tx>
            <c:strRef>
              <c:f>Dashboard!$AI$25</c:f>
              <c:strCache>
                <c:ptCount val="1"/>
                <c:pt idx="0">
                  <c:v>+709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5"/>
            <c:invertIfNegative val="0"/>
            <c:spPr>
              <a:noFill/>
              <a:ln w="0">
                <a:noFill/>
              </a:ln>
            </c:spPr>
          </c:dPt>
          <c:dLbls>
            <c:dLbl>
              <c:idx val="5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3a3f45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Dashboard!$AF$20:$AF$26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219.866666666667</c:v>
                </c:pt>
                <c:pt idx="6">
                  <c:v>0</c:v>
                </c:pt>
              </c:numCache>
            </c:numRef>
          </c:val>
        </c:ser>
        <c:ser>
          <c:idx val="10"/>
          <c:order val="10"/>
          <c:tx>
            <c:strRef>
              <c:f>Dashboard!$AI$26</c:f>
              <c:strCache>
                <c:ptCount val="1"/>
                <c:pt idx="0">
                  <c:v>+257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6"/>
            <c:invertIfNegative val="0"/>
            <c:spPr>
              <a:noFill/>
              <a:ln w="0">
                <a:noFill/>
              </a:ln>
            </c:spPr>
          </c:dPt>
          <c:dLbls>
            <c:dLbl>
              <c:idx val="6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b2a4a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Dashboard!$AG$20:$AG$26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219.866666666667</c:v>
                </c:pt>
              </c:numCache>
            </c:numRef>
          </c:val>
        </c:ser>
        <c:ser>
          <c:idx val="11"/>
          <c:order val="11"/>
          <c:tx>
            <c:v>Betrag −</c:v>
          </c:tx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8c3d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86c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b2a4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Dashboard!$AH$20:$AH$26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-36</c:v>
                </c:pt>
                <c:pt idx="3">
                  <c:v>-416.666666666667</c:v>
                </c:pt>
                <c:pt idx="4">
                  <c:v>-452.666666666667</c:v>
                </c:pt>
                <c:pt idx="5">
                  <c:v>-452.666666666667</c:v>
                </c:pt>
                <c:pt idx="6">
                  <c:v>0</c:v>
                </c:pt>
              </c:numCache>
            </c:numRef>
          </c:val>
        </c:ser>
        <c:ser>
          <c:idx val="12"/>
          <c:order val="12"/>
          <c:tx>
            <c:v>Abfluss −</c:v>
          </c:tx>
          <c:spPr>
            <a:solidFill>
              <a:srgbClr val="b8c3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Dashboard!$V$32:$AB$32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62173873"/>
        <c:axId val="92934164"/>
      </c:barChart>
      <c:lineChart>
        <c:grouping val="stacked"/>
        <c:varyColors val="0"/>
        <c:ser>
          <c:idx val="13"/>
          <c:order val="13"/>
          <c:tx>
            <c:v>Stand</c:v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Dashboard!$T$20:$T$26</c:f>
              <c:strCache>
                <c:ptCount val="7"/>
                <c:pt idx="0">
                  <c:v>Miete</c:v>
                </c:pt>
                <c:pt idx="1">
                  <c:v>Bewirt-
schaftung</c:v>
                </c:pt>
                <c:pt idx="2">
                  <c:v>Zinsen</c:v>
                </c:pt>
                <c:pt idx="3">
                  <c:v>Tilgung</c:v>
                </c:pt>
                <c:pt idx="4">
                  <c:v>= vor Steuern</c:v>
                </c:pt>
                <c:pt idx="5">
                  <c:v>Steuer</c:v>
                </c:pt>
                <c:pt idx="6">
                  <c:v>= nach Steuern</c:v>
                </c:pt>
              </c:strCache>
            </c:strRef>
          </c:cat>
          <c:val>
            <c:numRef>
              <c:f>Dashboard!$W$20:$W$26</c:f>
              <c:numCache>
                <c:formatCode>General</c:formatCode>
                <c:ptCount val="7"/>
                <c:pt idx="0">
                  <c:v>921.5</c:v>
                </c:pt>
                <c:pt idx="1">
                  <c:v>714</c:v>
                </c:pt>
                <c:pt idx="2">
                  <c:v>-36</c:v>
                </c:pt>
                <c:pt idx="3">
                  <c:v>-452.666666666667</c:v>
                </c:pt>
                <c:pt idx="4">
                  <c:v>-452.666666666667</c:v>
                </c:pt>
                <c:pt idx="5">
                  <c:v>256.533045793917</c:v>
                </c:pt>
                <c:pt idx="6">
                  <c:v>256.533045793917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173873"/>
        <c:axId val="92934164"/>
      </c:lineChart>
      <c:catAx>
        <c:axId val="62173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2934164"/>
        <c:crosses val="autoZero"/>
        <c:auto val="1"/>
        <c:lblAlgn val="ctr"/>
        <c:lblOffset val="100"/>
        <c:noMultiLvlLbl val="1"/>
      </c:catAx>
      <c:valAx>
        <c:axId val="92934164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2173873"/>
        <c:crosses val="autoZero"/>
        <c:crossBetween val="between"/>
        <c:majorUnit val="5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Dashboard!$AK$62</c:f>
              <c:strCache>
                <c:ptCount val="1"/>
                <c:pt idx="0">
                  <c:v>Verkauf 2037
Nettovermögen
197 T€</c:v>
                </c:pt>
              </c:strCache>
            </c:strRef>
          </c:tx>
          <c:spPr>
            <a:solidFill>
              <a:srgbClr val="ceddf0"/>
            </a:solidFill>
            <a:ln w="0">
              <a:noFill/>
            </a:ln>
          </c:spPr>
          <c:invertIfNegative val="0"/>
          <c:dLbls>
            <c:spPr>
              <a:solidFill>
                <a:srgbClr val="FFFFFF"/>
              </a:solidFill>
              <a:ln w="6480">
                <a:solidFill>
                  <a:srgbClr val="E7EEF7"/>
                </a:solidFill>
              </a:ln>
            </c:spPr>
            <c:txPr>
              <a:bodyPr wrap="square"/>
              <a:lstStyle/>
              <a:p>
                <a:pPr>
                  <a:defRPr b="1" sz="800" spc="-1" strike="noStrike">
                    <a:solidFill>
                      <a:srgbClr val="0b2a4a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Dashboard!$AK$20:$AK$59</c:f>
              <c:numCache>
                <c:formatCode>General</c:formatCode>
                <c:ptCount val="40"/>
                <c:pt idx="11">
                  <c:v>421867.950543285</c:v>
                </c:pt>
              </c:numCache>
            </c:numRef>
          </c:val>
        </c:ser>
        <c:gapWidth val="500"/>
        <c:overlap val="0"/>
        <c:axId val="38470616"/>
        <c:axId val="59196215"/>
      </c:barChart>
      <c:lineChart>
        <c:grouping val="standard"/>
        <c:varyColors val="0"/>
        <c:ser>
          <c:idx val="1"/>
          <c:order val="1"/>
          <c:tx>
            <c:v>Immobilienwert</c:v>
          </c:tx>
          <c:spPr>
            <a:solidFill>
              <a:srgbClr val="4a86c8"/>
            </a:solidFill>
            <a:ln w="19080">
              <a:solidFill>
                <a:srgbClr val="4a86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Projektion!$D$41:$AQ$41</c:f>
              <c:numCache>
                <c:formatCode>#,##0;\−#,##0;\–</c:formatCode>
                <c:ptCount val="4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  <c:pt idx="35">
                  <c:v>605846.541083565</c:v>
                </c:pt>
                <c:pt idx="36">
                  <c:v>617963.471905236</c:v>
                </c:pt>
                <c:pt idx="37">
                  <c:v>630322.741343341</c:v>
                </c:pt>
                <c:pt idx="38">
                  <c:v>642929.196170208</c:v>
                </c:pt>
                <c:pt idx="39">
                  <c:v>655787.780093612</c:v>
                </c:pt>
              </c:numCache>
            </c:numRef>
          </c:val>
          <c:smooth val="0"/>
        </c:ser>
        <c:ser>
          <c:idx val="2"/>
          <c:order val="2"/>
          <c:tx>
            <c:v>Restschuld</c:v>
          </c:tx>
          <c:spPr>
            <a:solidFill>
              <a:srgbClr val="8a94a6"/>
            </a:solidFill>
            <a:ln w="12600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Projektion!$D$42:$AQ$42</c:f>
              <c:numCache>
                <c:formatCode>#,##0;\−#,##0;\–</c:formatCode>
                <c:ptCount val="40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Nettovermögen</c:v>
          </c:tx>
          <c:spPr>
            <a:solidFill>
              <a:srgbClr val="0b2a4a"/>
            </a:solidFill>
            <a:ln w="31680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Projektion!$D$43:$AQ$43</c:f>
              <c:numCache>
                <c:formatCode>#,##0;\−#,##0;\–</c:formatCode>
                <c:ptCount val="4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  <c:pt idx="35">
                  <c:v>605846.541083565</c:v>
                </c:pt>
                <c:pt idx="36">
                  <c:v>617963.471905236</c:v>
                </c:pt>
                <c:pt idx="37">
                  <c:v>630322.741343341</c:v>
                </c:pt>
                <c:pt idx="38">
                  <c:v>642929.196170208</c:v>
                </c:pt>
                <c:pt idx="39">
                  <c:v>655787.780093612</c:v>
                </c:pt>
              </c:numCache>
            </c:numRef>
          </c:val>
          <c:smooth val="0"/>
        </c:ser>
        <c:ser>
          <c:idx val="4"/>
          <c:order val="4"/>
          <c:tx>
            <c:v>Verkaufspunkt</c:v>
          </c:tx>
          <c:spPr>
            <a:solidFill>
              <a:srgbClr val="0b2a4a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b2a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Projektion!$D$10:$AQ$10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Dashboard!$AL$20:$AL$59</c:f>
              <c:numCache>
                <c:formatCode>General</c:formatCode>
                <c:ptCount val="40"/>
                <c:pt idx="11">
                  <c:v>196643.252967325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470616"/>
        <c:axId val="59196215"/>
      </c:lineChart>
      <c:catAx>
        <c:axId val="38470616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9196215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9196215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8470616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045"/>
          <c:y val="0.915"/>
          <c:w val="0.42"/>
          <c:h val="0.0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C9CE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5B606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8C939D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3A3F45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30205805"/>
        <c:axId val="50844453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205805"/>
        <c:axId val="50844453"/>
      </c:lineChart>
      <c:catAx>
        <c:axId val="30205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0844453"/>
        <c:crosses val="autoZero"/>
        <c:auto val="1"/>
        <c:lblAlgn val="ctr"/>
        <c:lblOffset val="100"/>
        <c:noMultiLvlLbl val="1"/>
      </c:catAx>
      <c:valAx>
        <c:axId val="50844453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0205805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 und Restschuld (Jahre 1–30, T€)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Diagramme!$D$183:$AG$183</c:f>
              <c:numCache>
                <c:formatCode>#,##0;\−#,##0;\–</c:formatCode>
                <c:ptCount val="3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</c:numCache>
            </c:numRef>
          </c:val>
        </c:ser>
        <c:axId val="71812064"/>
        <c:axId val="55270315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9CBBE2">
                <a:alpha val="50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9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 w="9525">
                  <a:solidFill>
                    <a:srgbClr val="E7EEF7"/>
                  </a:solidFill>
                  <a:round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 w="9525">
                <a:solidFill>
                  <a:srgbClr val="E7EEF7"/>
                </a:solidFill>
                <a:round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Diagramme!$D$202:$AG$202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500"/>
        <c:overlap val="0"/>
        <c:axId val="71812064"/>
        <c:axId val="55270315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Diagramme!$D$179:$AG$179</c:f>
              <c:numCache>
                <c:formatCode>#,##0;\−#,##0;\–</c:formatCode>
                <c:ptCount val="3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Diagramme!$D$182:$AG$182</c:f>
              <c:numCache>
                <c:formatCode>#,##0;\−#,##0;\–</c:formatCode>
                <c:ptCount val="30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Diagramme!$D$183:$AG$183</c:f>
              <c:numCache>
                <c:formatCode>#,##0;\−#,##0;\–</c:formatCode>
                <c:ptCount val="30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812064"/>
        <c:axId val="55270315"/>
      </c:lineChart>
      <c:catAx>
        <c:axId val="71812064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5270315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55270315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1812064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Cashflow vor und nach Steuern (Jahre 1–30, T€ p. a.)</a:t>
            </a:r>
          </a:p>
        </c:rich>
      </c:tx>
      <c:layout>
        <c:manualLayout>
          <c:xMode val="edge"/>
          <c:yMode val="edge"/>
          <c:x val="0.023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Cashflow nach Steuern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Diagramme!$D$185:$AG$185</c:f>
              <c:numCache>
                <c:formatCode>#,##0;\−#,##0;\–</c:formatCode>
                <c:ptCount val="30"/>
                <c:pt idx="0">
                  <c:v>3078.39654952701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40"/>
        <c:overlap val="0"/>
        <c:axId val="18060040"/>
        <c:axId val="40535717"/>
      </c:barChart>
      <c:lineChart>
        <c:grouping val="standard"/>
        <c:varyColors val="0"/>
        <c:ser>
          <c:idx val="1"/>
          <c:order val="1"/>
          <c:tx>
            <c:v>Cashflow vor Steuern</c:v>
          </c:tx>
          <c:spPr>
            <a:ln w="2540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Diagramme!$D$184:$AG$184</c:f>
              <c:numCache>
                <c:formatCode>#,##0;\−#,##0;\–</c:formatCode>
                <c:ptCount val="30"/>
                <c:pt idx="0">
                  <c:v>-5432</c:v>
                </c:pt>
                <c:pt idx="1">
                  <c:v>-5260.64</c:v>
                </c:pt>
                <c:pt idx="2">
                  <c:v>-5085.8528</c:v>
                </c:pt>
                <c:pt idx="3">
                  <c:v>-4907.569856</c:v>
                </c:pt>
                <c:pt idx="4">
                  <c:v>-4725.72125312</c:v>
                </c:pt>
                <c:pt idx="5">
                  <c:v>-4540.2356781824</c:v>
                </c:pt>
                <c:pt idx="6">
                  <c:v>-4351.04039174604</c:v>
                </c:pt>
                <c:pt idx="7">
                  <c:v>-4158.06119958097</c:v>
                </c:pt>
                <c:pt idx="8">
                  <c:v>-3961.22242357258</c:v>
                </c:pt>
                <c:pt idx="9">
                  <c:v>-3760.44687204404</c:v>
                </c:pt>
                <c:pt idx="10">
                  <c:v>-3555.65580948492</c:v>
                </c:pt>
                <c:pt idx="11">
                  <c:v>-3346.76892567462</c:v>
                </c:pt>
                <c:pt idx="12">
                  <c:v>-3133.70430418811</c:v>
                </c:pt>
                <c:pt idx="13">
                  <c:v>-2916.37839027187</c:v>
                </c:pt>
                <c:pt idx="14">
                  <c:v>-2694.70595807731</c:v>
                </c:pt>
                <c:pt idx="15">
                  <c:v>-2468.60007723885</c:v>
                </c:pt>
                <c:pt idx="16">
                  <c:v>-2237.97207878363</c:v>
                </c:pt>
                <c:pt idx="17">
                  <c:v>-2002.7315203593</c:v>
                </c:pt>
                <c:pt idx="18">
                  <c:v>-1762.78615076649</c:v>
                </c:pt>
                <c:pt idx="19">
                  <c:v>-1518.04187378182</c:v>
                </c:pt>
                <c:pt idx="20">
                  <c:v>-1268.40271125745</c:v>
                </c:pt>
                <c:pt idx="21">
                  <c:v>-1013.7707654826</c:v>
                </c:pt>
                <c:pt idx="22">
                  <c:v>-754.046180792255</c:v>
                </c:pt>
                <c:pt idx="23">
                  <c:v>-489.1271044081</c:v>
                </c:pt>
                <c:pt idx="24">
                  <c:v>-218.909646496259</c:v>
                </c:pt>
                <c:pt idx="25">
                  <c:v>56.7121605738121</c:v>
                </c:pt>
                <c:pt idx="26">
                  <c:v>337.846403785288</c:v>
                </c:pt>
                <c:pt idx="27">
                  <c:v>624.603331860995</c:v>
                </c:pt>
                <c:pt idx="28">
                  <c:v>917.095398498215</c:v>
                </c:pt>
                <c:pt idx="29">
                  <c:v>1215.43730646818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060040"/>
        <c:axId val="40535717"/>
      </c:lineChart>
      <c:catAx>
        <c:axId val="18060040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0535717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40535717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8060040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Gesamtinvestition</a:t>
            </a:r>
          </a:p>
        </c:rich>
      </c:tx>
      <c:layout>
        <c:manualLayout>
          <c:xMode val="edge"/>
          <c:yMode val="edge"/>
          <c:x val="0.029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40"/>
      <c:rotY val="89"/>
      <c:rAngAx val="0"/>
      <c:perspective val="10"/>
    </c:view3D>
    <c:plotArea>
      <c:layout>
        <c:manualLayout>
          <c:layoutTarget val="inner"/>
          <c:xMode val="edge"/>
          <c:yMode val="edge"/>
          <c:x val="0.22"/>
          <c:y val="0.2224"/>
          <c:w val="0.56"/>
          <c:h val="0.580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C9DBEF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Kaufprei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Nebenkost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delete val="1"/>
            </c:dLbl>
            <c:dLbl>
              <c:idx val="3"/>
              <c:delete val="1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Diagramme!$AI$152:$AI$155</c:f>
              <c:strCache>
                <c:ptCount val="4"/>
                <c:pt idx="0">
                  <c:v>Kaufpreis · 87 %</c:v>
                </c:pt>
                <c:pt idx="1">
                  <c:v>Nebenkosten · 9 %</c:v>
                </c:pt>
                <c:pt idx="2">
                  <c:v>Finanzierungskosten · 1 %</c:v>
                </c:pt>
                <c:pt idx="3">
                  <c:v>Maßnahmen · 4 %</c:v>
                </c:pt>
              </c:strCache>
            </c:strRef>
          </c:cat>
          <c:val>
            <c:numRef>
              <c:f>Diagramme!$C$141:$C$144</c:f>
              <c:numCache>
                <c:formatCode>#,##0;\−#,##0;\–</c:formatCode>
                <c:ptCount val="4"/>
                <c:pt idx="0">
                  <c:v>285000</c:v>
                </c:pt>
                <c:pt idx="1">
                  <c:v>30224.5</c:v>
                </c:pt>
                <c:pt idx="2">
                  <c:v>1750</c:v>
                </c:pt>
                <c:pt idx="3">
                  <c:v>12000</c:v>
                </c:pt>
              </c:numCache>
            </c:numRef>
          </c:val>
        </c:ser>
      </c:pie3DChart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3A3F45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Finanzierungsstruktur</a:t>
            </a:r>
          </a:p>
        </c:rich>
      </c:tx>
      <c:layout>
        <c:manualLayout>
          <c:xMode val="edge"/>
          <c:yMode val="edge"/>
          <c:x val="0.0295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40"/>
      <c:rotY val="108"/>
      <c:rAngAx val="0"/>
      <c:perspective val="10"/>
    </c:view3D>
    <c:plotArea>
      <c:layout>
        <c:manualLayout>
          <c:layoutTarget val="inner"/>
          <c:xMode val="edge"/>
          <c:yMode val="edge"/>
          <c:x val="0.22"/>
          <c:y val="0.2494"/>
          <c:w val="0.56"/>
          <c:h val="0.56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Darlehen I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Diagramme!$AI$164:$AI$166</c:f>
              <c:strCache>
                <c:ptCount val="3"/>
                <c:pt idx="0">
                  <c:v>Darlehen I · 76 %</c:v>
                </c:pt>
                <c:pt idx="1">
                  <c:v>Darlehen II · 0 %</c:v>
                </c:pt>
                <c:pt idx="2">
                  <c:v>Eigenkapital · 24 %</c:v>
                </c:pt>
              </c:strCache>
            </c:strRef>
          </c:cat>
          <c:val>
            <c:numRef>
              <c:f>Diagramme!$C$147:$C$149</c:f>
              <c:numCache>
                <c:formatCode>#,##0;\−#,##0;\–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Kaufpreisaufteilung</a:t>
            </a:r>
          </a:p>
        </c:rich>
      </c:tx>
      <c:layout>
        <c:manualLayout>
          <c:xMode val="edge"/>
          <c:yMode val="edge"/>
          <c:x val="0.0295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40"/>
      <c:rotY val="38"/>
      <c:rAngAx val="0"/>
      <c:perspective val="10"/>
    </c:view3D>
    <c:plotArea>
      <c:layout>
        <c:manualLayout>
          <c:layoutTarget val="inner"/>
          <c:xMode val="edge"/>
          <c:yMode val="edge"/>
          <c:x val="0.22"/>
          <c:y val="0.2276"/>
          <c:w val="0.56"/>
          <c:h val="0.56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C9DBEF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Boden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Gebäude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delete val="1"/>
            </c:dLbl>
            <c:dLbl>
              <c:idx val="3"/>
              <c:delete val="1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Diagramme!$AI$147:$AI$150</c:f>
              <c:strCache>
                <c:ptCount val="4"/>
                <c:pt idx="0">
                  <c:v>Boden · 19 %</c:v>
                </c:pt>
                <c:pt idx="1">
                  <c:v>Gebäude · 77 %</c:v>
                </c:pt>
                <c:pt idx="2">
                  <c:v>Inventar · 3 %</c:v>
                </c:pt>
                <c:pt idx="3">
                  <c:v>Rücklage · 1 %</c:v>
                </c:pt>
              </c:strCache>
            </c:strRef>
          </c:cat>
          <c:val>
            <c:numRef>
              <c:f>Diagramme!$C$152:$C$155</c:f>
              <c:numCache>
                <c:formatCode>#,##0;\−#,##0;\–</c:formatCode>
                <c:ptCount val="4"/>
                <c:pt idx="0">
                  <c:v>54000</c:v>
                </c:pt>
                <c:pt idx="1">
                  <c:v>220000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</c:ser>
      </c:pie3DChart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3A3F45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2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C9CE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5B606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8C939D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3A3F45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64359094"/>
        <c:axId val="58359344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359094"/>
        <c:axId val="58359344"/>
      </c:lineChart>
      <c:catAx>
        <c:axId val="64359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8359344"/>
        <c:crosses val="autoZero"/>
        <c:auto val="1"/>
        <c:lblAlgn val="ctr"/>
        <c:lblOffset val="100"/>
        <c:noMultiLvlLbl val="1"/>
      </c:catAx>
      <c:valAx>
        <c:axId val="58359344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4359094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Cashflow vor und nach Steuern (Jahre 1–30, T€ p. a.)</a:t>
            </a:r>
          </a:p>
        </c:rich>
      </c:tx>
      <c:layout>
        <c:manualLayout>
          <c:xMode val="edge"/>
          <c:yMode val="edge"/>
          <c:x val="0.013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Cashflow nach Steuern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Diagramme!$D$185:$AG$185</c:f>
              <c:numCache>
                <c:formatCode>#,##0;\−#,##0;\–</c:formatCode>
                <c:ptCount val="30"/>
                <c:pt idx="0">
                  <c:v>3078.39654952701</c:v>
                </c:pt>
                <c:pt idx="1">
                  <c:v>-3286.96345735299</c:v>
                </c:pt>
                <c:pt idx="2">
                  <c:v>-3293.16621781059</c:v>
                </c:pt>
                <c:pt idx="3">
                  <c:v>-3300.87324804118</c:v>
                </c:pt>
                <c:pt idx="4">
                  <c:v>-3310.16432116452</c:v>
                </c:pt>
                <c:pt idx="5">
                  <c:v>-3321.12259452085</c:v>
                </c:pt>
                <c:pt idx="6">
                  <c:v>-3333.83474175054</c:v>
                </c:pt>
                <c:pt idx="7">
                  <c:v>-3348.39108983371</c:v>
                </c:pt>
                <c:pt idx="8">
                  <c:v>-3364.88576127213</c:v>
                </c:pt>
                <c:pt idx="9">
                  <c:v>-3383.41682160308</c:v>
                </c:pt>
                <c:pt idx="10">
                  <c:v>-2978.67150885839</c:v>
                </c:pt>
                <c:pt idx="11">
                  <c:v>-2995.43786345826</c:v>
                </c:pt>
                <c:pt idx="12">
                  <c:v>-3015.35070120497</c:v>
                </c:pt>
                <c:pt idx="13">
                  <c:v>-3038.59945378393</c:v>
                </c:pt>
                <c:pt idx="14">
                  <c:v>-3065.38303410527</c:v>
                </c:pt>
                <c:pt idx="15">
                  <c:v>-3095.91028209491</c:v>
                </c:pt>
                <c:pt idx="16">
                  <c:v>-3130.40043092901</c:v>
                </c:pt>
                <c:pt idx="17">
                  <c:v>-3169.08359463926</c:v>
                </c:pt>
                <c:pt idx="18">
                  <c:v>-3212.20127805868</c:v>
                </c:pt>
                <c:pt idx="19">
                  <c:v>-3260.006910121</c:v>
                </c:pt>
                <c:pt idx="20">
                  <c:v>-3312.76640157295</c:v>
                </c:pt>
                <c:pt idx="21">
                  <c:v>-3370.75872820599</c:v>
                </c:pt>
                <c:pt idx="22">
                  <c:v>-3434.27654076459</c:v>
                </c:pt>
                <c:pt idx="23">
                  <c:v>-3503.62680273994</c:v>
                </c:pt>
                <c:pt idx="24">
                  <c:v>-3579.13145731283</c:v>
                </c:pt>
                <c:pt idx="25">
                  <c:v>-3661.12812476631</c:v>
                </c:pt>
                <c:pt idx="26">
                  <c:v>-3749.97083174851</c:v>
                </c:pt>
                <c:pt idx="27">
                  <c:v>-3846.0307738281</c:v>
                </c:pt>
                <c:pt idx="28">
                  <c:v>-3949.6971128501</c:v>
                </c:pt>
                <c:pt idx="29">
                  <c:v>-4061.37781066792</c:v>
                </c:pt>
              </c:numCache>
            </c:numRef>
          </c:val>
        </c:ser>
        <c:gapWidth val="40"/>
        <c:overlap val="0"/>
        <c:axId val="55090473"/>
        <c:axId val="11450226"/>
      </c:barChart>
      <c:lineChart>
        <c:grouping val="standard"/>
        <c:varyColors val="0"/>
        <c:ser>
          <c:idx val="1"/>
          <c:order val="1"/>
          <c:tx>
            <c:v>Cashflow vor Steuern</c:v>
          </c:tx>
          <c:spPr>
            <a:ln w="2540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Diagramme!$D$178:$AG$178</c:f>
              <c:numCache>
                <c:formatCode>General</c:formatCode>
                <c:ptCount val="3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</c:numCache>
            </c:numRef>
          </c:cat>
          <c:val>
            <c:numRef>
              <c:f>Diagramme!$D$184:$AG$184</c:f>
              <c:numCache>
                <c:formatCode>#,##0;\−#,##0;\–</c:formatCode>
                <c:ptCount val="30"/>
                <c:pt idx="0">
                  <c:v>-5432</c:v>
                </c:pt>
                <c:pt idx="1">
                  <c:v>-5260.64</c:v>
                </c:pt>
                <c:pt idx="2">
                  <c:v>-5085.8528</c:v>
                </c:pt>
                <c:pt idx="3">
                  <c:v>-4907.569856</c:v>
                </c:pt>
                <c:pt idx="4">
                  <c:v>-4725.72125312</c:v>
                </c:pt>
                <c:pt idx="5">
                  <c:v>-4540.2356781824</c:v>
                </c:pt>
                <c:pt idx="6">
                  <c:v>-4351.04039174604</c:v>
                </c:pt>
                <c:pt idx="7">
                  <c:v>-4158.06119958097</c:v>
                </c:pt>
                <c:pt idx="8">
                  <c:v>-3961.22242357258</c:v>
                </c:pt>
                <c:pt idx="9">
                  <c:v>-3760.44687204404</c:v>
                </c:pt>
                <c:pt idx="10">
                  <c:v>-3555.65580948492</c:v>
                </c:pt>
                <c:pt idx="11">
                  <c:v>-3346.76892567462</c:v>
                </c:pt>
                <c:pt idx="12">
                  <c:v>-3133.70430418811</c:v>
                </c:pt>
                <c:pt idx="13">
                  <c:v>-2916.37839027187</c:v>
                </c:pt>
                <c:pt idx="14">
                  <c:v>-2694.70595807731</c:v>
                </c:pt>
                <c:pt idx="15">
                  <c:v>-2468.60007723885</c:v>
                </c:pt>
                <c:pt idx="16">
                  <c:v>-2237.97207878363</c:v>
                </c:pt>
                <c:pt idx="17">
                  <c:v>-2002.7315203593</c:v>
                </c:pt>
                <c:pt idx="18">
                  <c:v>-1762.78615076649</c:v>
                </c:pt>
                <c:pt idx="19">
                  <c:v>-1518.04187378182</c:v>
                </c:pt>
                <c:pt idx="20">
                  <c:v>-1268.40271125745</c:v>
                </c:pt>
                <c:pt idx="21">
                  <c:v>-1013.7707654826</c:v>
                </c:pt>
                <c:pt idx="22">
                  <c:v>-754.046180792255</c:v>
                </c:pt>
                <c:pt idx="23">
                  <c:v>-489.1271044081</c:v>
                </c:pt>
                <c:pt idx="24">
                  <c:v>-218.909646496259</c:v>
                </c:pt>
                <c:pt idx="25">
                  <c:v>56.7121605738121</c:v>
                </c:pt>
                <c:pt idx="26">
                  <c:v>337.846403785288</c:v>
                </c:pt>
                <c:pt idx="27">
                  <c:v>624.603331860995</c:v>
                </c:pt>
                <c:pt idx="28">
                  <c:v>917.095398498215</c:v>
                </c:pt>
                <c:pt idx="29">
                  <c:v>1215.43730646818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090473"/>
        <c:axId val="11450226"/>
      </c:lineChart>
      <c:catAx>
        <c:axId val="55090473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1450226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11450226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5090473"/>
        <c:crosses val="autoZero"/>
        <c:crossBetween val="between"/>
        <c:majorUnit val="2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 und Restschuld (Jahre 1–35, T€)</a:t>
            </a:r>
          </a:p>
        </c:rich>
      </c:tx>
      <c:layout>
        <c:manualLayout>
          <c:xMode val="edge"/>
          <c:yMode val="edge"/>
          <c:x val="0.018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areaChart>
        <c:grouping val="standard"/>
        <c:varyColors val="0"/>
        <c:ser>
          <c:idx val="0"/>
          <c:order val="0"/>
          <c:tx>
            <c:v>Nettovermögen</c:v>
          </c:tx>
          <c:spPr>
            <a:solidFill>
              <a:srgbClr val="4A86C8">
                <a:alpha val="25000"/>
              </a:srgbClr>
            </a:solidFill>
            <a:ln>
              <a:noFill/>
            </a:ln>
          </c:spP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</c:ser>
        <c:axId val="96384402"/>
        <c:axId val="34085537"/>
      </c:areaChart>
      <c:barChart>
        <c:barDir val="col"/>
        <c:grouping val="clustered"/>
        <c:varyColors val="0"/>
        <c:ser>
          <c:idx val="1"/>
          <c:order val="1"/>
          <c:tx>
            <c:strRef>
              <c:f>Diagramme!$B$202</c:f>
              <c:strCache>
                <c:ptCount val="1"/>
                <c:pt idx="0">
                  <c:v>Verkaufspreis Jahr 12</c:v>
                </c:pt>
              </c:strCache>
            </c:strRef>
          </c:tx>
          <c:spPr>
            <a:solidFill>
              <a:srgbClr val="9CBBE2">
                <a:alpha val="50000"/>
              </a:srgbClr>
            </a:solidFill>
            <a:ln>
              <a:noFill/>
            </a:ln>
          </c:spPr>
          <c:invertIfNegative val="0"/>
          <c:dLbls>
            <c:dLbl>
              <c:idx val="11"/>
              <c:layout>
                <c:manualLayout>
                  <c:xMode val="edge"/>
                  <c:yMode val="edge"/>
                  <c:x val="0"/>
                  <c:y val="-0.09"/>
                </c:manualLayout>
              </c:layout>
              <c:numFmt formatCode="#,##0,&quot; T€&quot;;;" sourceLinked="0"/>
              <c:spPr>
                <a:solidFill>
                  <a:srgbClr val="FFFFFF"/>
                </a:solidFill>
                <a:ln w="9525">
                  <a:solidFill>
                    <a:srgbClr val="E7EEF7"/>
                  </a:solidFill>
                  <a:round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1D4F8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· </c:separator>
            </c:dLbl>
            <c:numFmt formatCode="#,##0,&quot; T€&quot;;;" sourceLinked="0"/>
            <c:spPr>
              <a:solidFill>
                <a:srgbClr val="FFFFFF"/>
              </a:solidFill>
              <a:ln w="9525">
                <a:solidFill>
                  <a:srgbClr val="E7EEF7"/>
                </a:solidFill>
                <a:round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1D4F8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· </c:separator>
          </c:dLbls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Diagramme!$D$202:$AL$202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376667.812985076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500"/>
        <c:overlap val="0"/>
        <c:axId val="96384402"/>
        <c:axId val="34085537"/>
      </c:barChart>
      <c:lineChart>
        <c:grouping val="standard"/>
        <c:varyColors val="0"/>
        <c:ser>
          <c:idx val="2"/>
          <c:order val="2"/>
          <c:tx>
            <c:v>Immobilienwert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Diagramme!$D$179:$AL$179</c:f>
              <c:numCache>
                <c:formatCode>#,##0;\−#,##0;\–</c:formatCode>
                <c:ptCount val="35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441326.376605572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497005.179963146</c:v>
                </c:pt>
                <c:pt idx="26">
                  <c:v>506945.283562409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  <c:pt idx="30">
                  <c:v>548733.87828827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ser>
          <c:idx val="3"/>
          <c:order val="3"/>
          <c:tx>
            <c:v>Restschuld</c:v>
          </c:tx>
          <c:spPr>
            <a:ln w="12700" cap="rnd">
              <a:solidFill>
                <a:srgbClr val="8A94A6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Diagramme!$D$182:$AL$182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Nettovermögen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Diagramme!$D$183:$AL$183</c:f>
              <c:numCache>
                <c:formatCode>#,##0;\−#,##0;\–</c:formatCode>
                <c:ptCount val="35"/>
                <c:pt idx="0">
                  <c:v>57940</c:v>
                </c:pt>
                <c:pt idx="1">
                  <c:v>69178.8</c:v>
                </c:pt>
                <c:pt idx="2">
                  <c:v>80725.256</c:v>
                </c:pt>
                <c:pt idx="3">
                  <c:v>92588.5048</c:v>
                </c:pt>
                <c:pt idx="4">
                  <c:v>104777.97334848</c:v>
                </c:pt>
                <c:pt idx="5">
                  <c:v>117303.388412219</c:v>
                </c:pt>
                <c:pt idx="6">
                  <c:v>130174.786578716</c:v>
                </c:pt>
                <c:pt idx="7">
                  <c:v>143402.524602881</c:v>
                </c:pt>
                <c:pt idx="8">
                  <c:v>156997.290110062</c:v>
                </c:pt>
                <c:pt idx="9">
                  <c:v>170970.112667931</c:v>
                </c:pt>
                <c:pt idx="10">
                  <c:v>183612.734169526</c:v>
                </c:pt>
                <c:pt idx="11">
                  <c:v>196643.252967325</c:v>
                </c:pt>
                <c:pt idx="12">
                  <c:v>210075.504026228</c:v>
                </c:pt>
                <c:pt idx="13">
                  <c:v>223923.872476288</c:v>
                </c:pt>
                <c:pt idx="14">
                  <c:v>238203.31692198</c:v>
                </c:pt>
                <c:pt idx="15">
                  <c:v>252929.393771412</c:v>
                </c:pt>
                <c:pt idx="16">
                  <c:v>268118.282630828</c:v>
                </c:pt>
                <c:pt idx="17">
                  <c:v>283786.812811711</c:v>
                </c:pt>
                <c:pt idx="18">
                  <c:v>299952.490999984</c:v>
                </c:pt>
                <c:pt idx="19">
                  <c:v>316633.530138965</c:v>
                </c:pt>
                <c:pt idx="20">
                  <c:v>333848.879580079</c:v>
                </c:pt>
                <c:pt idx="21">
                  <c:v>351618.25655774</c:v>
                </c:pt>
                <c:pt idx="22">
                  <c:v>369962.179047328</c:v>
                </c:pt>
                <c:pt idx="23">
                  <c:v>388902.000067836</c:v>
                </c:pt>
                <c:pt idx="24">
                  <c:v>408459.943493536</c:v>
                </c:pt>
                <c:pt idx="25">
                  <c:v>428659.141441844</c:v>
                </c:pt>
                <c:pt idx="26">
                  <c:v>449523.673307648</c:v>
                </c:pt>
                <c:pt idx="27">
                  <c:v>471078.606517432</c:v>
                </c:pt>
                <c:pt idx="28">
                  <c:v>493350.039079875</c:v>
                </c:pt>
                <c:pt idx="29">
                  <c:v>516365.144013012</c:v>
                </c:pt>
                <c:pt idx="30">
                  <c:v>540152.21573163</c:v>
                </c:pt>
                <c:pt idx="31">
                  <c:v>559708.555854036</c:v>
                </c:pt>
                <c:pt idx="32">
                  <c:v>570902.726971117</c:v>
                </c:pt>
                <c:pt idx="33">
                  <c:v>582320.781510539</c:v>
                </c:pt>
                <c:pt idx="34">
                  <c:v>593967.19714075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384402"/>
        <c:axId val="34085537"/>
      </c:lineChart>
      <c:catAx>
        <c:axId val="96384402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4085537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34085537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6384402"/>
        <c:crosses val="autoZero"/>
        <c:crossBetween val="between"/>
        <c:majorUnit val="10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Restschuld am Jahresende bis zur Volltilgung (Jahre 1–35, T€)</a:t>
            </a:r>
          </a:p>
        </c:rich>
      </c:tx>
      <c:layout>
        <c:manualLayout>
          <c:xMode val="edge"/>
          <c:yMode val="edge"/>
          <c:x val="0.018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Darlehen I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Diagramme!$D$180:$AL$180</c:f>
              <c:numCache>
                <c:formatCode>#,##0;\−#,##0;\–</c:formatCode>
                <c:ptCount val="35"/>
                <c:pt idx="0">
                  <c:v>245000</c:v>
                </c:pt>
                <c:pt idx="1">
                  <c:v>239820</c:v>
                </c:pt>
                <c:pt idx="2">
                  <c:v>234453.52</c:v>
                </c:pt>
                <c:pt idx="3">
                  <c:v>228893.84672</c:v>
                </c:pt>
                <c:pt idx="4">
                  <c:v>223134.02520192</c:v>
                </c:pt>
                <c:pt idx="5">
                  <c:v>217166.850109189</c:v>
                </c:pt>
                <c:pt idx="6">
                  <c:v>210984.85671312</c:v>
                </c:pt>
                <c:pt idx="7">
                  <c:v>204580.311554792</c:v>
                </c:pt>
                <c:pt idx="8">
                  <c:v>197945.202770765</c:v>
                </c:pt>
                <c:pt idx="9">
                  <c:v>191071.230070512</c:v>
                </c:pt>
                <c:pt idx="10">
                  <c:v>185669.435423685</c:v>
                </c:pt>
                <c:pt idx="11">
                  <c:v>180024.560017751</c:v>
                </c:pt>
                <c:pt idx="12">
                  <c:v>174125.66521855</c:v>
                </c:pt>
                <c:pt idx="13">
                  <c:v>167961.320153385</c:v>
                </c:pt>
                <c:pt idx="14">
                  <c:v>161519.579560287</c:v>
                </c:pt>
                <c:pt idx="15">
                  <c:v>154787.9606405</c:v>
                </c:pt>
                <c:pt idx="16">
                  <c:v>147753.418869323</c:v>
                </c:pt>
                <c:pt idx="17">
                  <c:v>140402.322718442</c:v>
                </c:pt>
                <c:pt idx="18">
                  <c:v>132720.427240772</c:v>
                </c:pt>
                <c:pt idx="19">
                  <c:v>124692.846466607</c:v>
                </c:pt>
                <c:pt idx="20">
                  <c:v>116304.024557604</c:v>
                </c:pt>
                <c:pt idx="21">
                  <c:v>107537.705662696</c:v>
                </c:pt>
                <c:pt idx="22">
                  <c:v>98376.9024175175</c:v>
                </c:pt>
                <c:pt idx="23">
                  <c:v>88803.8630263058</c:v>
                </c:pt>
                <c:pt idx="24">
                  <c:v>78800.0368624896</c:v>
                </c:pt>
                <c:pt idx="25">
                  <c:v>68346.0385213016</c:v>
                </c:pt>
                <c:pt idx="26">
                  <c:v>57421.6102547602</c:v>
                </c:pt>
                <c:pt idx="27">
                  <c:v>46005.5827162244</c:v>
                </c:pt>
                <c:pt idx="28">
                  <c:v>34075.8339384545</c:v>
                </c:pt>
                <c:pt idx="29">
                  <c:v>21609.2464656849</c:v>
                </c:pt>
                <c:pt idx="30">
                  <c:v>8581.66255664074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Diagramme!$F$173</c:f>
              <c:strCache>
                <c:ptCount val="1"/>
                <c:pt idx="0">
                  <c:v>Darlehen II (keines)</c:v>
                </c:pt>
              </c:strCache>
            </c:strRef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Diagramme!$D$181:$AL$181</c:f>
              <c:numCache>
                <c:formatCode>#,##0;\−#,##0;\–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60"/>
        <c:overlap val="100"/>
        <c:axId val="89633211"/>
        <c:axId val="98573879"/>
      </c:barChart>
      <c:catAx>
        <c:axId val="89633211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8573879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98573879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9633211"/>
        <c:crosses val="autoZero"/>
        <c:crossBetween val="between"/>
        <c:majorUnit val="5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Kumulierte Zinsen, Tilgung und Steuer (Jahre 1–35, T€)</a:t>
            </a:r>
          </a:p>
        </c:rich>
      </c:tx>
      <c:layout>
        <c:manualLayout>
          <c:xMode val="edge"/>
          <c:yMode val="edge"/>
          <c:x val="0.018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Kumulierte Zinsen</c:v>
          </c:tx>
          <c:spPr>
            <a:ln w="25400" cap="rnd">
              <a:solidFill>
                <a:srgbClr val="5B606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Diagramme!$D$189:$AL$189</c:f>
              <c:numCache>
                <c:formatCode>#,##0;\−#,##0;\–</c:formatCode>
                <c:ptCount val="35"/>
                <c:pt idx="0">
                  <c:v>9000</c:v>
                </c:pt>
                <c:pt idx="1">
                  <c:v>17820</c:v>
                </c:pt>
                <c:pt idx="2">
                  <c:v>26453.52</c:v>
                </c:pt>
                <c:pt idx="3">
                  <c:v>34893.84672</c:v>
                </c:pt>
                <c:pt idx="4">
                  <c:v>43134.02520192</c:v>
                </c:pt>
                <c:pt idx="5">
                  <c:v>51166.8501091891</c:v>
                </c:pt>
                <c:pt idx="6">
                  <c:v>58984.8567131199</c:v>
                </c:pt>
                <c:pt idx="7">
                  <c:v>66580.3115547922</c:v>
                </c:pt>
                <c:pt idx="8">
                  <c:v>73945.2027707648</c:v>
                </c:pt>
                <c:pt idx="9">
                  <c:v>81071.2300705123</c:v>
                </c:pt>
                <c:pt idx="10">
                  <c:v>89669.4354236853</c:v>
                </c:pt>
                <c:pt idx="11">
                  <c:v>98024.5600177512</c:v>
                </c:pt>
                <c:pt idx="12">
                  <c:v>106125.66521855</c:v>
                </c:pt>
                <c:pt idx="13">
                  <c:v>113961.320153385</c:v>
                </c:pt>
                <c:pt idx="14">
                  <c:v>121519.579560287</c:v>
                </c:pt>
                <c:pt idx="15">
                  <c:v>128787.9606405</c:v>
                </c:pt>
                <c:pt idx="16">
                  <c:v>135753.418869322</c:v>
                </c:pt>
                <c:pt idx="17">
                  <c:v>142402.322718442</c:v>
                </c:pt>
                <c:pt idx="18">
                  <c:v>148720.427240772</c:v>
                </c:pt>
                <c:pt idx="19">
                  <c:v>154692.846466607</c:v>
                </c:pt>
                <c:pt idx="20">
                  <c:v>160304.024557604</c:v>
                </c:pt>
                <c:pt idx="21">
                  <c:v>165537.705662696</c:v>
                </c:pt>
                <c:pt idx="22">
                  <c:v>170376.902417517</c:v>
                </c:pt>
                <c:pt idx="23">
                  <c:v>174803.863026306</c:v>
                </c:pt>
                <c:pt idx="24">
                  <c:v>178800.036862489</c:v>
                </c:pt>
                <c:pt idx="25">
                  <c:v>182346.038521302</c:v>
                </c:pt>
                <c:pt idx="26">
                  <c:v>185421.61025476</c:v>
                </c:pt>
                <c:pt idx="27">
                  <c:v>188005.582716224</c:v>
                </c:pt>
                <c:pt idx="28">
                  <c:v>190075.833938454</c:v>
                </c:pt>
                <c:pt idx="29">
                  <c:v>191609.246465685</c:v>
                </c:pt>
                <c:pt idx="30">
                  <c:v>192581.662556641</c:v>
                </c:pt>
                <c:pt idx="31">
                  <c:v>192967.837371689</c:v>
                </c:pt>
                <c:pt idx="32">
                  <c:v>192967.837371689</c:v>
                </c:pt>
                <c:pt idx="33">
                  <c:v>192967.837371689</c:v>
                </c:pt>
                <c:pt idx="34">
                  <c:v>192967.837371689</c:v>
                </c:pt>
              </c:numCache>
            </c:numRef>
          </c:val>
          <c:smooth val="0"/>
        </c:ser>
        <c:ser>
          <c:idx val="1"/>
          <c:order val="1"/>
          <c:tx>
            <c:v>Kumulierte Tilgung</c:v>
          </c:tx>
          <c:spPr>
            <a:ln w="25400" cap="rnd">
              <a:solidFill>
                <a:srgbClr val="8C939D"/>
              </a:solidFill>
              <a:prstDash val="dash"/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Diagramme!$D$190:$AL$190</c:f>
              <c:numCache>
                <c:formatCode>#,##0;\−#,##0;\–</c:formatCode>
                <c:ptCount val="35"/>
                <c:pt idx="0">
                  <c:v>5000</c:v>
                </c:pt>
                <c:pt idx="1">
                  <c:v>10180</c:v>
                </c:pt>
                <c:pt idx="2">
                  <c:v>15546.48</c:v>
                </c:pt>
                <c:pt idx="3">
                  <c:v>21106.15328</c:v>
                </c:pt>
                <c:pt idx="4">
                  <c:v>26865.97479808</c:v>
                </c:pt>
                <c:pt idx="5">
                  <c:v>32833.1498908109</c:v>
                </c:pt>
                <c:pt idx="6">
                  <c:v>39015.1432868801</c:v>
                </c:pt>
                <c:pt idx="7">
                  <c:v>45419.6884452078</c:v>
                </c:pt>
                <c:pt idx="8">
                  <c:v>52054.7972292352</c:v>
                </c:pt>
                <c:pt idx="9">
                  <c:v>58928.7699294877</c:v>
                </c:pt>
                <c:pt idx="10">
                  <c:v>64330.5645763146</c:v>
                </c:pt>
                <c:pt idx="11">
                  <c:v>69975.4399822488</c:v>
                </c:pt>
                <c:pt idx="12">
                  <c:v>75874.33478145</c:v>
                </c:pt>
                <c:pt idx="13">
                  <c:v>82038.6798466152</c:v>
                </c:pt>
                <c:pt idx="14">
                  <c:v>88480.4204397129</c:v>
                </c:pt>
                <c:pt idx="15">
                  <c:v>95212.0393595</c:v>
                </c:pt>
                <c:pt idx="16">
                  <c:v>102246.581130678</c:v>
                </c:pt>
                <c:pt idx="17">
                  <c:v>109597.677281558</c:v>
                </c:pt>
                <c:pt idx="18">
                  <c:v>117279.572759228</c:v>
                </c:pt>
                <c:pt idx="19">
                  <c:v>125307.153533393</c:v>
                </c:pt>
                <c:pt idx="20">
                  <c:v>133695.975442396</c:v>
                </c:pt>
                <c:pt idx="21">
                  <c:v>142462.294337304</c:v>
                </c:pt>
                <c:pt idx="22">
                  <c:v>151623.097582483</c:v>
                </c:pt>
                <c:pt idx="23">
                  <c:v>161196.136973694</c:v>
                </c:pt>
                <c:pt idx="24">
                  <c:v>171199.96313751</c:v>
                </c:pt>
                <c:pt idx="25">
                  <c:v>181653.961478698</c:v>
                </c:pt>
                <c:pt idx="26">
                  <c:v>192578.38974524</c:v>
                </c:pt>
                <c:pt idx="27">
                  <c:v>203994.417283776</c:v>
                </c:pt>
                <c:pt idx="28">
                  <c:v>215924.166061546</c:v>
                </c:pt>
                <c:pt idx="29">
                  <c:v>228390.753534315</c:v>
                </c:pt>
                <c:pt idx="30">
                  <c:v>241418.337443359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</c:numCache>
            </c:numRef>
          </c:val>
          <c:smooth val="0"/>
        </c:ser>
        <c:ser>
          <c:idx val="2"/>
          <c:order val="2"/>
          <c:tx>
            <c:v>Kumulierte Steuer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Diagramme!$D$191:$AL$191</c:f>
              <c:numCache>
                <c:formatCode>#,##0;\−#,##0;\–</c:formatCode>
                <c:ptCount val="35"/>
                <c:pt idx="0">
                  <c:v>-8510.39654952701</c:v>
                </c:pt>
                <c:pt idx="1">
                  <c:v>-10484.073092174</c:v>
                </c:pt>
                <c:pt idx="2">
                  <c:v>-12276.7596743634</c:v>
                </c:pt>
                <c:pt idx="3">
                  <c:v>-13883.4562823222</c:v>
                </c:pt>
                <c:pt idx="4">
                  <c:v>-15299.0132142777</c:v>
                </c:pt>
                <c:pt idx="5">
                  <c:v>-16518.1262979393</c:v>
                </c:pt>
                <c:pt idx="6">
                  <c:v>-17535.3319479348</c:v>
                </c:pt>
                <c:pt idx="7">
                  <c:v>-18345.002057682</c:v>
                </c:pt>
                <c:pt idx="8">
                  <c:v>-18941.3387199825</c:v>
                </c:pt>
                <c:pt idx="9">
                  <c:v>-19318.3687704234</c:v>
                </c:pt>
                <c:pt idx="10">
                  <c:v>-19895.35307105</c:v>
                </c:pt>
                <c:pt idx="11">
                  <c:v>-20246.6841332663</c:v>
                </c:pt>
                <c:pt idx="12">
                  <c:v>-20365.0377362495</c:v>
                </c:pt>
                <c:pt idx="13">
                  <c:v>-20242.8166727374</c:v>
                </c:pt>
                <c:pt idx="14">
                  <c:v>-19872.1395967094</c:v>
                </c:pt>
                <c:pt idx="15">
                  <c:v>-19244.8293918534</c:v>
                </c:pt>
                <c:pt idx="16">
                  <c:v>-18352.401039708</c:v>
                </c:pt>
                <c:pt idx="17">
                  <c:v>-17186.048965428</c:v>
                </c:pt>
                <c:pt idx="18">
                  <c:v>-15736.6338381359</c:v>
                </c:pt>
                <c:pt idx="19">
                  <c:v>-13994.6688017967</c:v>
                </c:pt>
                <c:pt idx="20">
                  <c:v>-11950.3051114812</c:v>
                </c:pt>
                <c:pt idx="21">
                  <c:v>-9593.31714875779</c:v>
                </c:pt>
                <c:pt idx="22">
                  <c:v>-6913.08678878545</c:v>
                </c:pt>
                <c:pt idx="23">
                  <c:v>-3898.58709045361</c:v>
                </c:pt>
                <c:pt idx="24">
                  <c:v>-538.365279637037</c:v>
                </c:pt>
                <c:pt idx="25">
                  <c:v>3179.47500570309</c:v>
                </c:pt>
                <c:pt idx="26">
                  <c:v>7267.29224123689</c:v>
                </c:pt>
                <c:pt idx="27">
                  <c:v>11737.926346926</c:v>
                </c:pt>
                <c:pt idx="28">
                  <c:v>16604.7188582743</c:v>
                </c:pt>
                <c:pt idx="29">
                  <c:v>21881.5339754104</c:v>
                </c:pt>
                <c:pt idx="30">
                  <c:v>27582.7805289061</c:v>
                </c:pt>
                <c:pt idx="31">
                  <c:v>33723.4349029752</c:v>
                </c:pt>
                <c:pt idx="32">
                  <c:v>40214.3131464469</c:v>
                </c:pt>
                <c:pt idx="33">
                  <c:v>46880.2071046585</c:v>
                </c:pt>
                <c:pt idx="34">
                  <c:v>53724.617091905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032614"/>
        <c:axId val="61244657"/>
      </c:lineChart>
      <c:catAx>
        <c:axId val="56032614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1244657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61244657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6032614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Kumulierter Cashflow nach Steuern (Jahre 1–35, T€)</a:t>
            </a:r>
          </a:p>
        </c:rich>
      </c:tx>
      <c:layout>
        <c:manualLayout>
          <c:xMode val="edge"/>
          <c:yMode val="edge"/>
          <c:x val="0.018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Kumulierter Cashflow nach Steuern</c:v>
          </c:tx>
          <c:spPr>
            <a:ln w="28575" cap="rnd">
              <a:solidFill>
                <a:srgbClr val="0B2A4A"/>
              </a:solidFill>
              <a:round/>
            </a:ln>
          </c:spPr>
          <c:marker>
            <c:symbol val="none"/>
          </c:marker>
          <c:cat>
            <c:numRef>
              <c:f>Diagramme!$D$178:$AL$178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Diagramme!$D$186:$AL$186</c:f>
              <c:numCache>
                <c:formatCode>#,##0;\−#,##0;\–</c:formatCode>
                <c:ptCount val="35"/>
                <c:pt idx="0">
                  <c:v>3078.39654952701</c:v>
                </c:pt>
                <c:pt idx="1">
                  <c:v>-208.566907825983</c:v>
                </c:pt>
                <c:pt idx="2">
                  <c:v>-3501.73312563657</c:v>
                </c:pt>
                <c:pt idx="3">
                  <c:v>-6802.60637367776</c:v>
                </c:pt>
                <c:pt idx="4">
                  <c:v>-10112.7706948423</c:v>
                </c:pt>
                <c:pt idx="5">
                  <c:v>-13433.8932893631</c:v>
                </c:pt>
                <c:pt idx="6">
                  <c:v>-16767.7280311137</c:v>
                </c:pt>
                <c:pt idx="7">
                  <c:v>-20116.1191209474</c:v>
                </c:pt>
                <c:pt idx="8">
                  <c:v>-23481.0048822195</c:v>
                </c:pt>
                <c:pt idx="9">
                  <c:v>-26864.4217038226</c:v>
                </c:pt>
                <c:pt idx="10">
                  <c:v>-29843.093212681</c:v>
                </c:pt>
                <c:pt idx="11">
                  <c:v>-32838.5310761392</c:v>
                </c:pt>
                <c:pt idx="12">
                  <c:v>-35853.8817773442</c:v>
                </c:pt>
                <c:pt idx="13">
                  <c:v>-38892.4812311281</c:v>
                </c:pt>
                <c:pt idx="14">
                  <c:v>-41957.8642652334</c:v>
                </c:pt>
                <c:pt idx="15">
                  <c:v>-45053.7745473283</c:v>
                </c:pt>
                <c:pt idx="16">
                  <c:v>-48184.1749782573</c:v>
                </c:pt>
                <c:pt idx="17">
                  <c:v>-51353.2585728966</c:v>
                </c:pt>
                <c:pt idx="18">
                  <c:v>-54565.4598509552</c:v>
                </c:pt>
                <c:pt idx="19">
                  <c:v>-57825.4667610762</c:v>
                </c:pt>
                <c:pt idx="20">
                  <c:v>-61138.2331626492</c:v>
                </c:pt>
                <c:pt idx="21">
                  <c:v>-64508.9918908552</c:v>
                </c:pt>
                <c:pt idx="22">
                  <c:v>-67943.2684316198</c:v>
                </c:pt>
                <c:pt idx="23">
                  <c:v>-71446.8952343597</c:v>
                </c:pt>
                <c:pt idx="24">
                  <c:v>-75026.0266916726</c:v>
                </c:pt>
                <c:pt idx="25">
                  <c:v>-78687.1548164389</c:v>
                </c:pt>
                <c:pt idx="26">
                  <c:v>-82437.1256481874</c:v>
                </c:pt>
                <c:pt idx="27">
                  <c:v>-86283.1564220155</c:v>
                </c:pt>
                <c:pt idx="28">
                  <c:v>-90232.8535348656</c:v>
                </c:pt>
                <c:pt idx="29">
                  <c:v>-94294.2313455335</c:v>
                </c:pt>
                <c:pt idx="30">
                  <c:v>-98475.7318464317</c:v>
                </c:pt>
                <c:pt idx="31">
                  <c:v>-97754.0826185408</c:v>
                </c:pt>
                <c:pt idx="32">
                  <c:v>-88098.21706889</c:v>
                </c:pt>
                <c:pt idx="33">
                  <c:v>-78294.4323581168</c:v>
                </c:pt>
                <c:pt idx="34">
                  <c:v>-68339.7701029986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042976"/>
        <c:axId val="79393750"/>
      </c:lineChart>
      <c:catAx>
        <c:axId val="38042976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9393750"/>
        <c:crosses val="autoZero"/>
        <c:auto val="1"/>
        <c:lblAlgn val="ctr"/>
        <c:lblOffset val="100"/>
        <c:tickLblSkip val="5"/>
        <c:tickMarkSkip val="5"/>
        <c:noMultiLvlLbl val="1"/>
      </c:catAx>
      <c:valAx>
        <c:axId val="79393750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8042976"/>
        <c:crosses val="autoZero"/>
        <c:crossBetween val="between"/>
        <c:majorUnit val="20000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Abschreibungen nach Komponenten (Jahre 1–20, T€ p. a.)</a:t>
            </a:r>
          </a:p>
        </c:rich>
      </c:tx>
      <c:layout>
        <c:manualLayout>
          <c:xMode val="edge"/>
          <c:yMode val="edge"/>
          <c:x val="0.0182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AfA regulär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Diagramme!$D$192:$W$192</c:f>
              <c:numCache>
                <c:formatCode>#,##0;\−#,##0;\–</c:formatCode>
                <c:ptCount val="20"/>
                <c:pt idx="0">
                  <c:v>4885.35693430657</c:v>
                </c:pt>
                <c:pt idx="1">
                  <c:v>4885.35693430657</c:v>
                </c:pt>
                <c:pt idx="2">
                  <c:v>4885.35693430657</c:v>
                </c:pt>
                <c:pt idx="3">
                  <c:v>4885.35693430657</c:v>
                </c:pt>
                <c:pt idx="4">
                  <c:v>4885.35693430657</c:v>
                </c:pt>
                <c:pt idx="5">
                  <c:v>4885.35693430657</c:v>
                </c:pt>
                <c:pt idx="6">
                  <c:v>4885.35693430657</c:v>
                </c:pt>
                <c:pt idx="7">
                  <c:v>4885.35693430657</c:v>
                </c:pt>
                <c:pt idx="8">
                  <c:v>4885.35693430657</c:v>
                </c:pt>
                <c:pt idx="9">
                  <c:v>4885.35693430657</c:v>
                </c:pt>
                <c:pt idx="10">
                  <c:v>4885.35693430657</c:v>
                </c:pt>
                <c:pt idx="11">
                  <c:v>4885.35693430657</c:v>
                </c:pt>
                <c:pt idx="12">
                  <c:v>4885.35693430657</c:v>
                </c:pt>
                <c:pt idx="13">
                  <c:v>4885.35693430657</c:v>
                </c:pt>
                <c:pt idx="14">
                  <c:v>4885.35693430657</c:v>
                </c:pt>
                <c:pt idx="15">
                  <c:v>4885.35693430657</c:v>
                </c:pt>
                <c:pt idx="16">
                  <c:v>4885.35693430657</c:v>
                </c:pt>
                <c:pt idx="17">
                  <c:v>4885.35693430657</c:v>
                </c:pt>
                <c:pt idx="18">
                  <c:v>4885.35693430657</c:v>
                </c:pt>
                <c:pt idx="19">
                  <c:v>4885.35693430657</c:v>
                </c:pt>
              </c:numCache>
            </c:numRef>
          </c:val>
        </c:ser>
        <c:ser>
          <c:idx val="1"/>
          <c:order val="1"/>
          <c:tx>
            <c:strRef>
              <c:f>Diagramme!$B$203</c:f>
              <c:strCache>
                <c:ptCount val="1"/>
                <c:pt idx="0">
                  <c:v>Sonder-AfA (keine)</c:v>
                </c:pt>
              </c:strCache>
            </c:strRef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Diagramme!$D$203:$W$203</c:f>
              <c:numCache>
                <c:formatCode>#,##0;\−#,##0;\–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v>Bewegliche Gegenstände</c:v>
          </c:tx>
          <c:spPr>
            <a:solidFill>
              <a:srgbClr val="9CBBE2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Diagramme!$D$195:$W$195</c:f>
              <c:numCache>
                <c:formatCode>#,##0;\−#,##0;\–</c:formatCode>
                <c:ptCount val="2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100"/>
        <c:axId val="40506973"/>
        <c:axId val="32253451"/>
      </c:barChart>
      <c:catAx>
        <c:axId val="40506973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32253451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32253451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40506973"/>
        <c:crosses val="autoZero"/>
        <c:crossBetween val="between"/>
        <c:majorUnit val="1000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Steuerliches Ergebnis und Steuer (Jahre 1–20, T€ p. a.)</a:t>
            </a:r>
          </a:p>
        </c:rich>
      </c:tx>
      <c:layout>
        <c:manualLayout>
          <c:xMode val="edge"/>
          <c:yMode val="edge"/>
          <c:x val="0.018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Steuerliches Ergebnis</c:v>
          </c:tx>
          <c:spPr>
            <a:solidFill>
              <a:srgbClr val="1D4F8A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Diagramme!$D$196:$W$196</c:f>
              <c:numCache>
                <c:formatCode>#,##0;\−#,##0;\–</c:formatCode>
                <c:ptCount val="20"/>
                <c:pt idx="0">
                  <c:v>-18397.3569343066</c:v>
                </c:pt>
                <c:pt idx="1">
                  <c:v>-4266.59693430657</c:v>
                </c:pt>
                <c:pt idx="2">
                  <c:v>-3875.34173430657</c:v>
                </c:pt>
                <c:pt idx="3">
                  <c:v>-3473.27775030657</c:v>
                </c:pt>
                <c:pt idx="4">
                  <c:v>-3060.08139414657</c:v>
                </c:pt>
                <c:pt idx="5">
                  <c:v>-2635.41873905409</c:v>
                </c:pt>
                <c:pt idx="6">
                  <c:v>-2198.94517366534</c:v>
                </c:pt>
                <c:pt idx="7">
                  <c:v>-1750.30504411541</c:v>
                </c:pt>
                <c:pt idx="8">
                  <c:v>-1289.13128377835</c:v>
                </c:pt>
                <c:pt idx="9">
                  <c:v>-815.045030223342</c:v>
                </c:pt>
                <c:pt idx="10">
                  <c:v>-1247.29629957225</c:v>
                </c:pt>
                <c:pt idx="11">
                  <c:v>-759.490220706892</c:v>
                </c:pt>
                <c:pt idx="12">
                  <c:v>-255.851001286543</c:v>
                </c:pt>
                <c:pt idx="13">
                  <c:v>264.211487353889</c:v>
                </c:pt>
                <c:pt idx="14">
                  <c:v>801.311482416226</c:v>
                </c:pt>
                <c:pt idx="15">
                  <c:v>1356.08836557813</c:v>
                </c:pt>
                <c:pt idx="16">
                  <c:v>1929.2077445705</c:v>
                </c:pt>
                <c:pt idx="17">
                  <c:v>2521.36258242748</c:v>
                </c:pt>
                <c:pt idx="18">
                  <c:v>3133.27437653417</c:v>
                </c:pt>
                <c:pt idx="19">
                  <c:v>3765.69438969274</c:v>
                </c:pt>
              </c:numCache>
            </c:numRef>
          </c:val>
        </c:ser>
        <c:ser>
          <c:idx val="1"/>
          <c:order val="1"/>
          <c:tx>
            <c:v>Steuer (+ Zahlung / – Erstattung)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numRef>
              <c:f>Diagramme!$D$178:$W$178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Diagramme!$D$197:$W$197</c:f>
              <c:numCache>
                <c:formatCode>#,##0;\−#,##0;\–</c:formatCode>
                <c:ptCount val="20"/>
                <c:pt idx="0">
                  <c:v>-8510.39654952701</c:v>
                </c:pt>
                <c:pt idx="1">
                  <c:v>-1973.67654264701</c:v>
                </c:pt>
                <c:pt idx="2">
                  <c:v>-1792.68658218941</c:v>
                </c:pt>
                <c:pt idx="3">
                  <c:v>-1606.69660795881</c:v>
                </c:pt>
                <c:pt idx="4">
                  <c:v>-1415.55693195547</c:v>
                </c:pt>
                <c:pt idx="5">
                  <c:v>-1219.11308366155</c:v>
                </c:pt>
                <c:pt idx="6">
                  <c:v>-1017.2056499955</c:v>
                </c:pt>
                <c:pt idx="7">
                  <c:v>-809.670109747261</c:v>
                </c:pt>
                <c:pt idx="8">
                  <c:v>-596.336662300458</c:v>
                </c:pt>
                <c:pt idx="9">
                  <c:v>-377.030050440955</c:v>
                </c:pt>
                <c:pt idx="10">
                  <c:v>-576.984300626527</c:v>
                </c:pt>
                <c:pt idx="11">
                  <c:v>-351.33106221636</c:v>
                </c:pt>
                <c:pt idx="12">
                  <c:v>-118.353602983139</c:v>
                </c:pt>
                <c:pt idx="13">
                  <c:v>122.221063512061</c:v>
                </c:pt>
                <c:pt idx="14">
                  <c:v>370.677076027957</c:v>
                </c:pt>
                <c:pt idx="15">
                  <c:v>627.310204856056</c:v>
                </c:pt>
                <c:pt idx="16">
                  <c:v>892.428352145378</c:v>
                </c:pt>
                <c:pt idx="17">
                  <c:v>1166.35207427996</c:v>
                </c:pt>
                <c:pt idx="18">
                  <c:v>1449.41512729219</c:v>
                </c:pt>
                <c:pt idx="19">
                  <c:v>1741.96503633918</c:v>
                </c:pt>
              </c:numCache>
            </c:numRef>
          </c:val>
        </c:ser>
        <c:gapWidth val="50"/>
        <c:overlap val="0"/>
        <c:axId val="5031052"/>
        <c:axId val="72736747"/>
      </c:barChart>
      <c:catAx>
        <c:axId val="5031052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72736747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72736747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031052"/>
        <c:crosses val="autoZero"/>
        <c:crossBetween val="between"/>
        <c:majorUnit val="5000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Verwendung des Verkaufserlöses</a:t>
            </a:r>
          </a:p>
        </c:rich>
      </c:tx>
      <c:layout>
        <c:manualLayout>
          <c:xMode val="edge"/>
          <c:yMode val="edge"/>
          <c:x val="0.029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40"/>
      <c:rotY val="335"/>
      <c:rAngAx val="0"/>
      <c:perspective val="10"/>
    </c:view3D>
    <c:plotArea>
      <c:layout>
        <c:manualLayout>
          <c:layoutTarget val="inner"/>
          <c:xMode val="edge"/>
          <c:yMode val="edge"/>
          <c:x val="0.22"/>
          <c:y val="0.2224"/>
          <c:w val="0.56"/>
          <c:h val="0.580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8D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9DBEF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2F6BA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B2A4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delete val="1"/>
            </c:dLbl>
            <c:dLbl>
              <c:idx val="1"/>
              <c:numFmt formatCode="[=0]&quot;&quot;;&quot;Steuer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Restschuld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[=0]&quot;&quot;;&quot;Nettoerlös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Diagramme!$AI$168:$AI$171</c:f>
              <c:strCache>
                <c:ptCount val="4"/>
                <c:pt idx="0">
                  <c:v>Verkaufskosten · 2 %</c:v>
                </c:pt>
                <c:pt idx="1">
                  <c:v>Steuer · 0 %</c:v>
                </c:pt>
                <c:pt idx="2">
                  <c:v>Restschuld · 48 %</c:v>
                </c:pt>
                <c:pt idx="3">
                  <c:v>Nettoerlös · 50 %</c:v>
                </c:pt>
              </c:strCache>
            </c:strRef>
          </c:cat>
          <c:val>
            <c:numRef>
              <c:f>Diagramme!$C$158:$C$161</c:f>
              <c:numCache>
                <c:formatCode>#,##0;\−#,##0;\–</c:formatCode>
                <c:ptCount val="4"/>
                <c:pt idx="0">
                  <c:v>7533.35625970152</c:v>
                </c:pt>
                <c:pt idx="1">
                  <c:v>0</c:v>
                </c:pt>
                <c:pt idx="2">
                  <c:v>180024.560017751</c:v>
                </c:pt>
                <c:pt idx="3">
                  <c:v>189109.896707623</c:v>
                </c:pt>
              </c:numCache>
            </c:numRef>
          </c:val>
        </c:ser>
      </c:pie3DChart>
      <c:spPr>
        <a:noFill/>
        <a:ln>
          <a:noFill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3A3F45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Gesamtertrag nach Steuern (Brücke, T€)</a:t>
            </a:r>
          </a:p>
        </c:rich>
      </c:tx>
      <c:layout>
        <c:manualLayout>
          <c:xMode val="edge"/>
          <c:yMode val="edge"/>
          <c:x val="0.0134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Basis</c:v>
          </c:tx>
          <c:spPr>
            <a:noFill/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Diagramme!$I$164:$I$167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77296.8656314841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Zufluss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Diagramme!$J$164:$J$167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156271.365631484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Zufluss (−)</c:v>
          </c:tx>
          <c:spPr>
            <a:solidFill>
              <a:srgbClr val="4A86C8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Diagramme!$K$164:$K$167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-32838.5310761392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v>Abfluss</c:v>
          </c:tx>
          <c:spPr>
            <a:solidFill>
              <a:srgbClr val="B8C3D1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Diagramme!$L$164:$L$167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78974.5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v>Abfluss (−)</c:v>
          </c:tx>
          <c:spPr>
            <a:solidFill>
              <a:srgbClr val="B8C3D1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Diagramme!$M$164:$M$167</c:f>
              <c:numCache>
                <c:formatCode>#,##0;\−#,##0;\–</c:formatCode>
                <c:ptCount val="4"/>
                <c:pt idx="0">
                  <c:v>-32838.5310761392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v>Ergebnis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Diagramme!$N$164:$N$167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77296.8656314841</c:v>
                </c:pt>
              </c:numCache>
            </c:numRef>
          </c:val>
        </c:ser>
        <c:ser>
          <c:idx val="6"/>
          <c:order val="6"/>
          <c:tx>
            <c:v>Ergebnis (−)</c:v>
          </c:tx>
          <c:spPr>
            <a:solidFill>
              <a:srgbClr val="0B2A4A"/>
            </a:solidFill>
            <a:ln>
              <a:noFill/>
            </a:ln>
          </c:spPr>
          <c:invertIfNegative val="0"/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Diagramme!$O$164:$O$167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90"/>
        <c:overlap val="100"/>
        <c:axId val="97405402"/>
        <c:axId val="16687245"/>
      </c:barChart>
      <c:lineChart>
        <c:grouping val="stacked"/>
        <c:varyColors val="0"/>
        <c:ser>
          <c:idx val="7"/>
          <c:order val="7"/>
          <c:tx>
            <c:strRef>
              <c:f>Diagramme!$Q$164</c:f>
              <c:strCache>
                <c:ptCount val="1"/>
                <c:pt idx="0">
                  <c:v>−32.8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Diagramme!$R$164:$R$167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Diagramme!$Q$165</c:f>
              <c:strCache>
                <c:ptCount val="1"/>
                <c:pt idx="0">
                  <c:v>+189.1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Diagramme!$S$164:$S$167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156271.365631484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Diagramme!$Q$166</c:f>
              <c:strCache>
                <c:ptCount val="1"/>
                <c:pt idx="0">
                  <c:v>−79.0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3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Diagramme!$T$164:$T$167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156271.365631484</c:v>
                </c:pt>
                <c:pt idx="3">
                  <c:v>0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Diagramme!$Q$167</c:f>
              <c:strCache>
                <c:ptCount val="1"/>
                <c:pt idx="0">
                  <c:v>77.3 T€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numFmt formatCode="General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cat>
            <c:strRef>
              <c:f>Diagramme!$F$164:$F$167</c:f>
              <c:strCache>
                <c:ptCount val="4"/>
                <c:pt idx="0">
                  <c:v>Cashflow kumuliert</c:v>
                </c:pt>
                <c:pt idx="1">
                  <c:v>Nettoerlös Verkauf</c:v>
                </c:pt>
                <c:pt idx="2">
                  <c:v>Eigenkapital</c:v>
                </c:pt>
                <c:pt idx="3">
                  <c:v>Gesamtertrag</c:v>
                </c:pt>
              </c:strCache>
            </c:strRef>
          </c:cat>
          <c:val>
            <c:numRef>
              <c:f>Diagramme!$U$164:$U$167</c:f>
              <c:numCache>
                <c:formatCode>#,##0;\−#,##0;\–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77296.8656314841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405402"/>
        <c:axId val="16687245"/>
      </c:lineChart>
      <c:catAx>
        <c:axId val="97405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16687245"/>
        <c:crosses val="autoZero"/>
        <c:auto val="1"/>
        <c:lblAlgn val="ctr"/>
        <c:lblOffset val="100"/>
        <c:noMultiLvlLbl val="1"/>
      </c:catAx>
      <c:valAx>
        <c:axId val="16687245"/>
        <c:scaling>
          <c:orientation val="minMax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7405402"/>
        <c:crosses val="autoZero"/>
        <c:crossBetween val="between"/>
        <c:majorUnit val="50000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Summe AfA je Variante (Jahre 1–10, T€)</a:t>
            </a:r>
          </a:p>
        </c:rich>
      </c:tx>
      <c:layout>
        <c:manualLayout>
          <c:xMode val="edge"/>
          <c:yMode val="edge"/>
          <c:x val="0.0228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Im Modell angewendet</c:v>
          </c:tx>
          <c:spPr>
            <a:solidFill>
              <a:srgbClr val="0B2A4A"/>
            </a:solidFill>
            <a:ln>
              <a:noFill/>
            </a:ln>
          </c:spPr>
          <c:invertIfNegative val="0"/>
          <c:dLbls>
            <c:numFmt formatCode="#,##0.0,&quot; T€&quot;;&quot;−&quot;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 – n. v.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Diagramme!$G$155:$G$162</c:f>
              <c:numCache>
                <c:formatCode>#,##0;\−#,##0;\–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48853.5693430657</c:v>
                </c:pt>
              </c:numCache>
            </c:numRef>
          </c:val>
        </c:ser>
        <c:ser>
          <c:idx val="1"/>
          <c:order val="1"/>
          <c:tx>
            <c:v>Anwendbar</c:v>
          </c:tx>
          <c:spPr>
            <a:solidFill>
              <a:srgbClr val="4A86C8"/>
            </a:solidFill>
            <a:ln>
              <a:noFill/>
            </a:ln>
          </c:spPr>
          <c:invertIfNegative val="0"/>
          <c:dLbls>
            <c:numFmt formatCode="#,##0.0,&quot; T€&quot;;&quot;−&quot;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 – n. v.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Diagramme!$H$155:$H$162</c:f>
              <c:numCache>
                <c:formatCode>#,##0;\−#,##0;\–</c:formatCode>
                <c:ptCount val="8"/>
                <c:pt idx="0">
                  <c:v>48853.5693430657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Nicht anwendbar</c:v>
          </c:tx>
          <c:spPr>
            <a:solidFill>
              <a:srgbClr val="C9D6E8"/>
            </a:solidFill>
            <a:ln>
              <a:noFill/>
            </a:ln>
          </c:spPr>
          <c:invertIfNegative val="0"/>
          <c:dLbls>
            <c:numFmt formatCode="#,##0.0,&quot; T€&quot;;&quot;−&quot;#,##0.0,&quot; T€&quot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Diagramme!$F$155:$F$162</c:f>
              <c:strCache>
                <c:ptCount val="8"/>
                <c:pt idx="0">
                  <c:v>Linear 2,0 %</c:v>
                </c:pt>
                <c:pt idx="1">
                  <c:v>Linear 2,5 %</c:v>
                </c:pt>
                <c:pt idx="2">
                  <c:v>Linear 3,0 %</c:v>
                </c:pt>
                <c:pt idx="3">
                  <c:v>Gutachten (RND) – n. v.</c:v>
                </c:pt>
                <c:pt idx="4">
                  <c:v>Degressiv 5 %</c:v>
                </c:pt>
                <c:pt idx="5">
                  <c:v>Linear 3 % + § 7b</c:v>
                </c:pt>
                <c:pt idx="6">
                  <c:v>Degressiv + § 7b</c:v>
                </c:pt>
                <c:pt idx="7">
                  <c:v>Im Modell</c:v>
                </c:pt>
              </c:strCache>
            </c:strRef>
          </c:cat>
          <c:val>
            <c:numRef>
              <c:f>Diagramme!$I$155:$I$162</c:f>
              <c:numCache>
                <c:formatCode>#,##0;\−#,##0;\–</c:formatCode>
                <c:ptCount val="8"/>
                <c:pt idx="0">
                  <c:v>0</c:v>
                </c:pt>
                <c:pt idx="1">
                  <c:v>61066.9616788321</c:v>
                </c:pt>
                <c:pt idx="2">
                  <c:v>73280.3540145985</c:v>
                </c:pt>
                <c:pt idx="3">
                  <c:v>0</c:v>
                </c:pt>
                <c:pt idx="4">
                  <c:v>98015.6638186432</c:v>
                </c:pt>
                <c:pt idx="5">
                  <c:v>112141.147810219</c:v>
                </c:pt>
                <c:pt idx="6">
                  <c:v>131322.794182826</c:v>
                </c:pt>
                <c:pt idx="7">
                  <c:v>0</c:v>
                </c:pt>
              </c:numCache>
            </c:numRef>
          </c:val>
        </c:ser>
        <c:gapWidth val="40"/>
        <c:overlap val="100"/>
        <c:axId val="94012184"/>
        <c:axId val="93604890"/>
      </c:barChart>
      <c:catAx>
        <c:axId val="9401218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93604890"/>
        <c:crosses val="autoZero"/>
        <c:auto val="1"/>
        <c:lblAlgn val="ctr"/>
        <c:lblOffset val="100"/>
        <c:noMultiLvlLbl val="1"/>
      </c:catAx>
      <c:valAx>
        <c:axId val="93604890"/>
        <c:scaling>
          <c:orientation val="minMax"/>
        </c:scaling>
        <c:delete val="1"/>
        <c:axPos val="l"/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4012184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Kumulierte AfA je Variante (Jahre 1–10, T€)</a:t>
            </a:r>
          </a:p>
        </c:rich>
      </c:tx>
      <c:layout>
        <c:manualLayout>
          <c:xMode val="edge"/>
          <c:yMode val="edge"/>
          <c:x val="0.011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Anwendbar</c:v>
          </c:tx>
          <c:spPr>
            <a:ln w="1905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'AfA-Vergleich'!$D$38:$M$38</c:f>
              <c:numCache>
                <c:formatCode>#,##0;\−#,##0;\–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ser>
          <c:idx val="1"/>
          <c:order val="1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'AfA-Vergleich'!$D$39:$M$39</c:f>
              <c:numCache>
                <c:formatCode>#,##0;\−#,##0;\–</c:formatCode>
                <c:ptCount val="10"/>
                <c:pt idx="0">
                  <c:v>6106.69616788321</c:v>
                </c:pt>
                <c:pt idx="1">
                  <c:v>12213.3923357664</c:v>
                </c:pt>
                <c:pt idx="2">
                  <c:v>18320.0885036496</c:v>
                </c:pt>
                <c:pt idx="3">
                  <c:v>24426.7846715329</c:v>
                </c:pt>
                <c:pt idx="4">
                  <c:v>30533.4808394161</c:v>
                </c:pt>
                <c:pt idx="5">
                  <c:v>36640.1770072993</c:v>
                </c:pt>
                <c:pt idx="6">
                  <c:v>42746.8731751825</c:v>
                </c:pt>
                <c:pt idx="7">
                  <c:v>48853.5693430657</c:v>
                </c:pt>
                <c:pt idx="8">
                  <c:v>54960.2655109489</c:v>
                </c:pt>
                <c:pt idx="9">
                  <c:v>61066.9616788321</c:v>
                </c:pt>
              </c:numCache>
            </c:numRef>
          </c:val>
          <c:smooth val="0"/>
        </c:ser>
        <c:ser>
          <c:idx val="2"/>
          <c:order val="2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'AfA-Vergleich'!$D$40:$M$40</c:f>
              <c:numCache>
                <c:formatCode>#,##0;\−#,##0;\–</c:formatCode>
                <c:ptCount val="10"/>
                <c:pt idx="0">
                  <c:v>7328.03540145985</c:v>
                </c:pt>
                <c:pt idx="1">
                  <c:v>14656.0708029197</c:v>
                </c:pt>
                <c:pt idx="2">
                  <c:v>21984.1062043796</c:v>
                </c:pt>
                <c:pt idx="3">
                  <c:v>29312.1416058394</c:v>
                </c:pt>
                <c:pt idx="4">
                  <c:v>36640.1770072993</c:v>
                </c:pt>
                <c:pt idx="5">
                  <c:v>43968.2124087591</c:v>
                </c:pt>
                <c:pt idx="6">
                  <c:v>51296.247810219</c:v>
                </c:pt>
                <c:pt idx="7">
                  <c:v>58624.2832116788</c:v>
                </c:pt>
                <c:pt idx="8">
                  <c:v>65952.3186131387</c:v>
                </c:pt>
                <c:pt idx="9">
                  <c:v>73280.3540145986</c:v>
                </c:pt>
              </c:numCache>
            </c:numRef>
          </c:val>
          <c:smooth val="0"/>
        </c:ser>
        <c:ser>
          <c:idx val="3"/>
          <c:order val="3"/>
          <c:tx>
            <c:v>Nicht anwendbar</c:v>
          </c:tx>
          <c:spPr>
            <a:ln>
              <a:noFill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'AfA-Vergleich'!$D$41:$M$41</c:f>
              <c:numCache>
                <c:formatCode>#,##0;\−#,##0;\–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'AfA-Vergleich'!$D$42:$M$42</c:f>
              <c:numCache>
                <c:formatCode>#,##0;\−#,##0;\–</c:formatCode>
                <c:ptCount val="10"/>
                <c:pt idx="0">
                  <c:v>12213.3923357664</c:v>
                </c:pt>
                <c:pt idx="1">
                  <c:v>23816.1150547445</c:v>
                </c:pt>
                <c:pt idx="2">
                  <c:v>34838.7016377737</c:v>
                </c:pt>
                <c:pt idx="3">
                  <c:v>45310.1588916515</c:v>
                </c:pt>
                <c:pt idx="4">
                  <c:v>55258.0432828353</c:v>
                </c:pt>
                <c:pt idx="5">
                  <c:v>64708.53345446</c:v>
                </c:pt>
                <c:pt idx="6">
                  <c:v>73686.4991175034</c:v>
                </c:pt>
                <c:pt idx="7">
                  <c:v>82215.5664973946</c:v>
                </c:pt>
                <c:pt idx="8">
                  <c:v>90318.1805082913</c:v>
                </c:pt>
                <c:pt idx="9">
                  <c:v>98015.6638186432</c:v>
                </c:pt>
              </c:numCache>
            </c:numRef>
          </c:val>
          <c:smooth val="0"/>
        </c:ser>
        <c:ser>
          <c:idx val="5"/>
          <c:order val="5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'AfA-Vergleich'!$D$43:$M$43</c:f>
              <c:numCache>
                <c:formatCode>#,##0;\−#,##0;\–</c:formatCode>
                <c:ptCount val="10"/>
                <c:pt idx="0">
                  <c:v>19541.4277372263</c:v>
                </c:pt>
                <c:pt idx="1">
                  <c:v>39082.8554744526</c:v>
                </c:pt>
                <c:pt idx="2">
                  <c:v>58624.2832116788</c:v>
                </c:pt>
                <c:pt idx="3">
                  <c:v>78165.7109489051</c:v>
                </c:pt>
                <c:pt idx="4">
                  <c:v>83828.2837591241</c:v>
                </c:pt>
                <c:pt idx="5">
                  <c:v>89490.8565693431</c:v>
                </c:pt>
                <c:pt idx="6">
                  <c:v>95153.429379562</c:v>
                </c:pt>
                <c:pt idx="7">
                  <c:v>100816.002189781</c:v>
                </c:pt>
                <c:pt idx="8">
                  <c:v>106478.575</c:v>
                </c:pt>
                <c:pt idx="9">
                  <c:v>112141.147810219</c:v>
                </c:pt>
              </c:numCache>
            </c:numRef>
          </c:val>
          <c:smooth val="0"/>
        </c:ser>
        <c:ser>
          <c:idx val="6"/>
          <c:order val="6"/>
          <c:tx>
            <c:v>Nicht anwendbar</c:v>
          </c:tx>
          <c:spPr>
            <a:ln w="12700" cap="rnd">
              <a:solidFill>
                <a:srgbClr val="C9D6E8"/>
              </a:solidFill>
              <a:round/>
            </a:ln>
          </c:spPr>
          <c:marker>
            <c:symbol val="none"/>
          </c:marker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'AfA-Vergleich'!$D$44:$M$44</c:f>
              <c:numCache>
                <c:formatCode>#,##0;\−#,##0;\–</c:formatCode>
                <c:ptCount val="10"/>
                <c:pt idx="0">
                  <c:v>24426.7846715329</c:v>
                </c:pt>
                <c:pt idx="1">
                  <c:v>47632.2301094891</c:v>
                </c:pt>
                <c:pt idx="2">
                  <c:v>69677.4032755475</c:v>
                </c:pt>
                <c:pt idx="3">
                  <c:v>90620.3177833029</c:v>
                </c:pt>
                <c:pt idx="4">
                  <c:v>98302.6942299042</c:v>
                </c:pt>
                <c:pt idx="5">
                  <c:v>105600.951854175</c:v>
                </c:pt>
                <c:pt idx="6">
                  <c:v>112534.296597233</c:v>
                </c:pt>
                <c:pt idx="7">
                  <c:v>119120.974103138</c:v>
                </c:pt>
                <c:pt idx="8">
                  <c:v>125378.317733747</c:v>
                </c:pt>
                <c:pt idx="9">
                  <c:v>131322.794182826</c:v>
                </c:pt>
              </c:numCache>
            </c:numRef>
          </c:val>
          <c:smooth val="0"/>
        </c:ser>
        <c:ser>
          <c:idx val="7"/>
          <c:order val="7"/>
          <c:tx>
            <c:v>Im Modell angewendet</c:v>
          </c:tx>
          <c:spPr>
            <a:ln w="31750" cap="rnd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dLbl>
              <c:idx val="9"/>
              <c:numFmt formatCode="&quot;Im Modell · &quot;#,##0.0,&quot; T€&quot;;&quot;−&quot;&quot;Im Modell · &quot;#,##0.0,&quot; T€&quot;" sourceLinked="0"/>
              <c:spPr>
                <a:solidFill>
                  <a:srgbClr val="FFFFFF"/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'AfA-Vergleich'!$D$37:$M$37</c:f>
              <c:strCache>
                <c:ptCount val="1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</c:strCache>
            </c:strRef>
          </c:cat>
          <c:val>
            <c:numRef>
              <c:f>Diagramme!$D$205:$M$205</c:f>
              <c:numCache>
                <c:formatCode>#,##0;\−#,##0;\–</c:formatCode>
                <c:ptCount val="10"/>
                <c:pt idx="0">
                  <c:v>4885.35693430657</c:v>
                </c:pt>
                <c:pt idx="1">
                  <c:v>9770.71386861314</c:v>
                </c:pt>
                <c:pt idx="2">
                  <c:v>14656.0708029197</c:v>
                </c:pt>
                <c:pt idx="3">
                  <c:v>19541.4277372263</c:v>
                </c:pt>
                <c:pt idx="4">
                  <c:v>24426.7846715328</c:v>
                </c:pt>
                <c:pt idx="5">
                  <c:v>29312.1416058394</c:v>
                </c:pt>
                <c:pt idx="6">
                  <c:v>34197.498540146</c:v>
                </c:pt>
                <c:pt idx="7">
                  <c:v>39082.8554744526</c:v>
                </c:pt>
                <c:pt idx="8">
                  <c:v>43968.2124087591</c:v>
                </c:pt>
                <c:pt idx="9">
                  <c:v>48853.5693430657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208025"/>
        <c:axId val="83137980"/>
      </c:lineChart>
      <c:catAx>
        <c:axId val="84208025"/>
        <c:scaling>
          <c:orientation val="minMax"/>
        </c:scaling>
        <c:delete val="0"/>
        <c:axPos val="b"/>
        <c:numFmt formatCode="0;&quot;−&quot;0" sourceLinked="0"/>
        <c:majorTickMark val="out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 rot="60" vert="horz" wrap="none"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31379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8313798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6E8EB"/>
              </a:solidFill>
              <a:round/>
            </a:ln>
          </c:spPr>
        </c:majorGridlines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4208025"/>
        <c:crosses val="autoZero"/>
        <c:crossBetween val="between"/>
        <c:majorUnit val="20000"/>
      </c:valAx>
      <c:spPr>
        <a:noFill/>
        <a:ln>
          <a:noFill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IRR nach Steuern je Wertsteigerung (Linien: Mietszenarien)</a:t>
            </a:r>
          </a:p>
        </c:rich>
      </c:tx>
      <c:layout>
        <c:manualLayout>
          <c:xMode val="edge"/>
          <c:yMode val="edge"/>
          <c:x val="0.027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v>Miete −10 %</c:v>
          </c:tx>
          <c:spPr>
            <a:ln w="1270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Sensitivität!$D$47:$H$47</c:f>
              <c:numCache>
                <c:formatCode>0.0\ %;\−0.0\ %;\–</c:formatCode>
                <c:ptCount val="5"/>
                <c:pt idx="0">
                  <c:v>-0.00800339324165572</c:v>
                </c:pt>
                <c:pt idx="1">
                  <c:v>0.022113594387057</c:v>
                </c:pt>
                <c:pt idx="2">
                  <c:v>0.0476049464879372</c:v>
                </c:pt>
                <c:pt idx="3">
                  <c:v>0.0700624843171033</c:v>
                </c:pt>
                <c:pt idx="4">
                  <c:v>0.0903871237312269</c:v>
                </c:pt>
              </c:numCache>
            </c:numRef>
          </c:val>
          <c:smooth val="0"/>
        </c:ser>
        <c:ser>
          <c:idx val="1"/>
          <c:order val="1"/>
          <c:tx>
            <c:v>Miete −5 %</c:v>
          </c:tx>
          <c:spPr>
            <a:ln w="9525" cap="rnd">
              <a:solidFill>
                <a:srgbClr val="9CBBE2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Sensitivität!$D$48:$H$48</c:f>
              <c:numCache>
                <c:formatCode>0.0\ %;\−0.0\ %;\–</c:formatCode>
                <c:ptCount val="5"/>
                <c:pt idx="0">
                  <c:v>-0.00435991370696169</c:v>
                </c:pt>
                <c:pt idx="1">
                  <c:v>0.0252769500726352</c:v>
                </c:pt>
                <c:pt idx="2">
                  <c:v>0.0504342377983716</c:v>
                </c:pt>
                <c:pt idx="3">
                  <c:v>0.0726421939035385</c:v>
                </c:pt>
                <c:pt idx="4">
                  <c:v>0.092771149653149</c:v>
                </c:pt>
              </c:numCache>
            </c:numRef>
          </c:val>
          <c:smooth val="0"/>
        </c:ser>
        <c:ser>
          <c:idx val="2"/>
          <c:order val="2"/>
          <c:tx>
            <c:v>Miete Basis</c:v>
          </c:tx>
          <c:spPr>
            <a:ln w="28575" cap="rnd">
              <a:solidFill>
                <a:srgbClr val="0B2A4A"/>
              </a:solidFill>
              <a:round/>
            </a:ln>
          </c:spPr>
          <c:marker>
            <c:symbol val="none"/>
          </c:marker>
          <c:dLbls>
            <c:dLbl>
              <c:idx val="4"/>
              <c:numFmt formatCode="0.0 %;&quot;−&quot;0.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Sensitivität!$D$49:$H$49</c:f>
              <c:numCache>
                <c:formatCode>0.0\ %;\−0.0\ %;\–</c:formatCode>
                <c:ptCount val="5"/>
                <c:pt idx="0">
                  <c:v>-0.000712225447471949</c:v>
                </c:pt>
                <c:pt idx="1">
                  <c:v>0.0284489274592384</c:v>
                </c:pt>
                <c:pt idx="2">
                  <c:v>0.0532739559084638</c:v>
                </c:pt>
                <c:pt idx="3">
                  <c:v>0.0752330243994478</c:v>
                </c:pt>
                <c:pt idx="4">
                  <c:v>0.0951664637978822</c:v>
                </c:pt>
              </c:numCache>
            </c:numRef>
          </c:val>
          <c:smooth val="0"/>
        </c:ser>
        <c:ser>
          <c:idx val="3"/>
          <c:order val="3"/>
          <c:tx>
            <c:v>Miete +5 %</c:v>
          </c:tx>
          <c:spPr>
            <a:ln w="9525" cap="rnd">
              <a:solidFill>
                <a:srgbClr val="9CBBE2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Sensitivität!$D$50:$H$50</c:f>
              <c:numCache>
                <c:formatCode>0.0\ %;\−0.0\ %;\–</c:formatCode>
                <c:ptCount val="5"/>
                <c:pt idx="0">
                  <c:v>0.00293966279990954</c:v>
                </c:pt>
                <c:pt idx="1">
                  <c:v>0.0316295455215576</c:v>
                </c:pt>
                <c:pt idx="2">
                  <c:v>0.0561241446208961</c:v>
                </c:pt>
                <c:pt idx="3">
                  <c:v>0.0778350367317321</c:v>
                </c:pt>
                <c:pt idx="4">
                  <c:v>0.097573137966277</c:v>
                </c:pt>
              </c:numCache>
            </c:numRef>
          </c:val>
          <c:smooth val="0"/>
        </c:ser>
        <c:ser>
          <c:idx val="4"/>
          <c:order val="4"/>
          <c:tx>
            <c:v>Miete +10 %</c:v>
          </c:tx>
          <c:spPr>
            <a:ln w="12700" cap="rnd">
              <a:solidFill>
                <a:srgbClr val="4A86C8"/>
              </a:solidFill>
              <a:round/>
            </a:ln>
          </c:spPr>
          <c:marker>
            <c:symbol val="none"/>
          </c:marker>
          <c:cat>
            <c:strRef>
              <c:f>Sensitivität!$D$46:$H$46</c:f>
              <c:strCache>
                <c:ptCount val="5"/>
                <c:pt idx="0">
                  <c:v>0.0 %</c:v>
                </c:pt>
                <c:pt idx="1">
                  <c:v>1.0 %</c:v>
                </c:pt>
                <c:pt idx="2">
                  <c:v>2.0 %</c:v>
                </c:pt>
                <c:pt idx="3">
                  <c:v>3.0 %</c:v>
                </c:pt>
                <c:pt idx="4">
                  <c:v>4.0 %</c:v>
                </c:pt>
              </c:strCache>
            </c:strRef>
          </c:cat>
          <c:val>
            <c:numRef>
              <c:f>Sensitivität!$D$51:$H$51</c:f>
              <c:numCache>
                <c:formatCode>0.0\ %;\−0.0\ %;\–</c:formatCode>
                <c:ptCount val="5"/>
                <c:pt idx="0">
                  <c:v>0.00659574049147251</c:v>
                </c:pt>
                <c:pt idx="1">
                  <c:v>0.034818820758711</c:v>
                </c:pt>
                <c:pt idx="2">
                  <c:v>0.0589848456412491</c:v>
                </c:pt>
                <c:pt idx="3">
                  <c:v>0.0804482902685652</c:v>
                </c:pt>
                <c:pt idx="4">
                  <c:v>0.0999912428888375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087568"/>
        <c:axId val="60965766"/>
      </c:lineChart>
      <c:catAx>
        <c:axId val="56087568"/>
        <c:scaling>
          <c:orientation val="minMax"/>
        </c:scaling>
        <c:delete val="0"/>
        <c:axPos val="b"/>
        <c:numFmt formatCode="0 %;&quot;−&quot;0 %" sourceLinked="0"/>
        <c:majorTickMark val="none"/>
        <c:minorTickMark val="none"/>
        <c:tickLblPos val="low"/>
        <c:spPr>
          <a:ln w="12700">
            <a:solidFill>
              <a:srgbClr val="5B6068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60965766"/>
        <c:crosses val="autoZero"/>
        <c:auto val="1"/>
        <c:lblAlgn val="ctr"/>
        <c:lblOffset val="100"/>
        <c:noMultiLvlLbl val="1"/>
      </c:catAx>
      <c:valAx>
        <c:axId val="60965766"/>
        <c:scaling>
          <c:orientation val="minMax"/>
        </c:scaling>
        <c:delete val="0"/>
        <c:axPos val="l"/>
        <c:majorGridlines>
          <c:spPr>
            <a:ln w="6350">
              <a:solidFill>
                <a:srgbClr val="D9DEE7"/>
              </a:solidFill>
              <a:round/>
            </a:ln>
          </c:spPr>
        </c:majorGridlines>
        <c:numFmt formatCode="0 %;&quot;−&quot;0 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56087568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solidFill>
      <a:srgbClr val="F3F7FC"/>
    </a:solidFill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Finanzierungsstruktur</a:t>
            </a:r>
          </a:p>
        </c:rich>
      </c:tx>
      <c:layout>
        <c:manualLayout>
          <c:xMode val="edge"/>
          <c:yMode val="edge"/>
          <c:x val="0.036"/>
          <c:y val="0.025"/>
        </c:manualLayout>
      </c:layout>
      <c:overlay val="0"/>
      <c:spPr>
        <a:noFill/>
        <a:ln>
          <a:noFill/>
        </a:ln>
      </c:spPr>
    </c:title>
    <c:autoTitleDeleted val="0"/>
    <c:view3D>
      <c:rotX val="40"/>
      <c:rotY val="108"/>
      <c:rAngAx val="0"/>
      <c:perspective val="10"/>
    </c:view3D>
    <c:plotArea>
      <c:layout>
        <c:manualLayout>
          <c:layoutTarget val="inner"/>
          <c:xMode val="edge"/>
          <c:yMode val="edge"/>
          <c:x val="0.22"/>
          <c:y val="0.2729"/>
          <c:w val="0.56"/>
          <c:h val="0.532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8FB3DE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A86C8"/>
              </a:solidFill>
              <a:ln w="1270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D4F8A"/>
              </a:solidFill>
              <a:ln w="127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numFmt formatCode="[=0]&quot;&quot;;&quot;Darlehen 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0B2A4A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[=0]&quot;&quot;;&quot;Darlehen II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0">
                      <a:solidFill>
                        <a:srgbClr val="1A1D21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[=0]&quot;&quot;;&quot;Eigenkapital · &quot;0 %" sourceLinked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900" b="1">
                      <a:solidFill>
                        <a:srgbClr val="FFFFFF"/>
                      </a:solidFill>
                      <a:latin typeface="Calibri"/>
                      <a:cs typeface="Calibri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[=0]&quot;&quot;;0 %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0">
                    <a:solidFill>
                      <a:srgbClr val="1A1D21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rgbClr val="9AA5B4"/>
                  </a:solidFill>
                  <a:round/>
                </a:ln>
              </c:spPr>
            </c:leaderLines>
          </c:dLbls>
          <c:cat>
            <c:strRef>
              <c:f>Diagramme!$AI$164:$AI$166</c:f>
              <c:strCache>
                <c:ptCount val="3"/>
                <c:pt idx="0">
                  <c:v>Darlehen I · 76 %</c:v>
                </c:pt>
                <c:pt idx="1">
                  <c:v>Darlehen II · 0 %</c:v>
                </c:pt>
                <c:pt idx="2">
                  <c:v>Eigenkapital · 24 %</c:v>
                </c:pt>
              </c:strCache>
            </c:strRef>
          </c:cat>
          <c:val>
            <c:numRef>
              <c:f>Diagramme!$C$147:$C$149</c:f>
              <c:numCache>
                <c:formatCode>#,##0;\−#,##0;\–</c:formatCode>
                <c:ptCount val="3"/>
                <c:pt idx="0">
                  <c:v>250000</c:v>
                </c:pt>
                <c:pt idx="1">
                  <c:v>0</c:v>
                </c:pt>
                <c:pt idx="2">
                  <c:v>78974.5</c:v>
                </c:pt>
              </c:numCache>
            </c:numRef>
          </c:val>
        </c:ser>
      </c:pie3DChart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Einnahmen vs. Ausgaben (Jahr 1, € / Monat)</a:t>
            </a:r>
          </a:p>
        </c:rich>
      </c:tx>
      <c:layout>
        <c:manualLayout>
          <c:xMode val="edge"/>
          <c:yMode val="edge"/>
          <c:x val="0.0175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Nettokaltmiete</c:v>
          </c:tx>
          <c:spPr>
            <a:solidFill>
              <a:srgbClr val="0B2A4A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Diagramme!$C$170:$D$170</c:f>
              <c:numCache>
                <c:formatCode>#,##0;\−#,##0;\–</c:formatCode>
                <c:ptCount val="2"/>
                <c:pt idx="0">
                  <c:v>921.5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Bewirtschaftung</c:v>
          </c:tx>
          <c:spPr>
            <a:solidFill>
              <a:srgbClr val="C9CED6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Diagramme!$C$172:$D$172</c:f>
              <c:numCache>
                <c:formatCode>#,##0;\−#,##0;\–</c:formatCode>
                <c:ptCount val="2"/>
                <c:pt idx="0">
                  <c:v>0</c:v>
                </c:pt>
                <c:pt idx="1">
                  <c:v>207.5</c:v>
                </c:pt>
              </c:numCache>
            </c:numRef>
          </c:val>
        </c:ser>
        <c:ser>
          <c:idx val="2"/>
          <c:order val="2"/>
          <c:tx>
            <c:v>Zinsen</c:v>
          </c:tx>
          <c:spPr>
            <a:solidFill>
              <a:srgbClr val="5B6068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Diagramme!$C$173:$D$173</c:f>
              <c:numCache>
                <c:formatCode>#,##0;\−#,##0;\–</c:formatCode>
                <c:ptCount val="2"/>
                <c:pt idx="0">
                  <c:v>0</c:v>
                </c:pt>
                <c:pt idx="1">
                  <c:v>750</c:v>
                </c:pt>
              </c:numCache>
            </c:numRef>
          </c:val>
        </c:ser>
        <c:ser>
          <c:idx val="3"/>
          <c:order val="3"/>
          <c:tx>
            <c:v>Tilgung</c:v>
          </c:tx>
          <c:spPr>
            <a:solidFill>
              <a:srgbClr val="8C939D"/>
            </a:solidFill>
            <a:ln w="9525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Diagramme!$C$174:$D$174</c:f>
              <c:numCache>
                <c:formatCode>#,##0;\−#,##0;\–</c:formatCode>
                <c:ptCount val="2"/>
                <c:pt idx="0">
                  <c:v>0</c:v>
                </c:pt>
                <c:pt idx="1">
                  <c:v>416.666666666667</c:v>
                </c:pt>
              </c:numCache>
            </c:numRef>
          </c:val>
        </c:ser>
        <c:ser>
          <c:idx val="4"/>
          <c:order val="4"/>
          <c:tx>
            <c:strRef>
              <c:f>Diagramme!$F$170</c:f>
              <c:strCache>
                <c:ptCount val="1"/>
                <c:pt idx="0">
                  <c:v>Steuererstattung</c:v>
                </c:pt>
              </c:strCache>
            </c:strRef>
          </c:tx>
          <c:spPr>
            <a:solidFill>
              <a:srgbClr val="4A86C8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A86C8"/>
              </a:solidFill>
              <a:ln w="9525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3A3F45"/>
              </a:solidFill>
              <a:ln w="9525">
                <a:solidFill>
                  <a:srgbClr val="FFFFFF"/>
                </a:solidFill>
                <a:round/>
              </a:ln>
            </c:spPr>
          </c:dPt>
          <c:dLbls>
            <c:dLbl>
              <c:idx val="1"/>
              <c:delete val="1"/>
            </c:dLbl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Diagramme!$G$170:$H$170</c:f>
              <c:numCache>
                <c:formatCode>#,##0;\−#,##0;\–</c:formatCode>
                <c:ptCount val="2"/>
                <c:pt idx="0">
                  <c:v>709.199712460584</c:v>
                </c:pt>
                <c:pt idx="1">
                  <c:v>0</c:v>
                </c:pt>
              </c:numCache>
            </c:numRef>
          </c:val>
        </c:ser>
        <c:gapWidth val="80"/>
        <c:overlap val="100"/>
        <c:axId val="8431116"/>
        <c:axId val="25115413"/>
      </c:barChart>
      <c:lineChart>
        <c:grouping val="stacked"/>
        <c:varyColors val="0"/>
        <c:ser>
          <c:idx val="5"/>
          <c:order val="5"/>
          <c:tx>
            <c:v>Summe</c:v>
          </c:tx>
          <c:spPr>
            <a:ln>
              <a:noFill/>
            </a:ln>
          </c:spPr>
          <c:marker>
            <c:symbol val="none"/>
          </c:marker>
          <c:dLbls>
            <c:numFmt formatCode="#,##0&quot; €&quot;;&quot;−&quot;#,##0&quot; €&quot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900" b="1">
                    <a:solidFill>
                      <a:srgbClr val="0B2A4A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Diagramme!$C$169:$D$169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Diagramme!$G$171:$H$171</c:f>
              <c:numCache>
                <c:formatCode>#,##0;\−#,##0;\–</c:formatCode>
                <c:ptCount val="2"/>
                <c:pt idx="0">
                  <c:v>1630.69971246058</c:v>
                </c:pt>
                <c:pt idx="1">
                  <c:v>1374.16666666667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31116"/>
        <c:axId val="25115413"/>
      </c:lineChart>
      <c:catAx>
        <c:axId val="8431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8A9099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25115413"/>
        <c:crosses val="autoZero"/>
        <c:auto val="1"/>
        <c:lblAlgn val="ctr"/>
        <c:lblOffset val="100"/>
        <c:noMultiLvlLbl val="1"/>
      </c:catAx>
      <c:valAx>
        <c:axId val="25115413"/>
        <c:scaling>
          <c:orientation val="minMax"/>
          <c:min val="0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8431116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Ausgaben je Monat (nur Positionen &gt; 0)</a:t>
            </a:r>
          </a:p>
        </c:rich>
      </c:tx>
      <c:layout>
        <c:manualLayout>
          <c:xMode val="edge"/>
          <c:yMode val="edge"/>
          <c:x val="0.021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Bestehender Haushalt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Diagramme!$L$141:$L$152</c:f>
              <c:strCache>
                <c:ptCount val="12"/>
                <c:pt idx="0">
                  <c:v>Kapitaldienst neu</c:v>
                </c:pt>
                <c:pt idx="1">
                  <c:v>Wohnen</c:v>
                </c:pt>
                <c:pt idx="2">
                  <c:v>Lebenshaltung</c:v>
                </c:pt>
                <c:pt idx="3">
                  <c:v>Mobilität</c:v>
                </c:pt>
                <c:pt idx="4">
                  <c:v>Freizeit</c:v>
                </c:pt>
                <c:pt idx="5">
                  <c:v>Altersvorsorge</c:v>
                </c:pt>
                <c:pt idx="6">
                  <c:v>Bewirtschaftung neu</c:v>
                </c:pt>
                <c:pt idx="7">
                  <c:v>Versicherungen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Diagramme!$M$141:$M$152</c:f>
              <c:numCache>
                <c:formatCode>#,##0;\−#,##0;\–</c:formatCode>
                <c:ptCount val="12"/>
                <c:pt idx="0">
                  <c:v>0</c:v>
                </c:pt>
                <c:pt idx="1">
                  <c:v>1100</c:v>
                </c:pt>
                <c:pt idx="2">
                  <c:v>600</c:v>
                </c:pt>
                <c:pt idx="3">
                  <c:v>300</c:v>
                </c:pt>
                <c:pt idx="4">
                  <c:v>300</c:v>
                </c:pt>
                <c:pt idx="5">
                  <c:v>250</c:v>
                </c:pt>
                <c:pt idx="6">
                  <c:v>0</c:v>
                </c:pt>
                <c:pt idx="7">
                  <c:v>150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Neues Objekt</c:v>
          </c:tx>
          <c:spPr>
            <a:solidFill>
              <a:srgbClr val="4A86C8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Diagramme!$L$141:$L$152</c:f>
              <c:strCache>
                <c:ptCount val="12"/>
                <c:pt idx="0">
                  <c:v>Kapitaldienst neu</c:v>
                </c:pt>
                <c:pt idx="1">
                  <c:v>Wohnen</c:v>
                </c:pt>
                <c:pt idx="2">
                  <c:v>Lebenshaltung</c:v>
                </c:pt>
                <c:pt idx="3">
                  <c:v>Mobilität</c:v>
                </c:pt>
                <c:pt idx="4">
                  <c:v>Freizeit</c:v>
                </c:pt>
                <c:pt idx="5">
                  <c:v>Altersvorsorge</c:v>
                </c:pt>
                <c:pt idx="6">
                  <c:v>Bewirtschaftung neu</c:v>
                </c:pt>
                <c:pt idx="7">
                  <c:v>Versicherungen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Diagramme!$N$141:$N$152</c:f>
              <c:numCache>
                <c:formatCode>#,##0;\−#,##0;\–</c:formatCode>
                <c:ptCount val="12"/>
                <c:pt idx="0">
                  <c:v>1166.66666666667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207.5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100"/>
        <c:axId val="90995508"/>
        <c:axId val="64546065"/>
      </c:barChart>
      <c:catAx>
        <c:axId val="9099550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64546065"/>
        <c:crosses val="autoZero"/>
        <c:auto val="1"/>
        <c:lblAlgn val="ctr"/>
        <c:lblOffset val="100"/>
        <c:noMultiLvlLbl val="1"/>
      </c:catAx>
      <c:valAx>
        <c:axId val="64546065"/>
        <c:scaling>
          <c:orientation val="minMax"/>
        </c:scaling>
        <c:delete val="1"/>
        <c:axPos val="l"/>
        <c:numFmt formatCode="#,##0&quot; €&quot;;&quot;−&quot;#,##0&quot; 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0995508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>
              <a:solidFill>
                <a:srgbClr val="5B6068"/>
              </a:solidFill>
              <a:latin typeface="Calibri"/>
              <a:cs typeface="Calibri"/>
            </a:defRPr>
          </a:pPr>
          <a:endParaRPr lang="de-DE"/>
        </a:p>
      </c:txPr>
    </c:legend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 vert="horz" wrap="square"/>
          <a:lstStyle/>
          <a:p>
            <a:pPr algn="l">
              <a:defRPr sz="1000" b="1">
                <a:solidFill>
                  <a:srgbClr val="0B2A4A"/>
                </a:solidFill>
                <a:latin typeface="Calibri"/>
                <a:cs typeface="Calibri"/>
              </a:defRPr>
            </a:pPr>
            <a:r>
              <a:rPr sz="1000" b="1" lang="de-DE">
                <a:solidFill>
                  <a:srgbClr val="0B2A4A"/>
                </a:solidFill>
                <a:latin typeface="Calibri"/>
                <a:cs typeface="Calibri"/>
              </a:rPr>
              <a:t>Vermögenswerte (nur Positionen &gt; 0)</a:t>
            </a:r>
          </a:p>
        </c:rich>
      </c:tx>
      <c:layout>
        <c:manualLayout>
          <c:xMode val="edge"/>
          <c:yMode val="edge"/>
          <c:x val="0.0219"/>
          <c:y val="0.025"/>
        </c:manualLayout>
      </c:layout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Vermögenswerte</c:v>
          </c:tx>
          <c:spPr>
            <a:solidFill>
              <a:srgbClr val="1D4F8A"/>
            </a:solidFill>
            <a:ln>
              <a:noFill/>
            </a:ln>
          </c:spPr>
          <c:invertIfNegative val="0"/>
          <c:dLbls>
            <c:numFmt formatCode="#,##0&quot; €&quot;;;" sourceLinked="0"/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0">
                    <a:solidFill>
                      <a:srgbClr val="3A3F45"/>
                    </a:solidFill>
                    <a:latin typeface="Calibri"/>
                    <a:cs typeface="Calibri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Diagramme!$U$141:$U$149</c:f>
              <c:strCache>
                <c:ptCount val="9"/>
                <c:pt idx="0">
                  <c:v>Wertpapierdepot</c:v>
                </c:pt>
                <c:pt idx="1">
                  <c:v>Tagesgeld / Festgeld</c:v>
                </c:pt>
                <c:pt idx="2">
                  <c:v>Fahrzeuge</c:v>
                </c:pt>
                <c:pt idx="3">
                  <c:v>Girokonten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Diagramme!$V$141:$V$149</c:f>
              <c:numCache>
                <c:formatCode>#,##0;\−#,##0;\–</c:formatCode>
                <c:ptCount val="9"/>
                <c:pt idx="0">
                  <c:v>30000</c:v>
                </c:pt>
                <c:pt idx="1">
                  <c:v>25000</c:v>
                </c:pt>
                <c:pt idx="2">
                  <c:v>15000</c:v>
                </c:pt>
                <c:pt idx="3">
                  <c:v>8000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60"/>
        <c:overlap val="100"/>
        <c:axId val="96973355"/>
        <c:axId val="21133676"/>
      </c:barChart>
      <c:catAx>
        <c:axId val="96973355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A3F45"/>
                </a:solidFill>
                <a:latin typeface="Calibri"/>
                <a:cs typeface="Calibri"/>
              </a:defRPr>
            </a:pPr>
            <a:endParaRPr lang="de-DE"/>
          </a:p>
        </c:txPr>
        <c:crossAx val="21133676"/>
        <c:crosses val="autoZero"/>
        <c:auto val="1"/>
        <c:lblAlgn val="ctr"/>
        <c:lblOffset val="100"/>
        <c:noMultiLvlLbl val="1"/>
      </c:catAx>
      <c:valAx>
        <c:axId val="21133676"/>
        <c:scaling>
          <c:orientation val="minMax"/>
        </c:scaling>
        <c:delete val="1"/>
        <c:axPos val="l"/>
        <c:numFmt formatCode="#,##0,&quot; T€&quot;;&quot;−&quot;#,##0,&quot; T€&quot;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068"/>
                </a:solidFill>
                <a:latin typeface="Calibri"/>
                <a:cs typeface="Calibri"/>
              </a:defRPr>
            </a:pPr>
            <a:endParaRPr lang="de-DE"/>
          </a:p>
        </c:txPr>
        <c:crossAx val="96973355"/>
        <c:crosses val="max"/>
        <c:crossBetween val="between"/>
      </c:valAx>
      <c:spPr>
        <a:noFill/>
        <a:ln>
          <a:noFill/>
        </a:ln>
      </c:spPr>
    </c:plotArea>
    <c:plotVisOnly val="0"/>
    <c:dispBlanksAs val="gap"/>
  </c:chart>
  <c:spPr>
    <a:noFill/>
    <a:ln>
      <a:noFill/>
    </a:ln>
  </c:spPr>
  <c:txPr>
    <a:bodyPr/>
    <a:lstStyle/>
    <a:p>
      <a:pPr>
        <a:defRPr sz="800" b="0">
          <a:solidFill>
            <a:srgbClr val="5B6068"/>
          </a:solidFill>
          <a:latin typeface="Calibri"/>
          <a:cs typeface="Calibri"/>
        </a:defRPr>
      </a:pPr>
      <a:endParaRPr lang="de-DE"/>
    </a:p>
  </c:tx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4 Kaufpreisaufteilung'!A4"/>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5 Ma&#223;nahmen &amp; Reserve'!A4"/>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6 Bewirtschaftung'!A4"/>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7 Finanzierung'!A4"/>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8 Zwischenergebnis'!A4"/>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9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9 Steuern'!A4"/>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0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0 Abschreibung'!A4"/>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1 Prognose &amp; Exit'!A4"/>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2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12 Ergebnis'!A4"/>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Dashboard'!A4"/>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Relationship Id="rId7" Type="http://schemas.openxmlformats.org/officeDocument/2006/relationships/chart" Target="../charts/chart25.xml"/><Relationship Id="rId8" Type="http://schemas.openxmlformats.org/officeDocument/2006/relationships/chart" Target="../charts/chart26.xml"/><Relationship Id="rId9" Type="http://schemas.openxmlformats.org/officeDocument/2006/relationships/chart" Target="../charts/chart27.xml"/><Relationship Id="rId10" Type="http://schemas.openxmlformats.org/officeDocument/2006/relationships/chart" Target="../charts/chart28.xml"/><Relationship Id="rId11" Type="http://schemas.openxmlformats.org/officeDocument/2006/relationships/chart" Target="../charts/chart29.xml"/><Relationship Id="rId12" Type="http://schemas.openxmlformats.org/officeDocument/2006/relationships/chart" Target="../charts/chart30.xml"/><Relationship Id="rId13" Type="http://schemas.openxmlformats.org/officeDocument/2006/relationships/chart" Target="../charts/chart31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Diagramme'!A9"/><Relationship Id="rIdNav15" Type="http://schemas.openxmlformats.org/officeDocument/2006/relationships/hyperlink" Target="#'Diagramme'!A30"/><Relationship Id="rIdNav16" Type="http://schemas.openxmlformats.org/officeDocument/2006/relationships/hyperlink" Target="#'Diagramme'!A51"/><Relationship Id="rIdNav17" Type="http://schemas.openxmlformats.org/officeDocument/2006/relationships/hyperlink" Target="#'Diagramme'!A92"/><Relationship Id="rIdNav18" Type="http://schemas.openxmlformats.org/officeDocument/2006/relationships/hyperlink" Target="#'Diagramme'!A113"/><Relationship Id="rIdNav19" Type="http://schemas.openxmlformats.org/officeDocument/2006/relationships/hyperlink" Target="#'Diagramme'!A138"/>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teuern'!D4"/><Relationship Id="rIdNav15" Type="http://schemas.openxmlformats.org/officeDocument/2006/relationships/hyperlink" Target="#'AfA-Vergleich'!D4"/>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34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37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38.xml"/>
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Bankgespr&#228;ch'!A4"/><Relationship Id="rIdNav15" Type="http://schemas.openxmlformats.org/officeDocument/2006/relationships/hyperlink" Target="#'Haushaltsrechnung'!A4"/><Relationship Id="rIdNav16" Type="http://schemas.openxmlformats.org/officeDocument/2006/relationships/hyperlink" Target="#'Verm&#246;gensaufstellung'!A4"/></Relationships>
</file>

<file path=xl/drawings/_rels/drawing21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2 Kaufpreis &amp; Miete'!A4"/></Relationships>
</file>

<file path=xl/drawings/_rels/drawing22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01 Objekt'!A4"/><Relationship Id="rIdNav15" Type="http://schemas.openxmlformats.org/officeDocument/2006/relationships/hyperlink" Target="#'S02 Kaufpreis &amp; Miete'!A4"/><Relationship Id="rIdNav16" Type="http://schemas.openxmlformats.org/officeDocument/2006/relationships/hyperlink" Target="#'S03 Kaufnebenkosten'!A4"/><Relationship Id="rIdNav17" Type="http://schemas.openxmlformats.org/officeDocument/2006/relationships/hyperlink" Target="#'S04 Kaufpreisaufteilung'!A4"/><Relationship Id="rIdNav18" Type="http://schemas.openxmlformats.org/officeDocument/2006/relationships/hyperlink" Target="#'S05 Ma&#223;nahmen &amp; Reserve'!A4"/><Relationship Id="rIdNav19" Type="http://schemas.openxmlformats.org/officeDocument/2006/relationships/hyperlink" Target="#'S06 Bewirtschaftung'!A4"/><Relationship Id="rIdNav20" Type="http://schemas.openxmlformats.org/officeDocument/2006/relationships/hyperlink" Target="#'S07 Finanzierung'!A4"/><Relationship Id="rIdNav21" Type="http://schemas.openxmlformats.org/officeDocument/2006/relationships/hyperlink" Target="#'S08 Zwischenergebnis'!A4"/><Relationship Id="rIdNav22" Type="http://schemas.openxmlformats.org/officeDocument/2006/relationships/hyperlink" Target="#'S09 Steuern'!A4"/><Relationship Id="rIdNav23" Type="http://schemas.openxmlformats.org/officeDocument/2006/relationships/hyperlink" Target="#'S10 Abschreibung'!A4"/><Relationship Id="rIdNav24" Type="http://schemas.openxmlformats.org/officeDocument/2006/relationships/hyperlink" Target="#'S11 Prognose &amp; Exit'!A4"/><Relationship Id="rIdNav25" Type="http://schemas.openxmlformats.org/officeDocument/2006/relationships/hyperlink" Target="#'S12 Ergebnis'!A4"/><Relationship Id="rIdNav26" Type="http://schemas.openxmlformats.org/officeDocument/2006/relationships/hyperlink" Target="#'S03 Kaufnebenkosten'!A4"/></Relationships>
</file>

<file path=xl/drawings/_rels/drawing23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Eingaben'!A9"/><Relationship Id="rIdNav15" Type="http://schemas.openxmlformats.org/officeDocument/2006/relationships/hyperlink" Target="#'Eingaben'!A24"/><Relationship Id="rIdNav16" Type="http://schemas.openxmlformats.org/officeDocument/2006/relationships/hyperlink" Target="#'Eingaben'!A39"/><Relationship Id="rIdNav17" Type="http://schemas.openxmlformats.org/officeDocument/2006/relationships/hyperlink" Target="#'Eingaben'!A48"/><Relationship Id="rIdNav18" Type="http://schemas.openxmlformats.org/officeDocument/2006/relationships/hyperlink" Target="#'Eingaben'!A61"/><Relationship Id="rIdNav19" Type="http://schemas.openxmlformats.org/officeDocument/2006/relationships/hyperlink" Target="#'Eingaben'!A75"/><Relationship Id="rIdNav20" Type="http://schemas.openxmlformats.org/officeDocument/2006/relationships/hyperlink" Target="#'Eingaben'!A95"/><Relationship Id="rIdNav21" Type="http://schemas.openxmlformats.org/officeDocument/2006/relationships/hyperlink" Target="#'Eingaben'!A119"/><Relationship Id="rIdNav22" Type="http://schemas.openxmlformats.org/officeDocument/2006/relationships/hyperlink" Target="#'Eingaben'!A141"/></Relationships>
</file>

<file path=xl/drawings/_rels/drawing24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5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Steuern'!D4"/><Relationship Id="rIdNav15" Type="http://schemas.openxmlformats.org/officeDocument/2006/relationships/hyperlink" Target="#'AfA-Vergleich'!D4"/></Relationships>
</file>

<file path=xl/drawings/_rels/drawing26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/Relationships>
</file>

<file path=xl/drawings/_rels/drawing27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Hinweise'!A4"/><Relationship Id="rIdNav15" Type="http://schemas.openxmlformats.org/officeDocument/2006/relationships/hyperlink" Target="#'Konfiguration'!A4"/></Relationships>
</file>

<file path=xl/drawings/_rels/drawing28.xml.rels><?xml version="1.0" encoding="UTF-8" standalone="yes"?>
<Relationships xmlns="http://schemas.openxmlformats.org/package/2006/relationships"><Relationship Id="rIdNav1" Type="http://schemas.openxmlformats.org/officeDocument/2006/relationships/hyperlink" Target="#'Start'!A4"/><Relationship Id="rIdNav2" Type="http://schemas.openxmlformats.org/officeDocument/2006/relationships/hyperlink" Target="#'Start'!A4"/><Relationship Id="rIdNav3" Type="http://schemas.openxmlformats.org/officeDocument/2006/relationships/hyperlink" Target="#'Leitfaden'!A4"/><Relationship Id="rIdNav4" Type="http://schemas.openxmlformats.org/officeDocument/2006/relationships/hyperlink" Target="#'Dashboard'!A4"/><Relationship Id="rIdNav5" Type="http://schemas.openxmlformats.org/officeDocument/2006/relationships/hyperlink" Target="#'Cockpit'!A4"/><Relationship Id="rIdNav6" Type="http://schemas.openxmlformats.org/officeDocument/2006/relationships/hyperlink" Target="#'Diagramme'!A4"/><Relationship Id="rIdNav7" Type="http://schemas.openxmlformats.org/officeDocument/2006/relationships/hyperlink" Target="#'Eingaben'!A4"/><Relationship Id="rIdNav8" Type="http://schemas.openxmlformats.org/officeDocument/2006/relationships/hyperlink" Target="#'Projektion'!D11"/><Relationship Id="rIdNav9" Type="http://schemas.openxmlformats.org/officeDocument/2006/relationships/hyperlink" Target="#'Steuern'!D4"/><Relationship Id="rIdNav10" Type="http://schemas.openxmlformats.org/officeDocument/2006/relationships/hyperlink" Target="#'Finanzierung'!D11"/><Relationship Id="rIdNav11" Type="http://schemas.openxmlformats.org/officeDocument/2006/relationships/hyperlink" Target="#'Sensitivit&#228;t'!A4"/><Relationship Id="rIdNav12" Type="http://schemas.openxmlformats.org/officeDocument/2006/relationships/hyperlink" Target="#'Bankgespr&#228;ch'!A4"/><Relationship Id="rIdNav13" Type="http://schemas.openxmlformats.org/officeDocument/2006/relationships/hyperlink" Target="#'Hinweise'!A4"/><Relationship Id="rIdNav14" Type="http://schemas.openxmlformats.org/officeDocument/2006/relationships/hyperlink" Target="#'Hinweise'!A4"/><Relationship Id="rIdNav15" Type="http://schemas.openxmlformats.org/officeDocument/2006/relationships/hyperlink" Target="#'Konfiguration'!A4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638280</xdr:colOff>
      <xdr:row>7</xdr:row>
      <xdr:rowOff>57240</xdr:rowOff>
    </xdr:from>
    <xdr:to>
      <xdr:col>3</xdr:col>
      <xdr:colOff>332280</xdr:colOff>
      <xdr:row>13</xdr:row>
      <xdr:rowOff>171360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67120" y="1381320"/>
          <a:ext cx="1428480" cy="1428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1</xdr:row>
      <xdr:rowOff>47625</xdr:rowOff>
    </xdr:from>
    <xdr:to>
      <xdr:col>8</xdr:col>
      <xdr:colOff>0</xdr:colOff>
      <xdr:row>1</xdr:row>
      <xdr:rowOff>371475</xdr:rowOff>
    </xdr:to>
    <xdr:grpSp>
      <xdr:nvGrpSpPr>
        <xdr:cNvPr id="114" name="Reiterleiste"/>
        <xdr:cNvGrpSpPr/>
      </xdr:nvGrpSpPr>
      <xdr:grpSpPr>
        <a:xfrm>
          <a:off x="295275" y="123825"/>
          <a:ext cx="11191875" cy="323850"/>
          <a:chOff x="295275" y="123825"/>
          <a:chExt cx="11191875" cy="323850"/>
        </a:xfrm>
      </xdr:grpSpPr>
      <xdr:sp macro="" textlink="">
        <xdr:nvSpPr>
          <xdr:cNvPr id="101" name="Marke">
            <a:hlinkClick r:id="rIdNav1" tooltip="Zur Startseite"/>
          </xdr:cNvPr>
          <xdr:cNvSpPr/>
        </xdr:nvSpPr>
        <xdr:spPr>
          <a:xfrm>
            <a:off x="295275" y="123825"/>
            <a:ext cx="101917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2" name="Reiter Start">
            <a:hlinkClick r:id="rIdNav2" tooltip="Startseite · Kaufstruktur wählen und Überblick (aktueller Bereich)"/>
          </xdr:cNvPr>
          <xdr:cNvSpPr/>
        </xdr:nvSpPr>
        <xdr:spPr>
          <a:xfrm>
            <a:off x="1466850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3" name="Reiter Leitfaden">
            <a:hlinkClick r:id="rIdNav3" tooltip="Leitfaden · die Kalkulation in zwölf Schritten"/>
          </xdr:cNvPr>
          <xdr:cNvSpPr/>
        </xdr:nvSpPr>
        <xdr:spPr>
          <a:xfrm>
            <a:off x="2295525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4" name="Reiter Dashboard">
            <a:hlinkClick r:id="rIdNav4" tooltip="Dashboard · Gesamtbewertung auf einen Blick"/>
          </xdr:cNvPr>
          <xdr:cNvSpPr/>
        </xdr:nvSpPr>
        <xdr:spPr>
          <a:xfrm>
            <a:off x="3162300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5" name="Reiter Cockpit">
            <a:hlinkClick r:id="rIdNav5" tooltip="Cockpit · alle Kennzahlen im Detail"/>
          </xdr:cNvPr>
          <xdr:cNvSpPr/>
        </xdr:nvSpPr>
        <xdr:spPr>
          <a:xfrm>
            <a:off x="3990975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6" name="Reiter Diagramme">
            <a:hlinkClick r:id="rIdNav6" tooltip="Diagramme · Investition, Cashflow, Vermögen, Steuern, Exit"/>
          </xdr:cNvPr>
          <xdr:cNvSpPr/>
        </xdr:nvSpPr>
        <xdr:spPr>
          <a:xfrm>
            <a:off x="4819650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7" name="Reiter Eingaben">
            <a:hlinkClick r:id="rIdNav7" tooltip="Eingaben · alle Annahmen und Profi-Felder"/>
          </xdr:cNvPr>
          <xdr:cNvSpPr/>
        </xdr:nvSpPr>
        <xdr:spPr>
          <a:xfrm>
            <a:off x="5686425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8" name="Reiter Projektion">
            <a:hlinkClick r:id="rIdNav8" tooltip="Projektion · Miete, Kosten, Cashflow und Vermögen über 40 Jahre"/>
          </xdr:cNvPr>
          <xdr:cNvSpPr/>
        </xdr:nvSpPr>
        <xdr:spPr>
          <a:xfrm>
            <a:off x="6515100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09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7343775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0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8172450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1" name="Reiter Sensitivität">
            <a:hlinkClick r:id="rIdNav11" tooltip="Sensitivität · Break-even, Miete × Zins, IRR-Matrix"/>
          </xdr:cNvPr>
          <xdr:cNvSpPr/>
        </xdr:nvSpPr>
        <xdr:spPr>
          <a:xfrm>
            <a:off x="9001125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2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867900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3" name="Reiter Anhang">
            <a:hlinkClick r:id="rIdNav13" tooltip="Anhang · Hinweise und Konfiguration"/>
          </xdr:cNvPr>
          <xdr:cNvSpPr/>
        </xdr:nvSpPr>
        <xdr:spPr>
          <a:xfrm>
            <a:off x="10696575" y="152400"/>
            <a:ext cx="790575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8</xdr:col>
      <xdr:colOff>986400</xdr:colOff>
      <xdr:row>21</xdr:row>
      <xdr:rowOff>304200</xdr:rowOff>
    </xdr:to>
    <xdr:graphicFrame>
      <xdr:nvGraphicFramePr>
        <xdr:cNvPr id="1" name="Chart 1"/>
        <xdr:cNvGraphicFramePr/>
      </xdr:nvGraphicFramePr>
      <xdr:xfrm>
        <a:off x="10062360" y="2752560"/>
        <a:ext cx="3241800" cy="207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986400</xdr:colOff>
      <xdr:row>28</xdr:row>
      <xdr:rowOff>304560</xdr:rowOff>
    </xdr:to>
    <xdr:graphicFrame>
      <xdr:nvGraphicFramePr>
        <xdr:cNvPr id="2" name="Chart 2"/>
        <xdr:cNvGraphicFramePr/>
      </xdr:nvGraphicFramePr>
      <xdr:xfrm>
        <a:off x="10062360" y="4829040"/>
        <a:ext cx="3241800" cy="213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6" name="Reiterleiste"/>
        <xdr:cNvGrpSpPr/>
      </xdr:nvGrpSpPr>
      <xdr:grpSpPr>
        <a:xfrm>
          <a:off x="295275" y="123825"/>
          <a:ext cx="12287250" cy="323850"/>
          <a:chOff x="295275" y="123825"/>
          <a:chExt cx="12287250" cy="323850"/>
        </a:xfrm>
      </xdr:grpSpPr>
      <xdr:sp macro="" textlink="">
        <xdr:nvSpPr>
          <xdr:cNvPr id="103" name="Marke">
            <a:hlinkClick r:id="rIdNav1" tooltip="Zur Startseite"/>
          </xdr:cNvPr>
          <xdr:cNvSpPr/>
        </xdr:nvSpPr>
        <xdr:spPr>
          <a:xfrm>
            <a:off x="295275" y="123825"/>
            <a:ext cx="10858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4" name="Reiter Start">
            <a:hlinkClick r:id="rIdNav2" tooltip="Startseite · Kaufstruktur wählen und Überblick"/>
          </xdr:cNvPr>
          <xdr:cNvSpPr/>
        </xdr:nvSpPr>
        <xdr:spPr>
          <a:xfrm>
            <a:off x="1533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5" name="Reiter Leitfaden">
            <a:hlinkClick r:id="rIdNav3" tooltip="Leitfaden · die Kalkulation in zwölf Schritten (aktueller Bereich)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6" name="Reiter Dashboard">
            <a:hlinkClick r:id="rIdNav4" tooltip="Dashboard · Gesamtbewertung auf einen Blick"/>
          </xdr:cNvPr>
          <xdr:cNvSpPr/>
        </xdr:nvSpPr>
        <xdr:spPr>
          <a:xfrm>
            <a:off x="34004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7" name="Reiter Cockpit">
            <a:hlinkClick r:id="rIdNav5" tooltip="Cockpit · alle Kennzahlen im Detail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8" name="Reiter Diagramme">
            <a:hlinkClick r:id="rIdNav6" tooltip="Diagramme · Investition, Cashflow, Vermögen, Steuern, Exit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9" name="Reiter Eingaben">
            <a:hlinkClick r:id="rIdNav7" tooltip="Eingaben · alle Annahmen und Profi-Felder"/>
          </xdr:cNvPr>
          <xdr:cNvSpPr/>
        </xdr:nvSpPr>
        <xdr:spPr>
          <a:xfrm>
            <a:off x="6181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0" name="Reiter Projektion">
            <a:hlinkClick r:id="rIdNav8" tooltip="Projektion · Miete, Kosten, Cashflow und Vermögen über 40 Jahre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1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2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3" name="Reiter Sensitivität">
            <a:hlinkClick r:id="rIdNav11" tooltip="Sensitivität · Break-even, Miete × Zins, IRR-Matrix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4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0791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5" name="Reiter Anhang">
            <a:hlinkClick r:id="rIdNav13" tooltip="Anhang · Hinweise und Konfiguration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18</xdr:row>
      <xdr:rowOff>0</xdr:rowOff>
    </xdr:from>
    <xdr:to>
      <xdr:col>5</xdr:col>
      <xdr:colOff>3876480</xdr:colOff>
      <xdr:row>27</xdr:row>
      <xdr:rowOff>380520</xdr:rowOff>
    </xdr:to>
    <xdr:graphicFrame>
      <xdr:nvGraphicFramePr>
        <xdr:cNvPr id="3" name="Chart 1"/>
        <xdr:cNvGraphicFramePr/>
      </xdr:nvGraphicFramePr>
      <xdr:xfrm>
        <a:off x="317520" y="4600440"/>
        <a:ext cx="9162720" cy="275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7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4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5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6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7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8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9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0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1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2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3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4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6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2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18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19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0" name="Schritt 03">
            <a:hlinkClick r:id="rIdNav16" tooltip="Schritt 03 · Kaufnebenkosten (aktuelle Seite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1" name="Schritt 03 aktiv"/>
          <xdr:cNvSpPr/>
        </xdr:nvSpPr>
        <xdr:spPr>
          <a:xfrm>
            <a:off x="178117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2" name="Schritt 04">
            <a:hlinkClick r:id="rIdNav17" tooltip="Schritt 04 · Kaufpreisaufteilung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3" name="Schritt 05">
            <a:hlinkClick r:id="rIdNav18" tooltip="Schritt 05 · Maßnahmen &amp; Reserve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4" name="Schritt 06">
            <a:hlinkClick r:id="rIdNav19" tooltip="Schritt 06 · Bewirtschaftung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5" name="Schritt 07">
            <a:hlinkClick r:id="rIdNav20" tooltip="Schritt 07 · Finanzierung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6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27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8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29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0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1" name="Weiter">
            <a:hlinkClick r:id="rIdNav26" tooltip="Weiter zu Schritt 04 · Kaufpreisaufteilung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04 · Kaufpreisaufteilung</a:t>
            </a:r>
          </a:p>
        </xdr:txBody>
      </xdr:sp>
    </xdr:grp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17</xdr:row>
      <xdr:rowOff>0</xdr:rowOff>
    </xdr:from>
    <xdr:to>
      <xdr:col>5</xdr:col>
      <xdr:colOff>3876480</xdr:colOff>
      <xdr:row>25</xdr:row>
      <xdr:rowOff>380880</xdr:rowOff>
    </xdr:to>
    <xdr:graphicFrame>
      <xdr:nvGraphicFramePr>
        <xdr:cNvPr id="4" name="Chart 1"/>
        <xdr:cNvGraphicFramePr/>
      </xdr:nvGraphicFramePr>
      <xdr:xfrm>
        <a:off x="317520" y="4419720"/>
        <a:ext cx="91627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8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5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6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7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8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9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0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1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2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3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4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5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7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3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19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0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1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2" name="Schritt 04">
            <a:hlinkClick r:id="rIdNav17" tooltip="Schritt 04 · Kaufpreisaufteilung (aktuelle Seite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3" name="Schritt 04 aktiv"/>
          <xdr:cNvSpPr/>
        </xdr:nvSpPr>
        <xdr:spPr>
          <a:xfrm>
            <a:off x="252412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4" name="Schritt 05">
            <a:hlinkClick r:id="rIdNav18" tooltip="Schritt 05 · Maßnahmen &amp; Reserve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5" name="Schritt 06">
            <a:hlinkClick r:id="rIdNav19" tooltip="Schritt 06 · Bewirtschaftung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6" name="Schritt 07">
            <a:hlinkClick r:id="rIdNav20" tooltip="Schritt 07 · Finanzierung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7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28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9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0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1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2" name="Weiter">
            <a:hlinkClick r:id="rIdNav26" tooltip="Weiter zu Schritt 05 · Maßnahmen &amp; Reserve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05 · Maßnahmen &amp; Reserve</a:t>
            </a:r>
          </a:p>
        </xdr:txBody>
      </xdr:sp>
    </xdr:grp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5</xdr:col>
      <xdr:colOff>3876480</xdr:colOff>
      <xdr:row>27</xdr:row>
      <xdr:rowOff>380520</xdr:rowOff>
    </xdr:to>
    <xdr:graphicFrame>
      <xdr:nvGraphicFramePr>
        <xdr:cNvPr id="5" name="Chart 1"/>
        <xdr:cNvGraphicFramePr/>
      </xdr:nvGraphicFramePr>
      <xdr:xfrm>
        <a:off x="317520" y="5400720"/>
        <a:ext cx="9162720" cy="251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9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6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7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8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9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0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1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2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3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6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8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4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0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1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2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3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4" name="Schritt 05">
            <a:hlinkClick r:id="rIdNav18" tooltip="Schritt 05 · Maßnahmen &amp; Reserve (aktuelle Seite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5" name="Schritt 05 aktiv"/>
          <xdr:cNvSpPr/>
        </xdr:nvSpPr>
        <xdr:spPr>
          <a:xfrm>
            <a:off x="326707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6" name="Schritt 06">
            <a:hlinkClick r:id="rIdNav19" tooltip="Schritt 06 · Bewirtschaftung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7" name="Schritt 07">
            <a:hlinkClick r:id="rIdNav20" tooltip="Schritt 07 · Finanzierung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8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29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0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1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2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3" name="Weiter">
            <a:hlinkClick r:id="rIdNav26" tooltip="Weiter zu Schritt 06 · Bewirtschaftung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06 · Bewirtschaftung</a:t>
            </a:r>
          </a:p>
        </xdr:txBody>
      </xdr:sp>
    </xdr:grp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5</xdr:col>
      <xdr:colOff>3876480</xdr:colOff>
      <xdr:row>26</xdr:row>
      <xdr:rowOff>380520</xdr:rowOff>
    </xdr:to>
    <xdr:graphicFrame>
      <xdr:nvGraphicFramePr>
        <xdr:cNvPr id="6" name="Chart 1"/>
        <xdr:cNvGraphicFramePr/>
      </xdr:nvGraphicFramePr>
      <xdr:xfrm>
        <a:off x="317520" y="5276880"/>
        <a:ext cx="916272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0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7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8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9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0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1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2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3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4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5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6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7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8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9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5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1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2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3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4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5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6" name="Schritt 06">
            <a:hlinkClick r:id="rIdNav19" tooltip="Schritt 06 · Bewirtschaftung (aktuelle Seite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7" name="Schritt 06 aktiv"/>
          <xdr:cNvSpPr/>
        </xdr:nvSpPr>
        <xdr:spPr>
          <a:xfrm>
            <a:off x="401002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28" name="Schritt 07">
            <a:hlinkClick r:id="rIdNav20" tooltip="Schritt 07 · Finanzierung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9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0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1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2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3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4" name="Weiter">
            <a:hlinkClick r:id="rIdNav26" tooltip="Weiter zu Schritt 07 · Finanzierung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07 · Finanzierung</a:t>
            </a:r>
          </a:p>
        </xdr:txBody>
      </xdr:sp>
    </xdr:grp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28</xdr:row>
      <xdr:rowOff>0</xdr:rowOff>
    </xdr:from>
    <xdr:to>
      <xdr:col>8</xdr:col>
      <xdr:colOff>1550520</xdr:colOff>
      <xdr:row>37</xdr:row>
      <xdr:rowOff>190080</xdr:rowOff>
    </xdr:to>
    <xdr:graphicFrame>
      <xdr:nvGraphicFramePr>
        <xdr:cNvPr id="7" name="Chart 1"/>
        <xdr:cNvGraphicFramePr/>
      </xdr:nvGraphicFramePr>
      <xdr:xfrm>
        <a:off x="9691920" y="7182000"/>
        <a:ext cx="4581360" cy="190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25</xdr:row>
      <xdr:rowOff>0</xdr:rowOff>
    </xdr:from>
    <xdr:to>
      <xdr:col>5</xdr:col>
      <xdr:colOff>3876480</xdr:colOff>
      <xdr:row>37</xdr:row>
      <xdr:rowOff>190080</xdr:rowOff>
    </xdr:to>
    <xdr:graphicFrame>
      <xdr:nvGraphicFramePr>
        <xdr:cNvPr id="8" name="Chart 2"/>
        <xdr:cNvGraphicFramePr/>
      </xdr:nvGraphicFramePr>
      <xdr:xfrm>
        <a:off x="317520" y="6343560"/>
        <a:ext cx="91627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2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9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0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1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2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3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4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5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6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7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8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9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1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7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3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4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5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6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7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8" name="Schritt 06">
            <a:hlinkClick r:id="rIdNav19" tooltip="Schritt 06 · Bewirtschaftung (bereits durchlaufen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9" name="Schritt 07">
            <a:hlinkClick r:id="rIdNav20" tooltip="Schritt 07 · Finanzierung (aktuelle Seite)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0" name="Schritt 07 aktiv"/>
          <xdr:cNvSpPr/>
        </xdr:nvSpPr>
        <xdr:spPr>
          <a:xfrm>
            <a:off x="475297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1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2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3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4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5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6" name="Weiter">
            <a:hlinkClick r:id="rIdNav26" tooltip="Weiter zu Schritt 08 · Zwischenergebnis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08 · Zwischenergebnis</a:t>
            </a:r>
          </a:p>
        </xdr:txBody>
      </xdr:sp>
    </xdr:grp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0</xdr:rowOff>
    </xdr:from>
    <xdr:to>
      <xdr:col>5</xdr:col>
      <xdr:colOff>2255040</xdr:colOff>
      <xdr:row>22</xdr:row>
      <xdr:rowOff>266400</xdr:rowOff>
    </xdr:to>
    <xdr:graphicFrame>
      <xdr:nvGraphicFramePr>
        <xdr:cNvPr id="9" name="Chart 1"/>
        <xdr:cNvGraphicFramePr/>
      </xdr:nvGraphicFramePr>
      <xdr:xfrm>
        <a:off x="4898880" y="4572000"/>
        <a:ext cx="4581360" cy="15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3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0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1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2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3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4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5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6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7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8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9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0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1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2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8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4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5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6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7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8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9" name="Schritt 06">
            <a:hlinkClick r:id="rIdNav19" tooltip="Schritt 06 · Bewirtschaftung (bereits durchlaufen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30" name="Schritt 07">
            <a:hlinkClick r:id="rIdNav20" tooltip="Schritt 07 · Finanzierung (bereits durchlaufen)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1" name="Schritt 08">
            <a:hlinkClick r:id="rIdNav21" tooltip="Schritt 08 · Zwischenergebnis (aktuelle Seite)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2" name="Schritt 08 aktiv"/>
          <xdr:cNvSpPr/>
        </xdr:nvSpPr>
        <xdr:spPr>
          <a:xfrm>
            <a:off x="5495925" y="1924050"/>
            <a:ext cx="6953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3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4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5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6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7" name="Weiter">
            <a:hlinkClick r:id="rIdNav26" tooltip="Weiter zu Schritt 09 · Steuern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09 · Steuern</a:t>
            </a:r>
          </a:p>
        </xdr:txBody>
      </xdr:sp>
    </xdr:grp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0</xdr:rowOff>
    </xdr:from>
    <xdr:to>
      <xdr:col>5</xdr:col>
      <xdr:colOff>3876480</xdr:colOff>
      <xdr:row>27</xdr:row>
      <xdr:rowOff>380880</xdr:rowOff>
    </xdr:to>
    <xdr:graphicFrame>
      <xdr:nvGraphicFramePr>
        <xdr:cNvPr id="10" name="Chart 1"/>
        <xdr:cNvGraphicFramePr/>
      </xdr:nvGraphicFramePr>
      <xdr:xfrm>
        <a:off x="317520" y="5000760"/>
        <a:ext cx="916272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4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1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2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3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4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5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6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7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8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9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0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1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2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3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9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5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6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7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8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9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0" name="Schritt 06">
            <a:hlinkClick r:id="rIdNav19" tooltip="Schritt 06 · Bewirtschaftung (bereits durchlaufen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31" name="Schritt 07">
            <a:hlinkClick r:id="rIdNav20" tooltip="Schritt 07 · Finanzierung (bereits durchlaufen)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2" name="Schritt 08">
            <a:hlinkClick r:id="rIdNav21" tooltip="Schritt 08 · Zwischenergebnis (bereits durchlaufen)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3" name="Schritt 09">
            <a:hlinkClick r:id="rIdNav22" tooltip="Schritt 09 · Steuern (aktuelle Seite)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4" name="Schritt 09 aktiv"/>
          <xdr:cNvSpPr/>
        </xdr:nvSpPr>
        <xdr:spPr>
          <a:xfrm>
            <a:off x="6229350" y="1924050"/>
            <a:ext cx="6953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5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6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7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8" name="Weiter">
            <a:hlinkClick r:id="rIdNav26" tooltip="Weiter zu Schritt 10 · Abschreibung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10 · Abschreibung</a:t>
            </a:r>
          </a:p>
        </xdr:txBody>
      </xdr:sp>
    </xdr:grp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19</xdr:row>
      <xdr:rowOff>0</xdr:rowOff>
    </xdr:from>
    <xdr:to>
      <xdr:col>5</xdr:col>
      <xdr:colOff>3876480</xdr:colOff>
      <xdr:row>26</xdr:row>
      <xdr:rowOff>380520</xdr:rowOff>
    </xdr:to>
    <xdr:graphicFrame>
      <xdr:nvGraphicFramePr>
        <xdr:cNvPr id="11" name="Chart 1"/>
        <xdr:cNvGraphicFramePr/>
      </xdr:nvGraphicFramePr>
      <xdr:xfrm>
        <a:off x="317520" y="4848120"/>
        <a:ext cx="9162720" cy="24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5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2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3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4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5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6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7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8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9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2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4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0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6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7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8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9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0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1" name="Schritt 06">
            <a:hlinkClick r:id="rIdNav19" tooltip="Schritt 06 · Bewirtschaftung (bereits durchlaufen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32" name="Schritt 07">
            <a:hlinkClick r:id="rIdNav20" tooltip="Schritt 07 · Finanzierung (bereits durchlaufen)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3" name="Schritt 08">
            <a:hlinkClick r:id="rIdNav21" tooltip="Schritt 08 · Zwischenergebnis (bereits durchlaufen)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4" name="Schritt 09">
            <a:hlinkClick r:id="rIdNav22" tooltip="Schritt 09 · Steuern (bereits durchlaufen)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5" name="Schritt 10">
            <a:hlinkClick r:id="rIdNav23" tooltip="Schritt 10 · Abschreibung (aktuelle Seite)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6" name="Schritt 10 aktiv"/>
          <xdr:cNvSpPr/>
        </xdr:nvSpPr>
        <xdr:spPr>
          <a:xfrm>
            <a:off x="6962775" y="1924050"/>
            <a:ext cx="6953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7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8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39" name="Weiter">
            <a:hlinkClick r:id="rIdNav26" tooltip="Weiter zu Schritt 11 · Prognose &amp; Exit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11 · Prognose &amp; Exit</a:t>
            </a:r>
          </a:p>
        </xdr:txBody>
      </xdr:sp>
    </xdr:grp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20</xdr:row>
      <xdr:rowOff>0</xdr:rowOff>
    </xdr:from>
    <xdr:to>
      <xdr:col>5</xdr:col>
      <xdr:colOff>3876480</xdr:colOff>
      <xdr:row>27</xdr:row>
      <xdr:rowOff>380880</xdr:rowOff>
    </xdr:to>
    <xdr:graphicFrame>
      <xdr:nvGraphicFramePr>
        <xdr:cNvPr id="12" name="Chart 1"/>
        <xdr:cNvGraphicFramePr/>
      </xdr:nvGraphicFramePr>
      <xdr:xfrm>
        <a:off x="317520" y="5219640"/>
        <a:ext cx="916272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6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3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4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5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6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7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8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9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0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1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2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3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4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5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1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7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8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29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30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1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2" name="Schritt 06">
            <a:hlinkClick r:id="rIdNav19" tooltip="Schritt 06 · Bewirtschaftung (bereits durchlaufen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33" name="Schritt 07">
            <a:hlinkClick r:id="rIdNav20" tooltip="Schritt 07 · Finanzierung (bereits durchlaufen)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4" name="Schritt 08">
            <a:hlinkClick r:id="rIdNav21" tooltip="Schritt 08 · Zwischenergebnis (bereits durchlaufen)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5" name="Schritt 09">
            <a:hlinkClick r:id="rIdNav22" tooltip="Schritt 09 · Steuern (bereits durchlaufen)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6" name="Schritt 10">
            <a:hlinkClick r:id="rIdNav23" tooltip="Schritt 10 · Abschreibung (bereits durchlaufen)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7" name="Schritt 11">
            <a:hlinkClick r:id="rIdNav24" tooltip="Schritt 11 · Prognose &amp; Exit (aktuelle Seite)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8" name="Schritt 11 aktiv"/>
          <xdr:cNvSpPr/>
        </xdr:nvSpPr>
        <xdr:spPr>
          <a:xfrm>
            <a:off x="7696200" y="1924050"/>
            <a:ext cx="6953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39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0" name="Weiter">
            <a:hlinkClick r:id="rIdNav26" tooltip="Weiter zu Schritt 12 · Ergebnis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12 · Ergebnis</a:t>
            </a:r>
          </a:p>
        </xdr:txBody>
      </xdr:sp>
    </xdr:grp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20</xdr:row>
      <xdr:rowOff>0</xdr:rowOff>
    </xdr:from>
    <xdr:to>
      <xdr:col>5</xdr:col>
      <xdr:colOff>2255040</xdr:colOff>
      <xdr:row>25</xdr:row>
      <xdr:rowOff>266400</xdr:rowOff>
    </xdr:to>
    <xdr:graphicFrame>
      <xdr:nvGraphicFramePr>
        <xdr:cNvPr id="13" name="Chart 1"/>
        <xdr:cNvGraphicFramePr/>
      </xdr:nvGraphicFramePr>
      <xdr:xfrm>
        <a:off x="4898880" y="5448240"/>
        <a:ext cx="4581360" cy="15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27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14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5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6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7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18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19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0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1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2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3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4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6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42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28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29" name="Schritt 02">
            <a:hlinkClick r:id="rIdNav15" tooltip="Schritt 02 · Kaufpreis &amp; Miete (bereits durchlaufen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30" name="Schritt 03">
            <a:hlinkClick r:id="rIdNav16" tooltip="Schritt 03 · Kaufnebenkosten (bereits durchlaufen)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31" name="Schritt 04">
            <a:hlinkClick r:id="rIdNav17" tooltip="Schritt 04 · Kaufpreisaufteilung (bereits durchlaufen)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32" name="Schritt 05">
            <a:hlinkClick r:id="rIdNav18" tooltip="Schritt 05 · Maßnahmen &amp; Reserve (bereits durchlaufen)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33" name="Schritt 06">
            <a:hlinkClick r:id="rIdNav19" tooltip="Schritt 06 · Bewirtschaftung (bereits durchlaufen)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34" name="Schritt 07">
            <a:hlinkClick r:id="rIdNav20" tooltip="Schritt 07 · Finanzierung (bereits durchlaufen)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35" name="Schritt 08">
            <a:hlinkClick r:id="rIdNav21" tooltip="Schritt 08 · Zwischenergebnis (bereits durchlaufen)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36" name="Schritt 09">
            <a:hlinkClick r:id="rIdNav22" tooltip="Schritt 09 · Steuern (bereits durchlaufen)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37" name="Schritt 10">
            <a:hlinkClick r:id="rIdNav23" tooltip="Schritt 10 · Abschreibung (bereits durchlaufen)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38" name="Schritt 11">
            <a:hlinkClick r:id="rIdNav24" tooltip="Schritt 11 · Prognose &amp; Exit (bereits durchlaufen)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39" name="Schritt 12">
            <a:hlinkClick r:id="rIdNav25" tooltip="Schritt 12 · Ergebnis (aktuelle Seite)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40" name="Schritt 12 aktiv"/>
          <xdr:cNvSpPr/>
        </xdr:nvSpPr>
        <xdr:spPr>
          <a:xfrm>
            <a:off x="8429625" y="1924050"/>
            <a:ext cx="695325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41" name="Weiter">
            <a:hlinkClick r:id="rIdNav26" tooltip="Weiter zum Dashboard · Gesamtbewertung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ZUM DASHBOARD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Gesamtbewertung</a:t>
            </a:r>
          </a:p>
        </xdr:txBody>
      </xdr:sp>
    </xdr:grp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18</xdr:row>
      <xdr:rowOff>0</xdr:rowOff>
    </xdr:from>
    <xdr:to>
      <xdr:col>17</xdr:col>
      <xdr:colOff>966240</xdr:colOff>
      <xdr:row>25</xdr:row>
      <xdr:rowOff>247320</xdr:rowOff>
    </xdr:to>
    <xdr:graphicFrame>
      <xdr:nvGraphicFramePr>
        <xdr:cNvPr id="14" name="Chart 1"/>
        <xdr:cNvGraphicFramePr/>
      </xdr:nvGraphicFramePr>
      <xdr:xfrm>
        <a:off x="6114240" y="4476600"/>
        <a:ext cx="5676840" cy="215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966240</xdr:colOff>
      <xdr:row>39</xdr:row>
      <xdr:rowOff>247320</xdr:rowOff>
    </xdr:to>
    <xdr:graphicFrame>
      <xdr:nvGraphicFramePr>
        <xdr:cNvPr id="15" name="Chart 2"/>
        <xdr:cNvGraphicFramePr/>
      </xdr:nvGraphicFramePr>
      <xdr:xfrm>
        <a:off x="317520" y="7182000"/>
        <a:ext cx="11473560" cy="29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18</xdr:col>
      <xdr:colOff>0</xdr:colOff>
      <xdr:row>1</xdr:row>
      <xdr:rowOff>371475</xdr:rowOff>
    </xdr:to>
    <xdr:grpSp>
      <xdr:nvGrpSpPr>
        <xdr:cNvPr id="129" name="Reiterleiste"/>
        <xdr:cNvGrpSpPr/>
      </xdr:nvGrpSpPr>
      <xdr:grpSpPr>
        <a:xfrm>
          <a:off x="295275" y="123825"/>
          <a:ext cx="10858500" cy="323850"/>
          <a:chOff x="295275" y="123825"/>
          <a:chExt cx="10858500" cy="323850"/>
        </a:xfrm>
      </xdr:grpSpPr>
      <xdr:sp macro="" textlink="">
        <xdr:nvSpPr>
          <xdr:cNvPr id="116" name="Marke">
            <a:hlinkClick r:id="rIdNav1" tooltip="Zur Startseite"/>
          </xdr:cNvPr>
          <xdr:cNvSpPr/>
        </xdr:nvSpPr>
        <xdr:spPr>
          <a:xfrm>
            <a:off x="295275" y="123825"/>
            <a:ext cx="102870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17" name="Reiter Start">
            <a:hlinkClick r:id="rIdNav2" tooltip="Startseite · Kaufstruktur wählen und Überblick"/>
          </xdr:cNvPr>
          <xdr:cNvSpPr/>
        </xdr:nvSpPr>
        <xdr:spPr>
          <a:xfrm>
            <a:off x="14763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18" name="Reiter Leitfaden">
            <a:hlinkClick r:id="rIdNav3" tooltip="Leitfaden · die Kalkulation in zwölf Schritten"/>
          </xdr:cNvPr>
          <xdr:cNvSpPr/>
        </xdr:nvSpPr>
        <xdr:spPr>
          <a:xfrm>
            <a:off x="22764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19" name="Reiter Dashboard">
            <a:hlinkClick r:id="rIdNav4" tooltip="Dashboard · Gesamtbewertung auf einen Blick (aktueller Bereich)"/>
          </xdr:cNvPr>
          <xdr:cNvSpPr/>
        </xdr:nvSpPr>
        <xdr:spPr>
          <a:xfrm>
            <a:off x="31146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0" name="Reiter Cockpit">
            <a:hlinkClick r:id="rIdNav5" tooltip="Cockpit · alle Kennzahlen im Detail"/>
          </xdr:cNvPr>
          <xdr:cNvSpPr/>
        </xdr:nvSpPr>
        <xdr:spPr>
          <a:xfrm>
            <a:off x="39147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1" name="Reiter Diagramme">
            <a:hlinkClick r:id="rIdNav6" tooltip="Diagramme · Investition, Cashflow, Vermögen, Steuern, Exit"/>
          </xdr:cNvPr>
          <xdr:cNvSpPr/>
        </xdr:nvSpPr>
        <xdr:spPr>
          <a:xfrm>
            <a:off x="47148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2" name="Reiter Eingaben">
            <a:hlinkClick r:id="rIdNav7" tooltip="Eingaben · alle Annahmen und Profi-Felder"/>
          </xdr:cNvPr>
          <xdr:cNvSpPr/>
        </xdr:nvSpPr>
        <xdr:spPr>
          <a:xfrm>
            <a:off x="55530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3" name="Reiter Projektion">
            <a:hlinkClick r:id="rIdNav8" tooltip="Projektion · Miete, Kosten, Cashflow und Vermögen über 40 Jahre"/>
          </xdr:cNvPr>
          <xdr:cNvSpPr/>
        </xdr:nvSpPr>
        <xdr:spPr>
          <a:xfrm>
            <a:off x="63531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4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71532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79533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6" name="Reiter Sensitivität">
            <a:hlinkClick r:id="rIdNav11" tooltip="Sensitivität · Break-even, Miete × Zins, IRR-Matrix"/>
          </xdr:cNvPr>
          <xdr:cNvSpPr/>
        </xdr:nvSpPr>
        <xdr:spPr>
          <a:xfrm>
            <a:off x="87534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2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95916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28" name="Reiter Anhang">
            <a:hlinkClick r:id="rIdNav13" tooltip="Anhang · Hinweise und Konfiguration"/>
          </xdr:cNvPr>
          <xdr:cNvSpPr/>
        </xdr:nvSpPr>
        <xdr:spPr>
          <a:xfrm>
            <a:off x="10391775" y="152400"/>
            <a:ext cx="7620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57</xdr:row>
      <xdr:rowOff>0</xdr:rowOff>
    </xdr:from>
    <xdr:to>
      <xdr:col>3</xdr:col>
      <xdr:colOff>916200</xdr:colOff>
      <xdr:row>72</xdr:row>
      <xdr:rowOff>199800</xdr:rowOff>
    </xdr:to>
    <xdr:graphicFrame>
      <xdr:nvGraphicFramePr>
        <xdr:cNvPr id="16" name="Chart 1"/>
        <xdr:cNvGraphicFramePr/>
      </xdr:nvGraphicFramePr>
      <xdr:xfrm>
        <a:off x="317520" y="1257300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915840</xdr:colOff>
      <xdr:row>72</xdr:row>
      <xdr:rowOff>199800</xdr:rowOff>
    </xdr:to>
    <xdr:graphicFrame>
      <xdr:nvGraphicFramePr>
        <xdr:cNvPr id="17" name="Chart 2"/>
        <xdr:cNvGraphicFramePr/>
      </xdr:nvGraphicFramePr>
      <xdr:xfrm>
        <a:off x="5286960" y="1257300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11</xdr:col>
      <xdr:colOff>915840</xdr:colOff>
      <xdr:row>72</xdr:row>
      <xdr:rowOff>199800</xdr:rowOff>
    </xdr:to>
    <xdr:graphicFrame>
      <xdr:nvGraphicFramePr>
        <xdr:cNvPr id="18" name="Chart 3"/>
        <xdr:cNvGraphicFramePr/>
      </xdr:nvGraphicFramePr>
      <xdr:xfrm>
        <a:off x="10256400" y="12573000"/>
        <a:ext cx="479268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12</xdr:col>
      <xdr:colOff>0</xdr:colOff>
      <xdr:row>1</xdr:row>
      <xdr:rowOff>371475</xdr:rowOff>
    </xdr:to>
    <xdr:grpSp>
      <xdr:nvGrpSpPr>
        <xdr:cNvPr id="132" name="Reiterleiste"/>
        <xdr:cNvGrpSpPr/>
      </xdr:nvGrpSpPr>
      <xdr:grpSpPr>
        <a:xfrm>
          <a:off x="295275" y="123825"/>
          <a:ext cx="13925550" cy="323850"/>
          <a:chOff x="295275" y="123825"/>
          <a:chExt cx="13925550" cy="323850"/>
        </a:xfrm>
      </xdr:grpSpPr>
      <xdr:sp macro="" textlink="">
        <xdr:nvSpPr>
          <xdr:cNvPr id="119" name="Marke">
            <a:hlinkClick r:id="rIdNav1" tooltip="Zur Startseite"/>
          </xdr:cNvPr>
          <xdr:cNvSpPr/>
        </xdr:nvSpPr>
        <xdr:spPr>
          <a:xfrm>
            <a:off x="295275" y="123825"/>
            <a:ext cx="27241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20" name="Reiter Start">
            <a:hlinkClick r:id="rIdNav2" tooltip="Startseite · Kaufstruktur wählen und Überblick"/>
          </xdr:cNvPr>
          <xdr:cNvSpPr/>
        </xdr:nvSpPr>
        <xdr:spPr>
          <a:xfrm>
            <a:off x="3171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21" name="Reiter Leitfaden">
            <a:hlinkClick r:id="rIdNav3" tooltip="Leitfaden · die Kalkulation in zwölf Schritten"/>
          </xdr:cNvPr>
          <xdr:cNvSpPr/>
        </xdr:nvSpPr>
        <xdr:spPr>
          <a:xfrm>
            <a:off x="408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22" name="Reiter Dashboard">
            <a:hlinkClick r:id="rIdNav4" tooltip="Dashboard · Gesamtbewertung auf einen Blick"/>
          </xdr:cNvPr>
          <xdr:cNvSpPr/>
        </xdr:nvSpPr>
        <xdr:spPr>
          <a:xfrm>
            <a:off x="5038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23" name="Reiter Cockpit">
            <a:hlinkClick r:id="rIdNav5" tooltip="Cockpit · alle Kennzahlen im Detail (aktueller Bereich)"/>
          </xdr:cNvPr>
          <xdr:cNvSpPr/>
        </xdr:nvSpPr>
        <xdr:spPr>
          <a:xfrm>
            <a:off x="5953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24" name="Reiter Diagramme">
            <a:hlinkClick r:id="rIdNav6" tooltip="Diagramme · Investition, Cashflow, Vermögen, Steuern, Exit"/>
          </xdr:cNvPr>
          <xdr:cNvSpPr/>
        </xdr:nvSpPr>
        <xdr:spPr>
          <a:xfrm>
            <a:off x="6867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25" name="Reiter Eingaben">
            <a:hlinkClick r:id="rIdNav7" tooltip="Eingaben · alle Annahmen und Profi-Felder"/>
          </xdr:cNvPr>
          <xdr:cNvSpPr/>
        </xdr:nvSpPr>
        <xdr:spPr>
          <a:xfrm>
            <a:off x="7820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26" name="Reiter Projektion">
            <a:hlinkClick r:id="rIdNav8" tooltip="Projektion · Miete, Kosten, Cashflow und Vermögen über 40 Jahre"/>
          </xdr:cNvPr>
          <xdr:cNvSpPr/>
        </xdr:nvSpPr>
        <xdr:spPr>
          <a:xfrm>
            <a:off x="87344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27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9648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8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10563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29" name="Reiter Sensitivität">
            <a:hlinkClick r:id="rIdNav11" tooltip="Sensitivität · Break-even, Miete × Zins, IRR-Matrix"/>
          </xdr:cNvPr>
          <xdr:cNvSpPr/>
        </xdr:nvSpPr>
        <xdr:spPr>
          <a:xfrm>
            <a:off x="11477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30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2430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31" name="Reiter Anhang">
            <a:hlinkClick r:id="rIdNav13" tooltip="Anhang · Hinweise und Konfiguration"/>
          </xdr:cNvPr>
          <xdr:cNvSpPr/>
        </xdr:nvSpPr>
        <xdr:spPr>
          <a:xfrm>
            <a:off x="13344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3</xdr:col>
      <xdr:colOff>774720</xdr:colOff>
      <xdr:row>25</xdr:row>
      <xdr:rowOff>190080</xdr:rowOff>
    </xdr:to>
    <xdr:graphicFrame>
      <xdr:nvGraphicFramePr>
        <xdr:cNvPr id="19" name="Chart 1"/>
        <xdr:cNvGraphicFramePr/>
      </xdr:nvGraphicFramePr>
      <xdr:xfrm>
        <a:off x="317520" y="2362320"/>
        <a:ext cx="39466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9</xdr:col>
      <xdr:colOff>775080</xdr:colOff>
      <xdr:row>25</xdr:row>
      <xdr:rowOff>190080</xdr:rowOff>
    </xdr:to>
    <xdr:graphicFrame>
      <xdr:nvGraphicFramePr>
        <xdr:cNvPr id="20" name="Chart 2"/>
        <xdr:cNvGraphicFramePr/>
      </xdr:nvGraphicFramePr>
      <xdr:xfrm>
        <a:off x="5040000" y="2362320"/>
        <a:ext cx="38764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15</xdr:col>
      <xdr:colOff>775080</xdr:colOff>
      <xdr:row>25</xdr:row>
      <xdr:rowOff>190080</xdr:rowOff>
    </xdr:to>
    <xdr:graphicFrame>
      <xdr:nvGraphicFramePr>
        <xdr:cNvPr id="21" name="Chart 3"/>
        <xdr:cNvGraphicFramePr/>
      </xdr:nvGraphicFramePr>
      <xdr:xfrm>
        <a:off x="9691920" y="2362320"/>
        <a:ext cx="38764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3</xdr:col>
      <xdr:colOff>774720</xdr:colOff>
      <xdr:row>46</xdr:row>
      <xdr:rowOff>190080</xdr:rowOff>
    </xdr:to>
    <xdr:graphicFrame>
      <xdr:nvGraphicFramePr>
        <xdr:cNvPr id="22" name="Chart 4"/>
        <xdr:cNvGraphicFramePr/>
      </xdr:nvGraphicFramePr>
      <xdr:xfrm>
        <a:off x="317520" y="618156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31</xdr:row>
      <xdr:rowOff>0</xdr:rowOff>
    </xdr:from>
    <xdr:to>
      <xdr:col>15</xdr:col>
      <xdr:colOff>775080</xdr:colOff>
      <xdr:row>46</xdr:row>
      <xdr:rowOff>190080</xdr:rowOff>
    </xdr:to>
    <xdr:graphicFrame>
      <xdr:nvGraphicFramePr>
        <xdr:cNvPr id="23" name="Chart 5"/>
        <xdr:cNvGraphicFramePr/>
      </xdr:nvGraphicFramePr>
      <xdr:xfrm>
        <a:off x="5040000" y="618156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774720</xdr:colOff>
      <xdr:row>67</xdr:row>
      <xdr:rowOff>190080</xdr:rowOff>
    </xdr:to>
    <xdr:graphicFrame>
      <xdr:nvGraphicFramePr>
        <xdr:cNvPr id="24" name="Chart 6"/>
        <xdr:cNvGraphicFramePr/>
      </xdr:nvGraphicFramePr>
      <xdr:xfrm>
        <a:off x="317520" y="10001160"/>
        <a:ext cx="627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52</xdr:row>
      <xdr:rowOff>0</xdr:rowOff>
    </xdr:from>
    <xdr:to>
      <xdr:col>15</xdr:col>
      <xdr:colOff>775080</xdr:colOff>
      <xdr:row>67</xdr:row>
      <xdr:rowOff>190080</xdr:rowOff>
    </xdr:to>
    <xdr:graphicFrame>
      <xdr:nvGraphicFramePr>
        <xdr:cNvPr id="25" name="Chart 7"/>
        <xdr:cNvGraphicFramePr/>
      </xdr:nvGraphicFramePr>
      <xdr:xfrm>
        <a:off x="7365960" y="10001160"/>
        <a:ext cx="62024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70</xdr:row>
      <xdr:rowOff>0</xdr:rowOff>
    </xdr:from>
    <xdr:to>
      <xdr:col>6</xdr:col>
      <xdr:colOff>774720</xdr:colOff>
      <xdr:row>85</xdr:row>
      <xdr:rowOff>190080</xdr:rowOff>
    </xdr:to>
    <xdr:graphicFrame>
      <xdr:nvGraphicFramePr>
        <xdr:cNvPr id="26" name="Chart 8"/>
        <xdr:cNvGraphicFramePr/>
      </xdr:nvGraphicFramePr>
      <xdr:xfrm>
        <a:off x="317520" y="13316040"/>
        <a:ext cx="627264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0</xdr:colOff>
      <xdr:row>70</xdr:row>
      <xdr:rowOff>0</xdr:rowOff>
    </xdr:from>
    <xdr:to>
      <xdr:col>15</xdr:col>
      <xdr:colOff>775080</xdr:colOff>
      <xdr:row>85</xdr:row>
      <xdr:rowOff>190080</xdr:rowOff>
    </xdr:to>
    <xdr:graphicFrame>
      <xdr:nvGraphicFramePr>
        <xdr:cNvPr id="27" name="Chart 9"/>
        <xdr:cNvGraphicFramePr/>
      </xdr:nvGraphicFramePr>
      <xdr:xfrm>
        <a:off x="7365960" y="13316040"/>
        <a:ext cx="620244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93</xdr:row>
      <xdr:rowOff>0</xdr:rowOff>
    </xdr:from>
    <xdr:to>
      <xdr:col>6</xdr:col>
      <xdr:colOff>774720</xdr:colOff>
      <xdr:row>108</xdr:row>
      <xdr:rowOff>190080</xdr:rowOff>
    </xdr:to>
    <xdr:graphicFrame>
      <xdr:nvGraphicFramePr>
        <xdr:cNvPr id="28" name="Chart 10"/>
        <xdr:cNvGraphicFramePr/>
      </xdr:nvGraphicFramePr>
      <xdr:xfrm>
        <a:off x="317520" y="17145000"/>
        <a:ext cx="627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93</xdr:row>
      <xdr:rowOff>0</xdr:rowOff>
    </xdr:from>
    <xdr:to>
      <xdr:col>15</xdr:col>
      <xdr:colOff>775080</xdr:colOff>
      <xdr:row>108</xdr:row>
      <xdr:rowOff>190080</xdr:rowOff>
    </xdr:to>
    <xdr:graphicFrame>
      <xdr:nvGraphicFramePr>
        <xdr:cNvPr id="29" name="Chart 11"/>
        <xdr:cNvGraphicFramePr/>
      </xdr:nvGraphicFramePr>
      <xdr:xfrm>
        <a:off x="7365960" y="17145000"/>
        <a:ext cx="62024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114</xdr:row>
      <xdr:rowOff>0</xdr:rowOff>
    </xdr:from>
    <xdr:to>
      <xdr:col>3</xdr:col>
      <xdr:colOff>774720</xdr:colOff>
      <xdr:row>129</xdr:row>
      <xdr:rowOff>190080</xdr:rowOff>
    </xdr:to>
    <xdr:graphicFrame>
      <xdr:nvGraphicFramePr>
        <xdr:cNvPr id="30" name="Chart 12"/>
        <xdr:cNvGraphicFramePr/>
      </xdr:nvGraphicFramePr>
      <xdr:xfrm>
        <a:off x="317520" y="20993040"/>
        <a:ext cx="39466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5</xdr:col>
      <xdr:colOff>0</xdr:colOff>
      <xdr:row>114</xdr:row>
      <xdr:rowOff>0</xdr:rowOff>
    </xdr:from>
    <xdr:to>
      <xdr:col>15</xdr:col>
      <xdr:colOff>775080</xdr:colOff>
      <xdr:row>129</xdr:row>
      <xdr:rowOff>190080</xdr:rowOff>
    </xdr:to>
    <xdr:graphicFrame>
      <xdr:nvGraphicFramePr>
        <xdr:cNvPr id="31" name="Chart 13"/>
        <xdr:cNvGraphicFramePr/>
      </xdr:nvGraphicFramePr>
      <xdr:xfrm>
        <a:off x="5040000" y="20993040"/>
        <a:ext cx="85284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16</xdr:col>
      <xdr:colOff>0</xdr:colOff>
      <xdr:row>1</xdr:row>
      <xdr:rowOff>371475</xdr:rowOff>
    </xdr:to>
    <xdr:grpSp>
      <xdr:nvGrpSpPr>
        <xdr:cNvPr id="145" name="Reiterleiste"/>
        <xdr:cNvGrpSpPr/>
      </xdr:nvGrpSpPr>
      <xdr:grpSpPr>
        <a:xfrm>
          <a:off x="295275" y="123825"/>
          <a:ext cx="12534900" cy="323850"/>
          <a:chOff x="295275" y="123825"/>
          <a:chExt cx="12534900" cy="323850"/>
        </a:xfrm>
      </xdr:grpSpPr>
      <xdr:sp macro="" textlink="">
        <xdr:nvSpPr>
          <xdr:cNvPr id="132" name="Marke">
            <a:hlinkClick r:id="rIdNav1" tooltip="Zur Startseite"/>
          </xdr:cNvPr>
          <xdr:cNvSpPr/>
        </xdr:nvSpPr>
        <xdr:spPr>
          <a:xfrm>
            <a:off x="295275" y="123825"/>
            <a:ext cx="133350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3" name="Reiter Start">
            <a:hlinkClick r:id="rIdNav2" tooltip="Startseite · Kaufstruktur wählen und Überblick"/>
          </xdr:cNvPr>
          <xdr:cNvSpPr/>
        </xdr:nvSpPr>
        <xdr:spPr>
          <a:xfrm>
            <a:off x="17811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4" name="Reiter Leitfaden">
            <a:hlinkClick r:id="rIdNav3" tooltip="Leitfaden · die Kalkulation in zwölf Schritten"/>
          </xdr:cNvPr>
          <xdr:cNvSpPr/>
        </xdr:nvSpPr>
        <xdr:spPr>
          <a:xfrm>
            <a:off x="26955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5" name="Reiter Dashboard">
            <a:hlinkClick r:id="rIdNav4" tooltip="Dashboard · Gesamtbewertung auf einen Blick"/>
          </xdr:cNvPr>
          <xdr:cNvSpPr/>
        </xdr:nvSpPr>
        <xdr:spPr>
          <a:xfrm>
            <a:off x="36480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36" name="Reiter Cockpit">
            <a:hlinkClick r:id="rIdNav5" tooltip="Cockpit · alle Kennzahlen im Detail"/>
          </xdr:cNvPr>
          <xdr:cNvSpPr/>
        </xdr:nvSpPr>
        <xdr:spPr>
          <a:xfrm>
            <a:off x="45624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37" name="Reiter Diagramme">
            <a:hlinkClick r:id="rIdNav6" tooltip="Diagramme · Investition, Cashflow, Vermögen, Steuern, Exit (aktueller Bereich)"/>
          </xdr:cNvPr>
          <xdr:cNvSpPr/>
        </xdr:nvSpPr>
        <xdr:spPr>
          <a:xfrm>
            <a:off x="54768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38" name="Reiter Eingaben">
            <a:hlinkClick r:id="rIdNav7" tooltip="Eingaben · alle Annahmen und Profi-Felder"/>
          </xdr:cNvPr>
          <xdr:cNvSpPr/>
        </xdr:nvSpPr>
        <xdr:spPr>
          <a:xfrm>
            <a:off x="64293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39" name="Reiter Projektion">
            <a:hlinkClick r:id="rIdNav8" tooltip="Projektion · Miete, Kosten, Cashflow und Vermögen über 40 Jahre"/>
          </xdr:cNvPr>
          <xdr:cNvSpPr/>
        </xdr:nvSpPr>
        <xdr:spPr>
          <a:xfrm>
            <a:off x="73437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2581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1725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2" name="Reiter Sensitivität">
            <a:hlinkClick r:id="rIdNav11" tooltip="Sensitivität · Break-even, Miete × Zins, IRR-Matrix"/>
          </xdr:cNvPr>
          <xdr:cNvSpPr/>
        </xdr:nvSpPr>
        <xdr:spPr>
          <a:xfrm>
            <a:off x="100869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0394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4" name="Reiter Anhang">
            <a:hlinkClick r:id="rIdNav13" tooltip="Anhang · Hinweise und Konfiguration"/>
          </xdr:cNvPr>
          <xdr:cNvSpPr/>
        </xdr:nvSpPr>
        <xdr:spPr>
          <a:xfrm>
            <a:off x="1195387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</xdr:col>
      <xdr:colOff>0</xdr:colOff>
      <xdr:row>7</xdr:row>
      <xdr:rowOff>85725</xdr:rowOff>
    </xdr:from>
    <xdr:to>
      <xdr:col>5</xdr:col>
      <xdr:colOff>0</xdr:colOff>
      <xdr:row>7</xdr:row>
      <xdr:rowOff>295275</xdr:rowOff>
    </xdr:to>
    <xdr:grpSp>
      <xdr:nvGrpSpPr>
        <xdr:cNvPr id="154" name="Sprungleiste"/>
        <xdr:cNvGrpSpPr/>
      </xdr:nvGrpSpPr>
      <xdr:grpSpPr>
        <a:xfrm>
          <a:off x="295275" y="1666875"/>
          <a:ext cx="4467225" cy="209550"/>
          <a:chOff x="295275" y="1666875"/>
          <a:chExt cx="4467225" cy="209550"/>
        </a:xfrm>
      </xdr:grpSpPr>
      <xdr:sp macro="" textlink="">
        <xdr:nvSpPr>
          <xdr:cNvPr id="153" name="Sprungleiste Rahmen"/>
          <xdr:cNvSpPr/>
        </xdr:nvSpPr>
        <xdr:spPr>
          <a:xfrm>
            <a:off x="295275" y="1666875"/>
            <a:ext cx="446722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46" name="Sprungleiste Titel"/>
          <xdr:cNvSpPr/>
        </xdr:nvSpPr>
        <xdr:spPr>
          <a:xfrm>
            <a:off x="295275" y="1666875"/>
            <a:ext cx="685800" cy="209550"/>
          </a:xfrm>
          <a:prstGeom prst="roundRect">
            <a:avLst>
              <a:gd name="adj" fmla="val 18181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/>
            <a:r>
              <a:rPr lang="de-DE" sz="800" b="1" spc="40" dirty="0">
                <a:solidFill>
                  <a:srgbClr val="5B6068"/>
                </a:solidFill>
                <a:latin typeface="Calibri"/>
                <a:cs typeface="Calibri"/>
              </a:rPr>
              <a:t>SPRINGEN ZU</a:t>
            </a:r>
          </a:p>
        </xdr:txBody>
      </xdr:sp>
      <xdr:sp macro="" textlink="">
        <xdr:nvSpPr>
          <xdr:cNvPr id="147" name="Sprung Investition">
            <a:hlinkClick r:id="rIdNav14" tooltip="Springen zu Abschnitt: Investition und Finanzierung"/>
          </xdr:cNvPr>
          <xdr:cNvSpPr/>
        </xdr:nvSpPr>
        <xdr:spPr>
          <a:xfrm>
            <a:off x="981075" y="1666875"/>
            <a:ext cx="6381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Investition</a:t>
            </a:r>
          </a:p>
        </xdr:txBody>
      </xdr:sp>
      <xdr:sp macro="" textlink="">
        <xdr:nvSpPr>
          <xdr:cNvPr id="148" name="Sprung Cashflow">
            <a:hlinkClick r:id="rIdNav15" tooltip="Springen zu Abschnitt: Einnahmen, Ausgaben und Cashflow"/>
          </xdr:cNvPr>
          <xdr:cNvSpPr/>
        </xdr:nvSpPr>
        <xdr:spPr>
          <a:xfrm>
            <a:off x="1657350" y="1666875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Cashflow</a:t>
            </a:r>
          </a:p>
        </xdr:txBody>
      </xdr:sp>
      <xdr:sp macro="" textlink="">
        <xdr:nvSpPr>
          <xdr:cNvPr id="149" name="Sprung Entwicklung">
            <a:hlinkClick r:id="rIdNav16" tooltip="Springen zu Abschnitt: Entwicklung über die Laufzeit"/>
          </xdr:cNvPr>
          <xdr:cNvSpPr/>
        </xdr:nvSpPr>
        <xdr:spPr>
          <a:xfrm>
            <a:off x="2276475" y="1666875"/>
            <a:ext cx="7048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Entwicklung</a:t>
            </a:r>
          </a:p>
        </xdr:txBody>
      </xdr:sp>
      <xdr:sp macro="" textlink="">
        <xdr:nvSpPr>
          <xdr:cNvPr id="150" name="Sprung Steuern">
            <a:hlinkClick r:id="rIdNav17" tooltip="Springen zu Abschnitt: Steuern"/>
          </xdr:cNvPr>
          <xdr:cNvSpPr/>
        </xdr:nvSpPr>
        <xdr:spPr>
          <a:xfrm>
            <a:off x="3019425" y="1666875"/>
            <a:ext cx="5238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51" name="Sprung Exit">
            <a:hlinkClick r:id="rIdNav18" tooltip="Springen zu Abschnitt: Exit"/>
          </xdr:cNvPr>
          <xdr:cNvSpPr/>
        </xdr:nvSpPr>
        <xdr:spPr>
          <a:xfrm>
            <a:off x="3581400" y="1666875"/>
            <a:ext cx="3524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Exit</a:t>
            </a:r>
          </a:p>
        </xdr:txBody>
      </xdr:sp>
      <xdr:sp macro="" textlink="">
        <xdr:nvSpPr>
          <xdr:cNvPr id="152" name="Sprung Daten">
            <a:hlinkClick r:id="rIdNav19" tooltip="Springen zu Abschnitt: Diagrammdaten"/>
          </xdr:cNvPr>
          <xdr:cNvSpPr/>
        </xdr:nvSpPr>
        <xdr:spPr>
          <a:xfrm>
            <a:off x="3971925" y="1666875"/>
            <a:ext cx="4476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Daten</a:t>
            </a:r>
          </a:p>
        </xdr:txBody>
      </xdr:sp>
    </xdr:grp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0</xdr:rowOff>
    </xdr:from>
    <xdr:to>
      <xdr:col>2</xdr:col>
      <xdr:colOff>2396160</xdr:colOff>
      <xdr:row>68</xdr:row>
      <xdr:rowOff>10800</xdr:rowOff>
    </xdr:to>
    <xdr:graphicFrame>
      <xdr:nvGraphicFramePr>
        <xdr:cNvPr id="32" name="Chart 1"/>
        <xdr:cNvGraphicFramePr/>
      </xdr:nvGraphicFramePr>
      <xdr:xfrm>
        <a:off x="317520" y="13020840"/>
        <a:ext cx="500400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52</xdr:row>
      <xdr:rowOff>0</xdr:rowOff>
    </xdr:from>
    <xdr:to>
      <xdr:col>16</xdr:col>
      <xdr:colOff>1117440</xdr:colOff>
      <xdr:row>68</xdr:row>
      <xdr:rowOff>10800</xdr:rowOff>
    </xdr:to>
    <xdr:graphicFrame>
      <xdr:nvGraphicFramePr>
        <xdr:cNvPr id="33" name="Chart 2"/>
        <xdr:cNvGraphicFramePr/>
      </xdr:nvGraphicFramePr>
      <xdr:xfrm>
        <a:off x="6066720" y="13020840"/>
        <a:ext cx="1042848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39" name="Reiterleiste"/>
        <xdr:cNvGrpSpPr/>
      </xdr:nvGrpSpPr>
      <xdr:grpSpPr>
        <a:xfrm>
          <a:off x="295275" y="123825"/>
          <a:ext cx="4733925" cy="323850"/>
          <a:chOff x="295275" y="123825"/>
          <a:chExt cx="4733925" cy="323850"/>
        </a:xfrm>
      </xdr:grpSpPr>
      <xdr:sp macro="" textlink="">
        <xdr:nvSpPr>
          <xdr:cNvPr id="138" name="Reiterleiste Rahmen"/>
          <xdr:cNvSpPr/>
        </xdr:nvSpPr>
        <xdr:spPr>
          <a:xfrm>
            <a:off x="295275" y="123825"/>
            <a:ext cx="4733925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34" name="Marke">
            <a:hlinkClick r:id="rIdNav1" tooltip="Zur Startseite"/>
          </xdr:cNvPr>
          <xdr:cNvSpPr/>
        </xdr:nvSpPr>
        <xdr:spPr>
          <a:xfrm>
            <a:off x="295275" y="123825"/>
            <a:ext cx="181927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5" name="Reiter Start">
            <a:hlinkClick r:id="rIdNav2" tooltip="Startseite · Kaufstruktur wählen und Überblick"/>
          </xdr:cNvPr>
          <xdr:cNvSpPr/>
        </xdr:nvSpPr>
        <xdr:spPr>
          <a:xfrm>
            <a:off x="2266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6" name="Reiter Leitfaden">
            <a:hlinkClick r:id="rIdNav3" tooltip="Leitfaden · die Kalkulation in zwölf Schritten"/>
          </xdr:cNvPr>
          <xdr:cNvSpPr/>
        </xdr:nvSpPr>
        <xdr:spPr>
          <a:xfrm>
            <a:off x="31813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7" name="Reiter Dashboard">
            <a:hlinkClick r:id="rIdNav4" tooltip="Dashboard · Gesamtbewertung auf einen Blick"/>
          </xdr:cNvPr>
          <xdr:cNvSpPr/>
        </xdr:nvSpPr>
        <xdr:spPr>
          <a:xfrm>
            <a:off x="41338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15</xdr:col>
      <xdr:colOff>0</xdr:colOff>
      <xdr:row>1</xdr:row>
      <xdr:rowOff>342900</xdr:rowOff>
    </xdr:to>
    <xdr:grpSp>
      <xdr:nvGrpSpPr>
        <xdr:cNvPr id="150" name="Reiterleiste rechts"/>
        <xdr:cNvGrpSpPr/>
      </xdr:nvGrpSpPr>
      <xdr:grpSpPr>
        <a:xfrm>
          <a:off x="5029200" y="152400"/>
          <a:ext cx="8458200" cy="266700"/>
          <a:chOff x="5029200" y="152400"/>
          <a:chExt cx="8458200" cy="266700"/>
        </a:xfrm>
      </xdr:grpSpPr>
      <xdr:sp macro="" textlink="">
        <xdr:nvSpPr>
          <xdr:cNvPr id="149" name="Reiterleiste rechts Rahmen"/>
          <xdr:cNvSpPr/>
        </xdr:nvSpPr>
        <xdr:spPr>
          <a:xfrm>
            <a:off x="5029200" y="152400"/>
            <a:ext cx="84582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40" name="Reiter Cockpit">
            <a:hlinkClick r:id="rIdNav5" tooltip="Cockpit · alle Kennzahlen im Detail"/>
          </xdr:cNvPr>
          <xdr:cNvSpPr/>
        </xdr:nvSpPr>
        <xdr:spPr>
          <a:xfrm>
            <a:off x="5048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1" name="Reiter Diagramme">
            <a:hlinkClick r:id="rIdNav6" tooltip="Diagramme · Investition, Cashflow, Vermögen, Steuern, Exit"/>
          </xdr:cNvPr>
          <xdr:cNvSpPr/>
        </xdr:nvSpPr>
        <xdr:spPr>
          <a:xfrm>
            <a:off x="5962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2" name="Reiter Eingaben">
            <a:hlinkClick r:id="rIdNav7" tooltip="Eingaben · alle Annahmen und Profi-Felder"/>
          </xdr:cNvPr>
          <xdr:cNvSpPr/>
        </xdr:nvSpPr>
        <xdr:spPr>
          <a:xfrm>
            <a:off x="69151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3" name="Reiter Projektion">
            <a:hlinkClick r:id="rIdNav8" tooltip="Projektion · Miete, Kosten, Cashflow und Vermögen über 40 Jahre"/>
          </xdr:cNvPr>
          <xdr:cNvSpPr/>
        </xdr:nvSpPr>
        <xdr:spPr>
          <a:xfrm>
            <a:off x="7829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4" name="Reiter Steuer-Tabelle">
            <a:hlinkClick r:id="rIdNav9" tooltip="Steuer-Tabelle · Parameter, AfA-Verlauf, steuerliches Ergebnis über 40 Jahre (Eingaben dazu: Schritt 09 Steuern) (aktueller Bereich)"/>
          </xdr:cNvPr>
          <xdr:cNvSpPr/>
        </xdr:nvSpPr>
        <xdr:spPr>
          <a:xfrm>
            <a:off x="8743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5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6583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6" name="Reiter Sensitivität">
            <a:hlinkClick r:id="rIdNav11" tooltip="Sensitivität · Break-even, Miete × Zins, IRR-Matrix"/>
          </xdr:cNvPr>
          <xdr:cNvSpPr/>
        </xdr:nvSpPr>
        <xdr:spPr>
          <a:xfrm>
            <a:off x="105727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7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525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8" name="Reiter Anhang">
            <a:hlinkClick r:id="rIdNav13" tooltip="Anhang · Hinweise und Konfiguration"/>
          </xdr:cNvPr>
          <xdr:cNvSpPr/>
        </xdr:nvSpPr>
        <xdr:spPr>
          <a:xfrm>
            <a:off x="12439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12</xdr:col>
      <xdr:colOff>0</xdr:colOff>
      <xdr:row>4</xdr:row>
      <xdr:rowOff>9525</xdr:rowOff>
    </xdr:from>
    <xdr:to>
      <xdr:col>15</xdr:col>
      <xdr:colOff>0</xdr:colOff>
      <xdr:row>4</xdr:row>
      <xdr:rowOff>219075</xdr:rowOff>
    </xdr:to>
    <xdr:grpSp>
      <xdr:nvGrpSpPr>
        <xdr:cNvPr id="154" name="Unterreiter"/>
        <xdr:cNvGrpSpPr/>
      </xdr:nvGrpSpPr>
      <xdr:grpSpPr>
        <a:xfrm>
          <a:off x="11372850" y="695325"/>
          <a:ext cx="2114550" cy="209550"/>
          <a:chOff x="11372850" y="695325"/>
          <a:chExt cx="2114550" cy="209550"/>
        </a:xfrm>
      </xdr:grpSpPr>
      <xdr:sp macro="" textlink="">
        <xdr:nvSpPr>
          <xdr:cNvPr id="153" name="Unterreiter Rahmen"/>
          <xdr:cNvSpPr/>
        </xdr:nvSpPr>
        <xdr:spPr>
          <a:xfrm>
            <a:off x="11372850" y="695325"/>
            <a:ext cx="21145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1" name="Unterreiter Steuer-Tabelle">
            <a:hlinkClick r:id="rIdNav14" tooltip="Steuer-Tabelle öffnen"/>
          </xdr:cNvPr>
          <xdr:cNvSpPr/>
        </xdr:nvSpPr>
        <xdr:spPr>
          <a:xfrm>
            <a:off x="11725275" y="695325"/>
            <a:ext cx="7905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52" name="Unterreiter AfA-Vergleich">
            <a:hlinkClick r:id="rIdNav15" tooltip="AfA-Vergleich (aktuelle Seite)"/>
          </xdr:cNvPr>
          <xdr:cNvSpPr/>
        </xdr:nvSpPr>
        <xdr:spPr>
          <a:xfrm>
            <a:off x="12553950" y="695325"/>
            <a:ext cx="76200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AfA-Vergleich</a:t>
            </a:r>
          </a:p>
        </xdr:txBody>
      </xdr:sp>
    </xdr:grp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48</xdr:row>
      <xdr:rowOff>0</xdr:rowOff>
    </xdr:from>
    <xdr:to>
      <xdr:col>12</xdr:col>
      <xdr:colOff>1127160</xdr:colOff>
      <xdr:row>62</xdr:row>
      <xdr:rowOff>199800</xdr:rowOff>
    </xdr:to>
    <xdr:graphicFrame>
      <xdr:nvGraphicFramePr>
        <xdr:cNvPr id="34" name="Chart 1"/>
        <xdr:cNvGraphicFramePr/>
      </xdr:nvGraphicFramePr>
      <xdr:xfrm>
        <a:off x="9198720" y="10115640"/>
        <a:ext cx="4228560" cy="307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0</xdr:colOff>
      <xdr:row>1</xdr:row>
      <xdr:rowOff>47625</xdr:rowOff>
    </xdr:from>
    <xdr:to>
      <xdr:col>45</xdr:col>
      <xdr:colOff>0</xdr:colOff>
      <xdr:row>1</xdr:row>
      <xdr:rowOff>371475</xdr:rowOff>
    </xdr:to>
    <xdr:grpSp>
      <xdr:nvGrpSpPr>
        <xdr:cNvPr id="148" name="Reiterleiste"/>
        <xdr:cNvGrpSpPr/>
      </xdr:nvGrpSpPr>
      <xdr:grpSpPr>
        <a:xfrm>
          <a:off x="304800" y="123825"/>
          <a:ext cx="12401550" cy="323850"/>
          <a:chOff x="304800" y="123825"/>
          <a:chExt cx="12401550" cy="323850"/>
        </a:xfrm>
      </xdr:grpSpPr>
      <xdr:sp macro="" textlink="">
        <xdr:nvSpPr>
          <xdr:cNvPr id="135" name="Marke">
            <a:hlinkClick r:id="rIdNav1" tooltip="Zur Startseite"/>
          </xdr:cNvPr>
          <xdr:cNvSpPr/>
        </xdr:nvSpPr>
        <xdr:spPr>
          <a:xfrm>
            <a:off x="304800" y="123825"/>
            <a:ext cx="12001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6" name="Reiter Start">
            <a:hlinkClick r:id="rIdNav2" tooltip="Startseite · Kaufstruktur wählen und Überblick"/>
          </xdr:cNvPr>
          <xdr:cNvSpPr/>
        </xdr:nvSpPr>
        <xdr:spPr>
          <a:xfrm>
            <a:off x="16573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7" name="Reiter Leitfaden">
            <a:hlinkClick r:id="rIdNav3" tooltip="Leitfaden · die Kalkulation in zwölf Schritten"/>
          </xdr:cNvPr>
          <xdr:cNvSpPr/>
        </xdr:nvSpPr>
        <xdr:spPr>
          <a:xfrm>
            <a:off x="25717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38" name="Reiter Dashboard">
            <a:hlinkClick r:id="rIdNav4" tooltip="Dashboard · Gesamtbewertung auf einen Blick"/>
          </xdr:cNvPr>
          <xdr:cNvSpPr/>
        </xdr:nvSpPr>
        <xdr:spPr>
          <a:xfrm>
            <a:off x="3524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39" name="Reiter Cockpit">
            <a:hlinkClick r:id="rIdNav5" tooltip="Cockpit · alle Kennzahlen im Detail"/>
          </xdr:cNvPr>
          <xdr:cNvSpPr/>
        </xdr:nvSpPr>
        <xdr:spPr>
          <a:xfrm>
            <a:off x="4438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0" name="Reiter Diagramme">
            <a:hlinkClick r:id="rIdNav6" tooltip="Diagramme · Investition, Cashflow, Vermögen, Steuern, Exit"/>
          </xdr:cNvPr>
          <xdr:cNvSpPr/>
        </xdr:nvSpPr>
        <xdr:spPr>
          <a:xfrm>
            <a:off x="53530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1" name="Reiter Eingaben">
            <a:hlinkClick r:id="rIdNav7" tooltip="Eingaben · alle Annahmen und Profi-Felder"/>
          </xdr:cNvPr>
          <xdr:cNvSpPr/>
        </xdr:nvSpPr>
        <xdr:spPr>
          <a:xfrm>
            <a:off x="6305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2" name="Reiter Projektion">
            <a:hlinkClick r:id="rIdNav8" tooltip="Projektion · Miete, Kosten, Cashflow und Vermögen über 40 Jahre"/>
          </xdr:cNvPr>
          <xdr:cNvSpPr/>
        </xdr:nvSpPr>
        <xdr:spPr>
          <a:xfrm>
            <a:off x="7219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3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1343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4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0487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5" name="Reiter Sensitivität">
            <a:hlinkClick r:id="rIdNav11" tooltip="Sensitivität · Break-even, Miete × Zins, IRR-Matrix (aktueller Bereich)"/>
          </xdr:cNvPr>
          <xdr:cNvSpPr/>
        </xdr:nvSpPr>
        <xdr:spPr>
          <a:xfrm>
            <a:off x="99631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6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0915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7" name="Reiter Anhang">
            <a:hlinkClick r:id="rIdNav13" tooltip="Anhang · Hinweise und Konfiguration"/>
          </xdr:cNvPr>
          <xdr:cNvSpPr/>
        </xdr:nvSpPr>
        <xdr:spPr>
          <a:xfrm>
            <a:off x="118300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43</xdr:row>
      <xdr:rowOff>0</xdr:rowOff>
    </xdr:from>
    <xdr:to>
      <xdr:col>2</xdr:col>
      <xdr:colOff>1268640</xdr:colOff>
      <xdr:row>56</xdr:row>
      <xdr:rowOff>190080</xdr:rowOff>
    </xdr:to>
    <xdr:graphicFrame>
      <xdr:nvGraphicFramePr>
        <xdr:cNvPr id="35" name="Chart 1"/>
        <xdr:cNvGraphicFramePr/>
      </xdr:nvGraphicFramePr>
      <xdr:xfrm>
        <a:off x="317520" y="7639200"/>
        <a:ext cx="317160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43</xdr:row>
      <xdr:rowOff>0</xdr:rowOff>
    </xdr:from>
    <xdr:to>
      <xdr:col>8</xdr:col>
      <xdr:colOff>1268280</xdr:colOff>
      <xdr:row>56</xdr:row>
      <xdr:rowOff>190080</xdr:rowOff>
    </xdr:to>
    <xdr:graphicFrame>
      <xdr:nvGraphicFramePr>
        <xdr:cNvPr id="36" name="Chart 2"/>
        <xdr:cNvGraphicFramePr/>
      </xdr:nvGraphicFramePr>
      <xdr:xfrm>
        <a:off x="3595320" y="7639200"/>
        <a:ext cx="651996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11</xdr:col>
      <xdr:colOff>0</xdr:colOff>
      <xdr:row>1</xdr:row>
      <xdr:rowOff>371475</xdr:rowOff>
    </xdr:to>
    <xdr:grpSp>
      <xdr:nvGrpSpPr>
        <xdr:cNvPr id="150" name="Reiterleiste"/>
        <xdr:cNvGrpSpPr/>
      </xdr:nvGrpSpPr>
      <xdr:grpSpPr>
        <a:xfrm>
          <a:off x="295275" y="123825"/>
          <a:ext cx="12639675" cy="323850"/>
          <a:chOff x="295275" y="123825"/>
          <a:chExt cx="12639675" cy="323850"/>
        </a:xfrm>
      </xdr:grpSpPr>
      <xdr:sp macro="" textlink="">
        <xdr:nvSpPr>
          <xdr:cNvPr id="137" name="Marke">
            <a:hlinkClick r:id="rIdNav1" tooltip="Zur Startseite"/>
          </xdr:cNvPr>
          <xdr:cNvSpPr/>
        </xdr:nvSpPr>
        <xdr:spPr>
          <a:xfrm>
            <a:off x="295275" y="123825"/>
            <a:ext cx="143827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8" name="Reiter Start">
            <a:hlinkClick r:id="rIdNav2" tooltip="Startseite · Kaufstruktur wählen und Überblick"/>
          </xdr:cNvPr>
          <xdr:cNvSpPr/>
        </xdr:nvSpPr>
        <xdr:spPr>
          <a:xfrm>
            <a:off x="1885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39" name="Reiter Leitfaden">
            <a:hlinkClick r:id="rIdNav3" tooltip="Leitfaden · die Kalkulation in zwölf Schritten"/>
          </xdr:cNvPr>
          <xdr:cNvSpPr/>
        </xdr:nvSpPr>
        <xdr:spPr>
          <a:xfrm>
            <a:off x="28003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0" name="Reiter Dashboard">
            <a:hlinkClick r:id="rIdNav4" tooltip="Dashboard · Gesamtbewertung auf einen Blick"/>
          </xdr:cNvPr>
          <xdr:cNvSpPr/>
        </xdr:nvSpPr>
        <xdr:spPr>
          <a:xfrm>
            <a:off x="37528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1" name="Reiter Cockpit">
            <a:hlinkClick r:id="rIdNav5" tooltip="Cockpit · alle Kennzahlen im Detail"/>
          </xdr:cNvPr>
          <xdr:cNvSpPr/>
        </xdr:nvSpPr>
        <xdr:spPr>
          <a:xfrm>
            <a:off x="4667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2" name="Reiter Diagramme">
            <a:hlinkClick r:id="rIdNav6" tooltip="Diagramme · Investition, Cashflow, Vermögen, Steuern, Exit"/>
          </xdr:cNvPr>
          <xdr:cNvSpPr/>
        </xdr:nvSpPr>
        <xdr:spPr>
          <a:xfrm>
            <a:off x="5581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3" name="Reiter Eingaben">
            <a:hlinkClick r:id="rIdNav7" tooltip="Eingaben · alle Annahmen und Profi-Felder"/>
          </xdr:cNvPr>
          <xdr:cNvSpPr/>
        </xdr:nvSpPr>
        <xdr:spPr>
          <a:xfrm>
            <a:off x="65341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4" name="Reiter Projektion">
            <a:hlinkClick r:id="rIdNav8" tooltip="Projektion · Miete, Kosten, Cashflow und Vermögen über 40 Jahre"/>
          </xdr:cNvPr>
          <xdr:cNvSpPr/>
        </xdr:nvSpPr>
        <xdr:spPr>
          <a:xfrm>
            <a:off x="7448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5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362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6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2773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7" name="Reiter Sensitivität">
            <a:hlinkClick r:id="rIdNav11" tooltip="Sensitivität · Break-even, Miete × Zins, IRR-Matrix"/>
          </xdr:cNvPr>
          <xdr:cNvSpPr/>
        </xdr:nvSpPr>
        <xdr:spPr>
          <a:xfrm>
            <a:off x="101917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8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11144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49" name="Reiter Anhang">
            <a:hlinkClick r:id="rIdNav13" tooltip="Anhang · Hinweise und Konfiguration"/>
          </xdr:cNvPr>
          <xdr:cNvSpPr/>
        </xdr:nvSpPr>
        <xdr:spPr>
          <a:xfrm>
            <a:off x="12058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9525</xdr:rowOff>
    </xdr:to>
    <xdr:grpSp>
      <xdr:nvGrpSpPr>
        <xdr:cNvPr id="155" name="Unterreiter"/>
        <xdr:cNvGrpSpPr/>
      </xdr:nvGrpSpPr>
      <xdr:grpSpPr>
        <a:xfrm>
          <a:off x="9734550" y="685800"/>
          <a:ext cx="3200400" cy="209550"/>
          <a:chOff x="9734550" y="685800"/>
          <a:chExt cx="3200400" cy="209550"/>
        </a:xfrm>
      </xdr:grpSpPr>
      <xdr:sp macro="" textlink="">
        <xdr:nvSpPr>
          <xdr:cNvPr id="154" name="Unterreiter Rahmen"/>
          <xdr:cNvSpPr/>
        </xdr:nvSpPr>
        <xdr:spPr>
          <a:xfrm>
            <a:off x="9734550" y="685800"/>
            <a:ext cx="32004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1" name="Unterreiter Bankgespräch">
            <a:hlinkClick r:id="rIdNav14" tooltip="Bankgespräch (aktuelle Seite)"/>
          </xdr:cNvPr>
          <xdr:cNvSpPr/>
        </xdr:nvSpPr>
        <xdr:spPr>
          <a:xfrm>
            <a:off x="9934575" y="685800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2" name="Unterreiter Haushaltsrechnung">
            <a:hlinkClick r:id="rIdNav15" tooltip="Haushaltsrechnung öffnen"/>
          </xdr:cNvPr>
          <xdr:cNvSpPr/>
        </xdr:nvSpPr>
        <xdr:spPr>
          <a:xfrm>
            <a:off x="10753725" y="6858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3" name="Unterreiter Vermögensaufstellung">
            <a:hlinkClick r:id="rIdNav16" tooltip="Vermögensaufstellung öffnen"/>
          </xdr:cNvPr>
          <xdr:cNvSpPr/>
        </xdr:nvSpPr>
        <xdr:spPr>
          <a:xfrm>
            <a:off x="11801475" y="685800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12</xdr:col>
      <xdr:colOff>845640</xdr:colOff>
      <xdr:row>26</xdr:row>
      <xdr:rowOff>228240</xdr:rowOff>
    </xdr:to>
    <xdr:graphicFrame>
      <xdr:nvGraphicFramePr>
        <xdr:cNvPr id="37" name="Chart 1"/>
        <xdr:cNvGraphicFramePr/>
      </xdr:nvGraphicFramePr>
      <xdr:xfrm>
        <a:off x="8987040" y="1847880"/>
        <a:ext cx="5215680" cy="436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13</xdr:col>
      <xdr:colOff>0</xdr:colOff>
      <xdr:row>1</xdr:row>
      <xdr:rowOff>371475</xdr:rowOff>
    </xdr:to>
    <xdr:grpSp>
      <xdr:nvGrpSpPr>
        <xdr:cNvPr id="151" name="Reiterleiste"/>
        <xdr:cNvGrpSpPr/>
      </xdr:nvGrpSpPr>
      <xdr:grpSpPr>
        <a:xfrm>
          <a:off x="295275" y="123825"/>
          <a:ext cx="13134975" cy="323850"/>
          <a:chOff x="295275" y="123825"/>
          <a:chExt cx="13134975" cy="323850"/>
        </a:xfrm>
      </xdr:grpSpPr>
      <xdr:sp macro="" textlink="">
        <xdr:nvSpPr>
          <xdr:cNvPr id="138" name="Marke">
            <a:hlinkClick r:id="rIdNav1" tooltip="Zur Startseite"/>
          </xdr:cNvPr>
          <xdr:cNvSpPr/>
        </xdr:nvSpPr>
        <xdr:spPr>
          <a:xfrm>
            <a:off x="295275" y="123825"/>
            <a:ext cx="193357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39" name="Reiter Start">
            <a:hlinkClick r:id="rIdNav2" tooltip="Startseite · Kaufstruktur wählen und Überblick"/>
          </xdr:cNvPr>
          <xdr:cNvSpPr/>
        </xdr:nvSpPr>
        <xdr:spPr>
          <a:xfrm>
            <a:off x="2381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0" name="Reiter Leitfaden">
            <a:hlinkClick r:id="rIdNav3" tooltip="Leitfaden · die Kalkulation in zwölf Schritten"/>
          </xdr:cNvPr>
          <xdr:cNvSpPr/>
        </xdr:nvSpPr>
        <xdr:spPr>
          <a:xfrm>
            <a:off x="3295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1" name="Reiter Dashboard">
            <a:hlinkClick r:id="rIdNav4" tooltip="Dashboard · Gesamtbewertung auf einen Blick"/>
          </xdr:cNvPr>
          <xdr:cNvSpPr/>
        </xdr:nvSpPr>
        <xdr:spPr>
          <a:xfrm>
            <a:off x="42481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2" name="Reiter Cockpit">
            <a:hlinkClick r:id="rIdNav5" tooltip="Cockpit · alle Kennzahlen im Detail"/>
          </xdr:cNvPr>
          <xdr:cNvSpPr/>
        </xdr:nvSpPr>
        <xdr:spPr>
          <a:xfrm>
            <a:off x="5162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3" name="Reiter Diagramme">
            <a:hlinkClick r:id="rIdNav6" tooltip="Diagramme · Investition, Cashflow, Vermögen, Steuern, Exit"/>
          </xdr:cNvPr>
          <xdr:cNvSpPr/>
        </xdr:nvSpPr>
        <xdr:spPr>
          <a:xfrm>
            <a:off x="6076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4" name="Reiter Eingaben">
            <a:hlinkClick r:id="rIdNav7" tooltip="Eingaben · alle Annahmen und Profi-Felder"/>
          </xdr:cNvPr>
          <xdr:cNvSpPr/>
        </xdr:nvSpPr>
        <xdr:spPr>
          <a:xfrm>
            <a:off x="70294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5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438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6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58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7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772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8" name="Reiter Sensitivität">
            <a:hlinkClick r:id="rIdNav11" tooltip="Sensitivität · Break-even, Miete × Zins, IRR-Matrix"/>
          </xdr:cNvPr>
          <xdr:cNvSpPr/>
        </xdr:nvSpPr>
        <xdr:spPr>
          <a:xfrm>
            <a:off x="106870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49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11639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0" name="Reiter Anhang">
            <a:hlinkClick r:id="rIdNav13" tooltip="Anhang · Hinweise und Konfiguration"/>
          </xdr:cNvPr>
          <xdr:cNvSpPr/>
        </xdr:nvSpPr>
        <xdr:spPr>
          <a:xfrm>
            <a:off x="12553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8</xdr:col>
      <xdr:colOff>0</xdr:colOff>
      <xdr:row>4</xdr:row>
      <xdr:rowOff>0</xdr:rowOff>
    </xdr:from>
    <xdr:to>
      <xdr:col>13</xdr:col>
      <xdr:colOff>0</xdr:colOff>
      <xdr:row>5</xdr:row>
      <xdr:rowOff>9525</xdr:rowOff>
    </xdr:to>
    <xdr:grpSp>
      <xdr:nvGrpSpPr>
        <xdr:cNvPr id="156" name="Unterreiter"/>
        <xdr:cNvGrpSpPr/>
      </xdr:nvGrpSpPr>
      <xdr:grpSpPr>
        <a:xfrm>
          <a:off x="10096500" y="685800"/>
          <a:ext cx="3333750" cy="209550"/>
          <a:chOff x="10096500" y="685800"/>
          <a:chExt cx="3333750" cy="209550"/>
        </a:xfrm>
      </xdr:grpSpPr>
      <xdr:sp macro="" textlink="">
        <xdr:nvSpPr>
          <xdr:cNvPr id="155" name="Unterreiter Rahmen"/>
          <xdr:cNvSpPr/>
        </xdr:nvSpPr>
        <xdr:spPr>
          <a:xfrm>
            <a:off x="10096500" y="685800"/>
            <a:ext cx="33337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2" name="Unterreiter Bankgespräch">
            <a:hlinkClick r:id="rIdNav14" tooltip="Bankgespräch öffnen"/>
          </xdr:cNvPr>
          <xdr:cNvSpPr/>
        </xdr:nvSpPr>
        <xdr:spPr>
          <a:xfrm>
            <a:off x="10429875" y="685800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3" name="Unterreiter Haushaltsrechnung">
            <a:hlinkClick r:id="rIdNav15" tooltip="Haushaltsrechnung (aktuelle Seite)"/>
          </xdr:cNvPr>
          <xdr:cNvSpPr/>
        </xdr:nvSpPr>
        <xdr:spPr>
          <a:xfrm>
            <a:off x="11249025" y="6858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4" name="Unterreiter Vermögensaufstellung">
            <a:hlinkClick r:id="rIdNav16" tooltip="Vermögensaufstellung öffnen"/>
          </xdr:cNvPr>
          <xdr:cNvSpPr/>
        </xdr:nvSpPr>
        <xdr:spPr>
          <a:xfrm>
            <a:off x="12296775" y="685800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12</xdr:col>
      <xdr:colOff>845640</xdr:colOff>
      <xdr:row>18</xdr:row>
      <xdr:rowOff>228240</xdr:rowOff>
    </xdr:to>
    <xdr:graphicFrame>
      <xdr:nvGraphicFramePr>
        <xdr:cNvPr id="38" name="Chart 1"/>
        <xdr:cNvGraphicFramePr/>
      </xdr:nvGraphicFramePr>
      <xdr:xfrm>
        <a:off x="8987040" y="1847880"/>
        <a:ext cx="5215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47625</xdr:rowOff>
    </xdr:from>
    <xdr:to>
      <xdr:col>13</xdr:col>
      <xdr:colOff>0</xdr:colOff>
      <xdr:row>1</xdr:row>
      <xdr:rowOff>371475</xdr:rowOff>
    </xdr:to>
    <xdr:grpSp>
      <xdr:nvGrpSpPr>
        <xdr:cNvPr id="152" name="Reiterleiste"/>
        <xdr:cNvGrpSpPr/>
      </xdr:nvGrpSpPr>
      <xdr:grpSpPr>
        <a:xfrm>
          <a:off x="295275" y="123825"/>
          <a:ext cx="13134975" cy="323850"/>
          <a:chOff x="295275" y="123825"/>
          <a:chExt cx="13134975" cy="323850"/>
        </a:xfrm>
      </xdr:grpSpPr>
      <xdr:sp macro="" textlink="">
        <xdr:nvSpPr>
          <xdr:cNvPr id="139" name="Marke">
            <a:hlinkClick r:id="rIdNav1" tooltip="Zur Startseite"/>
          </xdr:cNvPr>
          <xdr:cNvSpPr/>
        </xdr:nvSpPr>
        <xdr:spPr>
          <a:xfrm>
            <a:off x="295275" y="123825"/>
            <a:ext cx="193357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40" name="Reiter Start">
            <a:hlinkClick r:id="rIdNav2" tooltip="Startseite · Kaufstruktur wählen und Überblick"/>
          </xdr:cNvPr>
          <xdr:cNvSpPr/>
        </xdr:nvSpPr>
        <xdr:spPr>
          <a:xfrm>
            <a:off x="2381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41" name="Reiter Leitfaden">
            <a:hlinkClick r:id="rIdNav3" tooltip="Leitfaden · die Kalkulation in zwölf Schritten"/>
          </xdr:cNvPr>
          <xdr:cNvSpPr/>
        </xdr:nvSpPr>
        <xdr:spPr>
          <a:xfrm>
            <a:off x="3295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42" name="Reiter Dashboard">
            <a:hlinkClick r:id="rIdNav4" tooltip="Dashboard · Gesamtbewertung auf einen Blick"/>
          </xdr:cNvPr>
          <xdr:cNvSpPr/>
        </xdr:nvSpPr>
        <xdr:spPr>
          <a:xfrm>
            <a:off x="42481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43" name="Reiter Cockpit">
            <a:hlinkClick r:id="rIdNav5" tooltip="Cockpit · alle Kennzahlen im Detail"/>
          </xdr:cNvPr>
          <xdr:cNvSpPr/>
        </xdr:nvSpPr>
        <xdr:spPr>
          <a:xfrm>
            <a:off x="5162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44" name="Reiter Diagramme">
            <a:hlinkClick r:id="rIdNav6" tooltip="Diagramme · Investition, Cashflow, Vermögen, Steuern, Exit"/>
          </xdr:cNvPr>
          <xdr:cNvSpPr/>
        </xdr:nvSpPr>
        <xdr:spPr>
          <a:xfrm>
            <a:off x="6076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45" name="Reiter Eingaben">
            <a:hlinkClick r:id="rIdNav7" tooltip="Eingaben · alle Annahmen und Profi-Felder"/>
          </xdr:cNvPr>
          <xdr:cNvSpPr/>
        </xdr:nvSpPr>
        <xdr:spPr>
          <a:xfrm>
            <a:off x="70294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46" name="Reiter Projektion">
            <a:hlinkClick r:id="rIdNav8" tooltip="Projektion · Miete, Kosten, Cashflow und Vermögen über 40 Jahre"/>
          </xdr:cNvPr>
          <xdr:cNvSpPr/>
        </xdr:nvSpPr>
        <xdr:spPr>
          <a:xfrm>
            <a:off x="79438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47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582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48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7726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49" name="Reiter Sensitivität">
            <a:hlinkClick r:id="rIdNav11" tooltip="Sensitivität · Break-even, Miete × Zins, IRR-Matrix"/>
          </xdr:cNvPr>
          <xdr:cNvSpPr/>
        </xdr:nvSpPr>
        <xdr:spPr>
          <a:xfrm>
            <a:off x="106870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50" name="Reiter Bank">
            <a:hlinkClick r:id="rIdNav12" tooltip="Bank · Investitionsübersicht, Haushaltsrechnung, Vermögensaufstellung (aktueller Bereich)"/>
          </xdr:cNvPr>
          <xdr:cNvSpPr/>
        </xdr:nvSpPr>
        <xdr:spPr>
          <a:xfrm>
            <a:off x="116395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51" name="Reiter Anhang">
            <a:hlinkClick r:id="rIdNav13" tooltip="Anhang · Hinweise und Konfiguration"/>
          </xdr:cNvPr>
          <xdr:cNvSpPr/>
        </xdr:nvSpPr>
        <xdr:spPr>
          <a:xfrm>
            <a:off x="1255395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8</xdr:col>
      <xdr:colOff>0</xdr:colOff>
      <xdr:row>4</xdr:row>
      <xdr:rowOff>0</xdr:rowOff>
    </xdr:from>
    <xdr:to>
      <xdr:col>13</xdr:col>
      <xdr:colOff>0</xdr:colOff>
      <xdr:row>5</xdr:row>
      <xdr:rowOff>9525</xdr:rowOff>
    </xdr:to>
    <xdr:grpSp>
      <xdr:nvGrpSpPr>
        <xdr:cNvPr id="157" name="Unterreiter"/>
        <xdr:cNvGrpSpPr/>
      </xdr:nvGrpSpPr>
      <xdr:grpSpPr>
        <a:xfrm>
          <a:off x="10096500" y="685800"/>
          <a:ext cx="3333750" cy="209550"/>
          <a:chOff x="10096500" y="685800"/>
          <a:chExt cx="3333750" cy="209550"/>
        </a:xfrm>
      </xdr:grpSpPr>
      <xdr:sp macro="" textlink="">
        <xdr:nvSpPr>
          <xdr:cNvPr id="156" name="Unterreiter Rahmen"/>
          <xdr:cNvSpPr/>
        </xdr:nvSpPr>
        <xdr:spPr>
          <a:xfrm>
            <a:off x="10096500" y="685800"/>
            <a:ext cx="33337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53" name="Unterreiter Bankgespräch">
            <a:hlinkClick r:id="rIdNav14" tooltip="Bankgespräch öffnen"/>
          </xdr:cNvPr>
          <xdr:cNvSpPr/>
        </xdr:nvSpPr>
        <xdr:spPr>
          <a:xfrm>
            <a:off x="10429875" y="685800"/>
            <a:ext cx="7810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Bankgespräch</a:t>
            </a:r>
          </a:p>
        </xdr:txBody>
      </xdr:sp>
      <xdr:sp macro="" textlink="">
        <xdr:nvSpPr>
          <xdr:cNvPr id="154" name="Unterreiter Haushaltsrechnung">
            <a:hlinkClick r:id="rIdNav15" tooltip="Haushaltsrechnung öffnen"/>
          </xdr:cNvPr>
          <xdr:cNvSpPr/>
        </xdr:nvSpPr>
        <xdr:spPr>
          <a:xfrm>
            <a:off x="11249025" y="6858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Haushaltsrechnung</a:t>
            </a:r>
          </a:p>
        </xdr:txBody>
      </xdr:sp>
      <xdr:sp macro="" textlink="">
        <xdr:nvSpPr>
          <xdr:cNvPr id="155" name="Unterreiter Vermögensaufstellung">
            <a:hlinkClick r:id="rIdNav16" tooltip="Vermögensaufstellung (aktuelle Seite)"/>
          </xdr:cNvPr>
          <xdr:cNvSpPr/>
        </xdr:nvSpPr>
        <xdr:spPr>
          <a:xfrm>
            <a:off x="12296775" y="685800"/>
            <a:ext cx="113347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Vermögensaufstellung</a:t>
            </a:r>
          </a:p>
        </xdr:txBody>
      </xdr:sp>
    </xdr:grp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5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0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16" name="Schritt 01">
            <a:hlinkClick r:id="rIdNav14" tooltip="Schritt 01 · Objekt (aktuelle Seite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17" name="Schritt 01 aktiv"/>
          <xdr:cNvSpPr/>
        </xdr:nvSpPr>
        <xdr:spPr>
          <a:xfrm>
            <a:off x="29527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18" name="Schritt 02">
            <a:hlinkClick r:id="rIdNav15" tooltip="Schritt 02 · Kaufpreis &amp; Miete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19" name="Schritt 03">
            <a:hlinkClick r:id="rIdNav16" tooltip="Schritt 03 · Kaufnebenkosten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0" name="Schritt 04">
            <a:hlinkClick r:id="rIdNav17" tooltip="Schritt 04 · Kaufpreisaufteilung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1" name="Schritt 05">
            <a:hlinkClick r:id="rIdNav18" tooltip="Schritt 05 · Maßnahmen &amp; Reserve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2" name="Schritt 06">
            <a:hlinkClick r:id="rIdNav19" tooltip="Schritt 06 · Bewirtschaftung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3" name="Schritt 07">
            <a:hlinkClick r:id="rIdNav20" tooltip="Schritt 07 · Finanzierung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4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25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6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27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28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29" name="Weiter">
            <a:hlinkClick r:id="rIdNav26" tooltip="Weiter zu Schritt 02 · Kaufpreis &amp; Miete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02 · Kaufpreis &amp; Miete</a:t>
            </a:r>
          </a:p>
        </xdr:txBody>
      </xdr:sp>
    </xdr:grp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1</xdr:row>
      <xdr:rowOff>47625</xdr:rowOff>
    </xdr:from>
    <xdr:to>
      <xdr:col>9</xdr:col>
      <xdr:colOff>0</xdr:colOff>
      <xdr:row>1</xdr:row>
      <xdr:rowOff>371475</xdr:rowOff>
    </xdr:to>
    <xdr:grpSp>
      <xdr:nvGrpSpPr>
        <xdr:cNvPr id="115" name="Reiterleiste"/>
        <xdr:cNvGrpSpPr/>
      </xdr:nvGrpSpPr>
      <xdr:grpSpPr>
        <a:xfrm>
          <a:off x="295275" y="123825"/>
          <a:ext cx="13201650" cy="323850"/>
          <a:chOff x="295275" y="123825"/>
          <a:chExt cx="13201650" cy="323850"/>
        </a:xfrm>
      </xdr:grpSpPr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20002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2447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 (aktueller Bereich)"/>
          </xdr:cNvPr>
          <xdr:cNvSpPr/>
        </xdr:nvSpPr>
        <xdr:spPr>
          <a:xfrm>
            <a:off x="3362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4314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5229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614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"/>
          </xdr:cNvPr>
          <xdr:cNvSpPr/>
        </xdr:nvSpPr>
        <xdr:spPr>
          <a:xfrm>
            <a:off x="70961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801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92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83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107537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70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"/>
          </xdr:cNvPr>
          <xdr:cNvSpPr/>
        </xdr:nvSpPr>
        <xdr:spPr>
          <a:xfrm>
            <a:off x="1262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2</xdr:col>
      <xdr:colOff>0</xdr:colOff>
      <xdr:row>7</xdr:row>
      <xdr:rowOff>19050</xdr:rowOff>
    </xdr:from>
    <xdr:to>
      <xdr:col>9</xdr:col>
      <xdr:colOff>0</xdr:colOff>
      <xdr:row>7</xdr:row>
      <xdr:rowOff>371475</xdr:rowOff>
    </xdr:to>
    <xdr:grpSp>
      <xdr:nvGrpSpPr>
        <xdr:cNvPr id="130" name="Schritt-Leiste"/>
        <xdr:cNvGrpSpPr/>
      </xdr:nvGrpSpPr>
      <xdr:grpSpPr>
        <a:xfrm>
          <a:off x="295275" y="1600200"/>
          <a:ext cx="13201650" cy="352425"/>
          <a:chOff x="295275" y="1600200"/>
          <a:chExt cx="13201650" cy="352425"/>
        </a:xfrm>
      </xdr:grpSpPr>
      <xdr:sp macro="" textlink="">
        <xdr:nvSpPr>
          <xdr:cNvPr id="116" name="Schritt 01">
            <a:hlinkClick r:id="rIdNav14" tooltip="Schritt 01 · Objekt (bereits durchlaufen)"/>
          </xdr:cNvPr>
          <xdr:cNvSpPr/>
        </xdr:nvSpPr>
        <xdr:spPr>
          <a:xfrm>
            <a:off x="2952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DCE7F4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1D4F8A"/>
                </a:solidFill>
                <a:latin typeface="Calibri"/>
                <a:cs typeface="Calibri"/>
              </a:rPr>
              <a:t>01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Objekt</a:t>
            </a:r>
          </a:p>
        </xdr:txBody>
      </xdr:sp>
      <xdr:sp macro="" textlink="">
        <xdr:nvSpPr>
          <xdr:cNvPr id="117" name="Schritt 02">
            <a:hlinkClick r:id="rIdNav15" tooltip="Schritt 02 · Kaufpreis &amp; Miete (aktuelle Seite)"/>
          </xdr:cNvPr>
          <xdr:cNvSpPr/>
        </xdr:nvSpPr>
        <xdr:spPr>
          <a:xfrm>
            <a:off x="10382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0B2A4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9CBBE2"/>
                </a:solidFill>
                <a:latin typeface="Calibri"/>
                <a:cs typeface="Calibri"/>
              </a:rPr>
              <a:t>02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FFFFFF"/>
                </a:solidFill>
                <a:latin typeface="Calibri"/>
                <a:cs typeface="Calibri"/>
              </a:rPr>
              <a:t>Kaufpreis</a:t>
            </a:r>
          </a:p>
        </xdr:txBody>
      </xdr:sp>
      <xdr:sp macro="" textlink="">
        <xdr:nvSpPr>
          <xdr:cNvPr id="118" name="Schritt 02 aktiv"/>
          <xdr:cNvSpPr/>
        </xdr:nvSpPr>
        <xdr:spPr>
          <a:xfrm>
            <a:off x="1038225" y="1924050"/>
            <a:ext cx="704850" cy="28575"/>
          </a:xfrm>
          <a:prstGeom prst="rect">
            <a:avLst/>
          </a:prstGeom>
          <a:solidFill>
            <a:srgbClr val="4A86C8"/>
          </a:solidFill>
          <a:ln>
            <a:noFill/>
          </a:ln>
        </xdr:spPr>
      </xdr:sp>
      <xdr:sp macro="" textlink="">
        <xdr:nvSpPr>
          <xdr:cNvPr id="119" name="Schritt 03">
            <a:hlinkClick r:id="rIdNav16" tooltip="Schritt 03 · Kaufnebenkosten"/>
          </xdr:cNvPr>
          <xdr:cNvSpPr/>
        </xdr:nvSpPr>
        <xdr:spPr>
          <a:xfrm>
            <a:off x="17811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03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Nebenkosten</a:t>
            </a:r>
          </a:p>
        </xdr:txBody>
      </xdr:sp>
      <xdr:sp macro="" textlink="">
        <xdr:nvSpPr>
          <xdr:cNvPr id="120" name="Schritt 04">
            <a:hlinkClick r:id="rIdNav17" tooltip="Schritt 04 · Kaufpreisaufteilung"/>
          </xdr:cNvPr>
          <xdr:cNvSpPr/>
        </xdr:nvSpPr>
        <xdr:spPr>
          <a:xfrm>
            <a:off x="25241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04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Aufteilung</a:t>
            </a:r>
          </a:p>
        </xdr:txBody>
      </xdr:sp>
      <xdr:sp macro="" textlink="">
        <xdr:nvSpPr>
          <xdr:cNvPr id="121" name="Schritt 05">
            <a:hlinkClick r:id="rIdNav18" tooltip="Schritt 05 · Maßnahmen &amp; Reserve"/>
          </xdr:cNvPr>
          <xdr:cNvSpPr/>
        </xdr:nvSpPr>
        <xdr:spPr>
          <a:xfrm>
            <a:off x="32670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05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Maßnahmen</a:t>
            </a:r>
          </a:p>
        </xdr:txBody>
      </xdr:sp>
      <xdr:sp macro="" textlink="">
        <xdr:nvSpPr>
          <xdr:cNvPr id="122" name="Schritt 06">
            <a:hlinkClick r:id="rIdNav19" tooltip="Schritt 06 · Bewirtschaftung"/>
          </xdr:cNvPr>
          <xdr:cNvSpPr/>
        </xdr:nvSpPr>
        <xdr:spPr>
          <a:xfrm>
            <a:off x="401002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06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Kosten</a:t>
            </a:r>
          </a:p>
        </xdr:txBody>
      </xdr:sp>
      <xdr:sp macro="" textlink="">
        <xdr:nvSpPr>
          <xdr:cNvPr id="123" name="Schritt 07">
            <a:hlinkClick r:id="rIdNav20" tooltip="Schritt 07 · Finanzierung"/>
          </xdr:cNvPr>
          <xdr:cNvSpPr/>
        </xdr:nvSpPr>
        <xdr:spPr>
          <a:xfrm>
            <a:off x="4752975" y="1600200"/>
            <a:ext cx="704850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07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Finanzierung</a:t>
            </a:r>
          </a:p>
        </xdr:txBody>
      </xdr:sp>
      <xdr:sp macro="" textlink="">
        <xdr:nvSpPr>
          <xdr:cNvPr id="124" name="Schritt 08">
            <a:hlinkClick r:id="rIdNav21" tooltip="Schritt 08 · Zwischenergebnis"/>
          </xdr:cNvPr>
          <xdr:cNvSpPr/>
        </xdr:nvSpPr>
        <xdr:spPr>
          <a:xfrm>
            <a:off x="54959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08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Zwischenstand</a:t>
            </a:r>
          </a:p>
        </xdr:txBody>
      </xdr:sp>
      <xdr:sp macro="" textlink="">
        <xdr:nvSpPr>
          <xdr:cNvPr id="125" name="Schritt 09">
            <a:hlinkClick r:id="rIdNav22" tooltip="Schritt 09 · Steuern"/>
          </xdr:cNvPr>
          <xdr:cNvSpPr/>
        </xdr:nvSpPr>
        <xdr:spPr>
          <a:xfrm>
            <a:off x="622935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09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Steuern</a:t>
            </a:r>
          </a:p>
        </xdr:txBody>
      </xdr:sp>
      <xdr:sp macro="" textlink="">
        <xdr:nvSpPr>
          <xdr:cNvPr id="126" name="Schritt 10">
            <a:hlinkClick r:id="rIdNav23" tooltip="Schritt 10 · Abschreibung"/>
          </xdr:cNvPr>
          <xdr:cNvSpPr/>
        </xdr:nvSpPr>
        <xdr:spPr>
          <a:xfrm>
            <a:off x="696277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10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Abschreibung</a:t>
            </a:r>
          </a:p>
        </xdr:txBody>
      </xdr:sp>
      <xdr:sp macro="" textlink="">
        <xdr:nvSpPr>
          <xdr:cNvPr id="127" name="Schritt 11">
            <a:hlinkClick r:id="rIdNav24" tooltip="Schritt 11 · Prognose &amp; Exit"/>
          </xdr:cNvPr>
          <xdr:cNvSpPr/>
        </xdr:nvSpPr>
        <xdr:spPr>
          <a:xfrm>
            <a:off x="7696200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11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Prognose</a:t>
            </a:r>
          </a:p>
        </xdr:txBody>
      </xdr:sp>
      <xdr:sp macro="" textlink="">
        <xdr:nvSpPr>
          <xdr:cNvPr id="128" name="Schritt 12">
            <a:hlinkClick r:id="rIdNav25" tooltip="Schritt 12 · Ergebnis"/>
          </xdr:cNvPr>
          <xdr:cNvSpPr/>
        </xdr:nvSpPr>
        <xdr:spPr>
          <a:xfrm>
            <a:off x="8429625" y="1600200"/>
            <a:ext cx="695325" cy="304800"/>
          </a:xfrm>
          <a:prstGeom prst="roundRect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D5DEEA"/>
            </a:solidFill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5000"/>
              </a:lnSpc>
            </a:pPr>
            <a:r>
              <a:rPr lang="de-DE" sz="800" b="1" dirty="0">
                <a:solidFill>
                  <a:srgbClr val="5B6068"/>
                </a:solidFill>
                <a:latin typeface="Calibri"/>
                <a:cs typeface="Calibri"/>
              </a:rPr>
              <a:t>12</a:t>
            </a:r>
          </a:p>
          <a:p>
            <a:pPr algn="ctr">
              <a:lnSpc>
                <a:spcPct val="95000"/>
              </a:lnSpc>
            </a:pPr>
            <a:r>
              <a:rPr lang="de-DE" sz="800" b="0" dirty="0">
                <a:solidFill>
                  <a:srgbClr val="5B6068"/>
                </a:solidFill>
                <a:latin typeface="Calibri"/>
                <a:cs typeface="Calibri"/>
              </a:rPr>
              <a:t>Ergebnis</a:t>
            </a:r>
          </a:p>
        </xdr:txBody>
      </xdr:sp>
      <xdr:sp macro="" textlink="">
        <xdr:nvSpPr>
          <xdr:cNvPr id="129" name="Weiter">
            <a:hlinkClick r:id="rIdNav26" tooltip="Weiter zu Schritt 03 · Kaufnebenkosten"/>
          </xdr:cNvPr>
          <xdr:cNvSpPr/>
        </xdr:nvSpPr>
        <xdr:spPr>
          <a:xfrm>
            <a:off x="9163050" y="1600200"/>
            <a:ext cx="4333875" cy="304800"/>
          </a:xfrm>
          <a:prstGeom prst="roundRect">
            <a:avLst>
              <a:gd name="adj" fmla="val 12500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38100" tIns="0" rIns="38100" bIns="0" rtlCol="0" anchor="ctr">
            <a:noAutofit/>
          </a:bodyPr>
          <a:lstStyle/>
          <a:p>
            <a:pPr algn="ctr">
              <a:lnSpc>
                <a:spcPct val="90000"/>
              </a:lnSpc>
            </a:pPr>
            <a:r>
              <a:rPr lang="de-DE" sz="900" b="1" spc="40" dirty="0">
                <a:solidFill>
                  <a:srgbClr val="FFFFFF"/>
                </a:solidFill>
                <a:latin typeface="Calibri"/>
                <a:cs typeface="Calibri"/>
              </a:rPr>
              <a:t>WEITER  ›</a:t>
            </a:r>
          </a:p>
          <a:p>
            <a:pPr algn="ctr">
              <a:lnSpc>
                <a:spcPct val="90000"/>
              </a:lnSpc>
            </a:pPr>
            <a:r>
              <a:rPr lang="de-DE" sz="800" b="0" dirty="0">
                <a:solidFill>
                  <a:srgbClr val="E7EEF7"/>
                </a:solidFill>
                <a:latin typeface="Calibri"/>
                <a:cs typeface="Calibri"/>
              </a:rPr>
              <a:t>Schritt 03 · Kaufnebenkosten</a:t>
            </a:r>
          </a:p>
        </xdr:txBody>
      </xdr:sp>
    </xdr:grp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12</xdr:col>
      <xdr:colOff>0</xdr:colOff>
      <xdr:row>1</xdr:row>
      <xdr:rowOff>371475</xdr:rowOff>
    </xdr:to>
    <xdr:grpSp>
      <xdr:nvGrpSpPr>
        <xdr:cNvPr id="115" name="Reiterleiste"/>
        <xdr:cNvGrpSpPr/>
      </xdr:nvGrpSpPr>
      <xdr:grpSpPr>
        <a:xfrm>
          <a:off x="295275" y="123825"/>
          <a:ext cx="12734925" cy="323850"/>
          <a:chOff x="295275" y="123825"/>
          <a:chExt cx="12734925" cy="323850"/>
        </a:xfrm>
      </xdr:grpSpPr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15335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19812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28956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38481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47625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56769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 (aktueller Bereich)"/>
          </xdr:cNvPr>
          <xdr:cNvSpPr/>
        </xdr:nvSpPr>
        <xdr:spPr>
          <a:xfrm>
            <a:off x="66294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75438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4582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3726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102870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2395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"/>
          </xdr:cNvPr>
          <xdr:cNvSpPr/>
        </xdr:nvSpPr>
        <xdr:spPr>
          <a:xfrm>
            <a:off x="121539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</xdr:col>
      <xdr:colOff>0</xdr:colOff>
      <xdr:row>7</xdr:row>
      <xdr:rowOff>85725</xdr:rowOff>
    </xdr:from>
    <xdr:to>
      <xdr:col>7</xdr:col>
      <xdr:colOff>0</xdr:colOff>
      <xdr:row>7</xdr:row>
      <xdr:rowOff>295275</xdr:rowOff>
    </xdr:to>
    <xdr:grpSp>
      <xdr:nvGrpSpPr>
        <xdr:cNvPr id="127" name="Sprungleiste"/>
        <xdr:cNvGrpSpPr/>
      </xdr:nvGrpSpPr>
      <xdr:grpSpPr>
        <a:xfrm>
          <a:off x="295275" y="1600200"/>
          <a:ext cx="8420100" cy="209550"/>
          <a:chOff x="295275" y="1600200"/>
          <a:chExt cx="8420100" cy="209550"/>
        </a:xfrm>
      </xdr:grpSpPr>
      <xdr:sp macro="" textlink="">
        <xdr:nvSpPr>
          <xdr:cNvPr id="126" name="Sprungleiste Rahmen"/>
          <xdr:cNvSpPr/>
        </xdr:nvSpPr>
        <xdr:spPr>
          <a:xfrm>
            <a:off x="295275" y="1600200"/>
            <a:ext cx="84201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6" name="Sprungleiste Titel"/>
          <xdr:cNvSpPr/>
        </xdr:nvSpPr>
        <xdr:spPr>
          <a:xfrm>
            <a:off x="295275" y="1600200"/>
            <a:ext cx="685800" cy="209550"/>
          </a:xfrm>
          <a:prstGeom prst="roundRect">
            <a:avLst>
              <a:gd name="adj" fmla="val 18181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/>
            <a:r>
              <a:rPr lang="de-DE" sz="800" b="1" spc="40" dirty="0">
                <a:solidFill>
                  <a:srgbClr val="5B6068"/>
                </a:solidFill>
                <a:latin typeface="Calibri"/>
                <a:cs typeface="Calibri"/>
              </a:rPr>
              <a:t>SPRINGEN ZU</a:t>
            </a:r>
          </a:p>
        </xdr:txBody>
      </xdr:sp>
      <xdr:sp macro="" textlink="">
        <xdr:nvSpPr>
          <xdr:cNvPr id="117" name="Sprung 1 Objekt">
            <a:hlinkClick r:id="rIdNav14" tooltip="Springen zu Abschnitt: Objekt und Kaufpreis"/>
          </xdr:cNvPr>
          <xdr:cNvSpPr/>
        </xdr:nvSpPr>
        <xdr:spPr>
          <a:xfrm>
            <a:off x="981075" y="1600200"/>
            <a:ext cx="5524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1 Objekt</a:t>
            </a:r>
          </a:p>
        </xdr:txBody>
      </xdr:sp>
      <xdr:sp macro="" textlink="">
        <xdr:nvSpPr>
          <xdr:cNvPr id="118" name="Sprung 2 Kaufnebenkosten">
            <a:hlinkClick r:id="rIdNav15" tooltip="Springen zu Abschnitt: Kaufnebenkosten"/>
          </xdr:cNvPr>
          <xdr:cNvSpPr/>
        </xdr:nvSpPr>
        <xdr:spPr>
          <a:xfrm>
            <a:off x="1571625" y="16002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2 Kaufnebenkosten</a:t>
            </a:r>
          </a:p>
        </xdr:txBody>
      </xdr:sp>
      <xdr:sp macro="" textlink="">
        <xdr:nvSpPr>
          <xdr:cNvPr id="119" name="Sprung 3 Finanzierungs-NK">
            <a:hlinkClick r:id="rIdNav16" tooltip="Springen zu Abschnitt: Finanzierungsnebenkosten"/>
          </xdr:cNvPr>
          <xdr:cNvSpPr/>
        </xdr:nvSpPr>
        <xdr:spPr>
          <a:xfrm>
            <a:off x="2619375" y="1600200"/>
            <a:ext cx="10096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3 Finanzierungs-NK</a:t>
            </a:r>
          </a:p>
        </xdr:txBody>
      </xdr:sp>
      <xdr:sp macro="" textlink="">
        <xdr:nvSpPr>
          <xdr:cNvPr id="120" name="Sprung 4 Aufteilung">
            <a:hlinkClick r:id="rIdNav17" tooltip="Springen zu Abschnitt: Kaufpreisaufteilung"/>
          </xdr:cNvPr>
          <xdr:cNvSpPr/>
        </xdr:nvSpPr>
        <xdr:spPr>
          <a:xfrm>
            <a:off x="3667125" y="1600200"/>
            <a:ext cx="70485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4 Aufteilung</a:t>
            </a:r>
          </a:p>
        </xdr:txBody>
      </xdr:sp>
      <xdr:sp macro="" textlink="">
        <xdr:nvSpPr>
          <xdr:cNvPr id="121" name="Sprung 5 Maßnahmen">
            <a:hlinkClick r:id="rIdNav18" tooltip="Springen zu Abschnitt: Maßnahmen und Reserve"/>
          </xdr:cNvPr>
          <xdr:cNvSpPr/>
        </xdr:nvSpPr>
        <xdr:spPr>
          <a:xfrm>
            <a:off x="4410075" y="1600200"/>
            <a:ext cx="8096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5 Maßnahmen</a:t>
            </a:r>
          </a:p>
        </xdr:txBody>
      </xdr:sp>
      <xdr:sp macro="" textlink="">
        <xdr:nvSpPr>
          <xdr:cNvPr id="122" name="Sprung 6 Bewirtschaftung">
            <a:hlinkClick r:id="rIdNav19" tooltip="Springen zu Abschnitt: Bewirtschaftung"/>
          </xdr:cNvPr>
          <xdr:cNvSpPr/>
        </xdr:nvSpPr>
        <xdr:spPr>
          <a:xfrm>
            <a:off x="5257800" y="1600200"/>
            <a:ext cx="962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6 Bewirtschaftung</a:t>
            </a:r>
          </a:p>
        </xdr:txBody>
      </xdr:sp>
      <xdr:sp macro="" textlink="">
        <xdr:nvSpPr>
          <xdr:cNvPr id="123" name="Sprung 7 Finanzierung">
            <a:hlinkClick r:id="rIdNav20" tooltip="Springen zu Abschnitt: Finanzierung"/>
          </xdr:cNvPr>
          <xdr:cNvSpPr/>
        </xdr:nvSpPr>
        <xdr:spPr>
          <a:xfrm>
            <a:off x="6257925" y="1600200"/>
            <a:ext cx="8096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7 Finanzierung</a:t>
            </a:r>
          </a:p>
        </xdr:txBody>
      </xdr:sp>
      <xdr:sp macro="" textlink="">
        <xdr:nvSpPr>
          <xdr:cNvPr id="124" name="Sprung 8 Steuern">
            <a:hlinkClick r:id="rIdNav21" tooltip="Springen zu Abschnitt: Steuern"/>
          </xdr:cNvPr>
          <xdr:cNvSpPr/>
        </xdr:nvSpPr>
        <xdr:spPr>
          <a:xfrm>
            <a:off x="7105650" y="1600200"/>
            <a:ext cx="60007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8 Steuern</a:t>
            </a:r>
          </a:p>
        </xdr:txBody>
      </xdr:sp>
      <xdr:sp macro="" textlink="">
        <xdr:nvSpPr>
          <xdr:cNvPr id="125" name="Sprung 9 Exit">
            <a:hlinkClick r:id="rIdNav22" tooltip="Springen zu Abschnitt: Prognose und Exit"/>
          </xdr:cNvPr>
          <xdr:cNvSpPr/>
        </xdr:nvSpPr>
        <xdr:spPr>
          <a:xfrm>
            <a:off x="7743825" y="1600200"/>
            <a:ext cx="4191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9 Exit</a:t>
            </a:r>
          </a:p>
        </xdr:txBody>
      </xdr:sp>
    </xdr:grp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07" name="Reiterleiste"/>
        <xdr:cNvGrpSpPr/>
      </xdr:nvGrpSpPr>
      <xdr:grpSpPr>
        <a:xfrm>
          <a:off x="295275" y="123825"/>
          <a:ext cx="4800600" cy="323850"/>
          <a:chOff x="295275" y="123825"/>
          <a:chExt cx="4800600" cy="323850"/>
        </a:xfrm>
      </xdr:grpSpPr>
      <xdr:sp macro="" textlink="">
        <xdr:nvSpPr>
          <xdr:cNvPr id="106" name="Reiterleiste Rahmen"/>
          <xdr:cNvSpPr/>
        </xdr:nvSpPr>
        <xdr:spPr>
          <a:xfrm>
            <a:off x="295275" y="123825"/>
            <a:ext cx="48006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3248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14</xdr:col>
      <xdr:colOff>0</xdr:colOff>
      <xdr:row>1</xdr:row>
      <xdr:rowOff>342900</xdr:rowOff>
    </xdr:to>
    <xdr:grpSp>
      <xdr:nvGrpSpPr>
        <xdr:cNvPr id="118" name="Reiterleiste rechts"/>
        <xdr:cNvGrpSpPr/>
      </xdr:nvGrpSpPr>
      <xdr:grpSpPr>
        <a:xfrm>
          <a:off x="5095875" y="152400"/>
          <a:ext cx="8801100" cy="266700"/>
          <a:chOff x="5095875" y="152400"/>
          <a:chExt cx="8801100" cy="266700"/>
        </a:xfrm>
      </xdr:grpSpPr>
      <xdr:sp macro="" textlink="">
        <xdr:nvSpPr>
          <xdr:cNvPr id="117" name="Reiterleiste rechts Rahmen"/>
          <xdr:cNvSpPr/>
        </xdr:nvSpPr>
        <xdr:spPr>
          <a:xfrm>
            <a:off x="5095875" y="152400"/>
            <a:ext cx="88011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8" name="Reiter Cockpit">
            <a:hlinkClick r:id="rIdNav5" tooltip="Cockpit · alle Kennzahlen im Detail"/>
          </xdr:cNvPr>
          <xdr:cNvSpPr/>
        </xdr:nvSpPr>
        <xdr:spPr>
          <a:xfrm>
            <a:off x="511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9" name="Reiter Diagramme">
            <a:hlinkClick r:id="rIdNav6" tooltip="Diagramme · Investition, Cashflow, Vermögen, Steuern, Exit"/>
          </xdr:cNvPr>
          <xdr:cNvSpPr/>
        </xdr:nvSpPr>
        <xdr:spPr>
          <a:xfrm>
            <a:off x="602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0" name="Reiter Eingaben">
            <a:hlinkClick r:id="rIdNav7" tooltip="Eingaben · alle Annahmen und Profi-Felder"/>
          </xdr:cNvPr>
          <xdr:cNvSpPr/>
        </xdr:nvSpPr>
        <xdr:spPr>
          <a:xfrm>
            <a:off x="6981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1" name="Reiter Projektion">
            <a:hlinkClick r:id="rIdNav8" tooltip="Projektion · Miete, Kosten, Cashflow und Vermögen über 40 Jahre (aktueller Bereich)"/>
          </xdr:cNvPr>
          <xdr:cNvSpPr/>
        </xdr:nvSpPr>
        <xdr:spPr>
          <a:xfrm>
            <a:off x="789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2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1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3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725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4" name="Reiter Sensitivität">
            <a:hlinkClick r:id="rIdNav11" tooltip="Sensitivität · Break-even, Miete × Zins, IRR-Matrix"/>
          </xdr:cNvPr>
          <xdr:cNvSpPr/>
        </xdr:nvSpPr>
        <xdr:spPr>
          <a:xfrm>
            <a:off x="106394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591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6" name="Reiter Anhang">
            <a:hlinkClick r:id="rIdNav13" tooltip="Anhang · Hinweise und Konfiguration"/>
          </xdr:cNvPr>
          <xdr:cNvSpPr/>
        </xdr:nvSpPr>
        <xdr:spPr>
          <a:xfrm>
            <a:off x="12506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07" name="Reiterleiste"/>
        <xdr:cNvGrpSpPr/>
      </xdr:nvGrpSpPr>
      <xdr:grpSpPr>
        <a:xfrm>
          <a:off x="295275" y="123825"/>
          <a:ext cx="4800600" cy="323850"/>
          <a:chOff x="295275" y="123825"/>
          <a:chExt cx="4800600" cy="323850"/>
        </a:xfrm>
      </xdr:grpSpPr>
      <xdr:sp macro="" textlink="">
        <xdr:nvSpPr>
          <xdr:cNvPr id="106" name="Reiterleiste Rahmen"/>
          <xdr:cNvSpPr/>
        </xdr:nvSpPr>
        <xdr:spPr>
          <a:xfrm>
            <a:off x="295275" y="123825"/>
            <a:ext cx="48006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3248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14</xdr:col>
      <xdr:colOff>0</xdr:colOff>
      <xdr:row>1</xdr:row>
      <xdr:rowOff>342900</xdr:rowOff>
    </xdr:to>
    <xdr:grpSp>
      <xdr:nvGrpSpPr>
        <xdr:cNvPr id="118" name="Reiterleiste rechts"/>
        <xdr:cNvGrpSpPr/>
      </xdr:nvGrpSpPr>
      <xdr:grpSpPr>
        <a:xfrm>
          <a:off x="5095875" y="152400"/>
          <a:ext cx="8801100" cy="266700"/>
          <a:chOff x="5095875" y="152400"/>
          <a:chExt cx="8801100" cy="266700"/>
        </a:xfrm>
      </xdr:grpSpPr>
      <xdr:sp macro="" textlink="">
        <xdr:nvSpPr>
          <xdr:cNvPr id="117" name="Reiterleiste rechts Rahmen"/>
          <xdr:cNvSpPr/>
        </xdr:nvSpPr>
        <xdr:spPr>
          <a:xfrm>
            <a:off x="5095875" y="152400"/>
            <a:ext cx="88011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8" name="Reiter Cockpit">
            <a:hlinkClick r:id="rIdNav5" tooltip="Cockpit · alle Kennzahlen im Detail"/>
          </xdr:cNvPr>
          <xdr:cNvSpPr/>
        </xdr:nvSpPr>
        <xdr:spPr>
          <a:xfrm>
            <a:off x="511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9" name="Reiter Diagramme">
            <a:hlinkClick r:id="rIdNav6" tooltip="Diagramme · Investition, Cashflow, Vermögen, Steuern, Exit"/>
          </xdr:cNvPr>
          <xdr:cNvSpPr/>
        </xdr:nvSpPr>
        <xdr:spPr>
          <a:xfrm>
            <a:off x="602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0" name="Reiter Eingaben">
            <a:hlinkClick r:id="rIdNav7" tooltip="Eingaben · alle Annahmen und Profi-Felder"/>
          </xdr:cNvPr>
          <xdr:cNvSpPr/>
        </xdr:nvSpPr>
        <xdr:spPr>
          <a:xfrm>
            <a:off x="6981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1" name="Reiter Projektion">
            <a:hlinkClick r:id="rIdNav8" tooltip="Projektion · Miete, Kosten, Cashflow und Vermögen über 40 Jahre"/>
          </xdr:cNvPr>
          <xdr:cNvSpPr/>
        </xdr:nvSpPr>
        <xdr:spPr>
          <a:xfrm>
            <a:off x="789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2" name="Reiter Steuer-Tabelle">
            <a:hlinkClick r:id="rIdNav9" tooltip="Steuer-Tabelle · Parameter, AfA-Verlauf, steuerliches Ergebnis über 40 Jahre (Eingaben dazu: Schritt 09 Steuern) (aktueller Bereich)"/>
          </xdr:cNvPr>
          <xdr:cNvSpPr/>
        </xdr:nvSpPr>
        <xdr:spPr>
          <a:xfrm>
            <a:off x="881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3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725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4" name="Reiter Sensitivität">
            <a:hlinkClick r:id="rIdNav11" tooltip="Sensitivität · Break-even, Miete × Zins, IRR-Matrix"/>
          </xdr:cNvPr>
          <xdr:cNvSpPr/>
        </xdr:nvSpPr>
        <xdr:spPr>
          <a:xfrm>
            <a:off x="106394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591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6" name="Reiter Anhang">
            <a:hlinkClick r:id="rIdNav13" tooltip="Anhang · Hinweise und Konfiguration"/>
          </xdr:cNvPr>
          <xdr:cNvSpPr/>
        </xdr:nvSpPr>
        <xdr:spPr>
          <a:xfrm>
            <a:off x="12506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11</xdr:col>
      <xdr:colOff>0</xdr:colOff>
      <xdr:row>4</xdr:row>
      <xdr:rowOff>9525</xdr:rowOff>
    </xdr:from>
    <xdr:to>
      <xdr:col>14</xdr:col>
      <xdr:colOff>0</xdr:colOff>
      <xdr:row>4</xdr:row>
      <xdr:rowOff>219075</xdr:rowOff>
    </xdr:to>
    <xdr:grpSp>
      <xdr:nvGrpSpPr>
        <xdr:cNvPr id="122" name="Unterreiter"/>
        <xdr:cNvGrpSpPr/>
      </xdr:nvGrpSpPr>
      <xdr:grpSpPr>
        <a:xfrm>
          <a:off x="11496675" y="695325"/>
          <a:ext cx="2400300" cy="209550"/>
          <a:chOff x="11496675" y="695325"/>
          <a:chExt cx="2400300" cy="209550"/>
        </a:xfrm>
      </xdr:grpSpPr>
      <xdr:sp macro="" textlink="">
        <xdr:nvSpPr>
          <xdr:cNvPr id="121" name="Unterreiter Rahmen"/>
          <xdr:cNvSpPr/>
        </xdr:nvSpPr>
        <xdr:spPr>
          <a:xfrm>
            <a:off x="11496675" y="695325"/>
            <a:ext cx="240030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9" name="Unterreiter Steuer-Tabelle">
            <a:hlinkClick r:id="rIdNav14" tooltip="Steuer-Tabelle (aktuelle Seite)"/>
          </xdr:cNvPr>
          <xdr:cNvSpPr/>
        </xdr:nvSpPr>
        <xdr:spPr>
          <a:xfrm>
            <a:off x="11791950" y="695325"/>
            <a:ext cx="79057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20" name="Unterreiter AfA-Vergleich">
            <a:hlinkClick r:id="rIdNav15" tooltip="AfA-Vergleich öffnen"/>
          </xdr:cNvPr>
          <xdr:cNvSpPr/>
        </xdr:nvSpPr>
        <xdr:spPr>
          <a:xfrm>
            <a:off x="12620625" y="695325"/>
            <a:ext cx="762000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AfA-Vergleich</a:t>
            </a:r>
          </a:p>
        </xdr:txBody>
      </xdr:sp>
    </xdr:grp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3</xdr:col>
      <xdr:colOff>0</xdr:colOff>
      <xdr:row>1</xdr:row>
      <xdr:rowOff>371475</xdr:rowOff>
    </xdr:to>
    <xdr:grpSp>
      <xdr:nvGrpSpPr>
        <xdr:cNvPr id="107" name="Reiterleiste"/>
        <xdr:cNvGrpSpPr/>
      </xdr:nvGrpSpPr>
      <xdr:grpSpPr>
        <a:xfrm>
          <a:off x="295275" y="123825"/>
          <a:ext cx="4800600" cy="323850"/>
          <a:chOff x="295275" y="123825"/>
          <a:chExt cx="4800600" cy="323850"/>
        </a:xfrm>
      </xdr:grpSpPr>
      <xdr:sp macro="" textlink="">
        <xdr:nvSpPr>
          <xdr:cNvPr id="106" name="Reiterleiste Rahmen"/>
          <xdr:cNvSpPr/>
        </xdr:nvSpPr>
        <xdr:spPr>
          <a:xfrm>
            <a:off x="295275" y="123825"/>
            <a:ext cx="4800600" cy="3238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1885950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2333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3248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42005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</xdr:grpSp>
    <xdr:clientData fPrintsWithSheet="0"/>
  </xdr:twoCellAnchor>
  <xdr:twoCellAnchor editAs="absolute">
    <xdr:from>
      <xdr:col>3</xdr:col>
      <xdr:colOff>0</xdr:colOff>
      <xdr:row>1</xdr:row>
      <xdr:rowOff>76200</xdr:rowOff>
    </xdr:from>
    <xdr:to>
      <xdr:col>14</xdr:col>
      <xdr:colOff>0</xdr:colOff>
      <xdr:row>1</xdr:row>
      <xdr:rowOff>342900</xdr:rowOff>
    </xdr:to>
    <xdr:grpSp>
      <xdr:nvGrpSpPr>
        <xdr:cNvPr id="118" name="Reiterleiste rechts"/>
        <xdr:cNvGrpSpPr/>
      </xdr:nvGrpSpPr>
      <xdr:grpSpPr>
        <a:xfrm>
          <a:off x="5095875" y="152400"/>
          <a:ext cx="8801100" cy="266700"/>
          <a:chOff x="5095875" y="152400"/>
          <a:chExt cx="8801100" cy="266700"/>
        </a:xfrm>
      </xdr:grpSpPr>
      <xdr:sp macro="" textlink="">
        <xdr:nvSpPr>
          <xdr:cNvPr id="117" name="Reiterleiste rechts Rahmen"/>
          <xdr:cNvSpPr/>
        </xdr:nvSpPr>
        <xdr:spPr>
          <a:xfrm>
            <a:off x="5095875" y="152400"/>
            <a:ext cx="8801100" cy="2667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08" name="Reiter Cockpit">
            <a:hlinkClick r:id="rIdNav5" tooltip="Cockpit · alle Kennzahlen im Detail"/>
          </xdr:cNvPr>
          <xdr:cNvSpPr/>
        </xdr:nvSpPr>
        <xdr:spPr>
          <a:xfrm>
            <a:off x="5114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9" name="Reiter Diagramme">
            <a:hlinkClick r:id="rIdNav6" tooltip="Diagramme · Investition, Cashflow, Vermögen, Steuern, Exit"/>
          </xdr:cNvPr>
          <xdr:cNvSpPr/>
        </xdr:nvSpPr>
        <xdr:spPr>
          <a:xfrm>
            <a:off x="6029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10" name="Reiter Eingaben">
            <a:hlinkClick r:id="rIdNav7" tooltip="Eingaben · alle Annahmen und Profi-Felder"/>
          </xdr:cNvPr>
          <xdr:cNvSpPr/>
        </xdr:nvSpPr>
        <xdr:spPr>
          <a:xfrm>
            <a:off x="69818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11" name="Reiter Projektion">
            <a:hlinkClick r:id="rIdNav8" tooltip="Projektion · Miete, Kosten, Cashflow und Vermögen über 40 Jahre"/>
          </xdr:cNvPr>
          <xdr:cNvSpPr/>
        </xdr:nvSpPr>
        <xdr:spPr>
          <a:xfrm>
            <a:off x="78962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2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8106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3" name="Reiter Tilgungsplan">
            <a:hlinkClick r:id="rIdNav10" tooltip="Tilgungsplan · Zins und Tilgung der Darlehen Jahr für Jahr (Eingaben dazu: Schritt 07 Finanzierung) (aktueller Bereich)"/>
          </xdr:cNvPr>
          <xdr:cNvSpPr/>
        </xdr:nvSpPr>
        <xdr:spPr>
          <a:xfrm>
            <a:off x="97250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4" name="Reiter Sensitivität">
            <a:hlinkClick r:id="rIdNav11" tooltip="Sensitivität · Break-even, Miete × Zins, IRR-Matrix"/>
          </xdr:cNvPr>
          <xdr:cNvSpPr/>
        </xdr:nvSpPr>
        <xdr:spPr>
          <a:xfrm>
            <a:off x="106394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5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5919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6" name="Reiter Anhang">
            <a:hlinkClick r:id="rIdNav13" tooltip="Anhang · Hinweise und Konfiguration"/>
          </xdr:cNvPr>
          <xdr:cNvSpPr/>
        </xdr:nvSpPr>
        <xdr:spPr>
          <a:xfrm>
            <a:off x="12506325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5</xdr:col>
      <xdr:colOff>0</xdr:colOff>
      <xdr:row>1</xdr:row>
      <xdr:rowOff>371475</xdr:rowOff>
    </xdr:to>
    <xdr:grpSp>
      <xdr:nvGrpSpPr>
        <xdr:cNvPr id="115" name="Reiterleiste"/>
        <xdr:cNvGrpSpPr/>
      </xdr:nvGrpSpPr>
      <xdr:grpSpPr>
        <a:xfrm>
          <a:off x="295275" y="123825"/>
          <a:ext cx="12734925" cy="323850"/>
          <a:chOff x="295275" y="123825"/>
          <a:chExt cx="12734925" cy="323850"/>
        </a:xfrm>
      </xdr:grpSpPr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15335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19812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28956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38481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47625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56769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"/>
          </xdr:cNvPr>
          <xdr:cNvSpPr/>
        </xdr:nvSpPr>
        <xdr:spPr>
          <a:xfrm>
            <a:off x="66294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75438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4582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3726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102870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2395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 (aktueller Bereich)"/>
          </xdr:cNvPr>
          <xdr:cNvSpPr/>
        </xdr:nvSpPr>
        <xdr:spPr>
          <a:xfrm>
            <a:off x="121539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4</xdr:col>
      <xdr:colOff>0</xdr:colOff>
      <xdr:row>3</xdr:row>
      <xdr:rowOff>114300</xdr:rowOff>
    </xdr:from>
    <xdr:to>
      <xdr:col>5</xdr:col>
      <xdr:colOff>0</xdr:colOff>
      <xdr:row>5</xdr:row>
      <xdr:rowOff>0</xdr:rowOff>
    </xdr:to>
    <xdr:grpSp>
      <xdr:nvGrpSpPr>
        <xdr:cNvPr id="119" name="Unterreiter"/>
        <xdr:cNvGrpSpPr/>
      </xdr:nvGrpSpPr>
      <xdr:grpSpPr>
        <a:xfrm>
          <a:off x="11172825" y="647700"/>
          <a:ext cx="1857375" cy="209550"/>
          <a:chOff x="11172825" y="647700"/>
          <a:chExt cx="1857375" cy="209550"/>
        </a:xfrm>
      </xdr:grpSpPr>
      <xdr:sp macro="" textlink="">
        <xdr:nvSpPr>
          <xdr:cNvPr id="118" name="Unterreiter Rahmen"/>
          <xdr:cNvSpPr/>
        </xdr:nvSpPr>
        <xdr:spPr>
          <a:xfrm>
            <a:off x="11172825" y="647700"/>
            <a:ext cx="1857375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6" name="Unterreiter Hinweise">
            <a:hlinkClick r:id="rIdNav14" tooltip="Hinweise (aktuelle Seite)"/>
          </xdr:cNvPr>
          <xdr:cNvSpPr/>
        </xdr:nvSpPr>
        <xdr:spPr>
          <a:xfrm>
            <a:off x="11639550" y="647700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Hinweise</a:t>
            </a:r>
          </a:p>
        </xdr:txBody>
      </xdr:sp>
      <xdr:sp macro="" textlink="">
        <xdr:nvSpPr>
          <xdr:cNvPr id="117" name="Unterreiter Konfiguration">
            <a:hlinkClick r:id="rIdNav15" tooltip="Konfiguration öffnen"/>
          </xdr:cNvPr>
          <xdr:cNvSpPr/>
        </xdr:nvSpPr>
        <xdr:spPr>
          <a:xfrm>
            <a:off x="12258675" y="647700"/>
            <a:ext cx="7715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Konfiguration</a:t>
            </a:r>
          </a:p>
        </xdr:txBody>
      </xdr:sp>
    </xdr:grp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47625</xdr:rowOff>
    </xdr:from>
    <xdr:to>
      <xdr:col>7</xdr:col>
      <xdr:colOff>0</xdr:colOff>
      <xdr:row>1</xdr:row>
      <xdr:rowOff>371475</xdr:rowOff>
    </xdr:to>
    <xdr:grpSp>
      <xdr:nvGrpSpPr>
        <xdr:cNvPr id="115" name="Reiterleiste"/>
        <xdr:cNvGrpSpPr/>
      </xdr:nvGrpSpPr>
      <xdr:grpSpPr>
        <a:xfrm>
          <a:off x="295275" y="123825"/>
          <a:ext cx="12734925" cy="323850"/>
          <a:chOff x="295275" y="123825"/>
          <a:chExt cx="12734925" cy="323850"/>
        </a:xfrm>
      </xdr:grpSpPr>
      <xdr:sp macro="" textlink="">
        <xdr:nvSpPr>
          <xdr:cNvPr id="102" name="Marke">
            <a:hlinkClick r:id="rIdNav1" tooltip="Zur Startseite"/>
          </xdr:cNvPr>
          <xdr:cNvSpPr/>
        </xdr:nvSpPr>
        <xdr:spPr>
          <a:xfrm>
            <a:off x="295275" y="123825"/>
            <a:ext cx="1533525" cy="323850"/>
          </a:xfrm>
          <a:prstGeom prst="roundRect">
            <a:avLst>
              <a:gd name="adj" fmla="val 11764"/>
            </a:avLst>
          </a:prstGeom>
          <a:noFill/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l">
              <a:lnSpc>
                <a:spcPct val="90000"/>
              </a:lnSpc>
            </a:pPr>
            <a:r>
              <a:rPr lang="de-DE" sz="1000" b="1" spc="60" dirty="0">
                <a:solidFill>
                  <a:srgbClr val="FFFFFF"/>
                </a:solidFill>
                <a:latin typeface="Calibri"/>
                <a:cs typeface="Calibri"/>
              </a:rPr>
              <a:t>MM HOLDING</a:t>
            </a:r>
          </a:p>
          <a:p>
            <a:pPr algn="l">
              <a:lnSpc>
                <a:spcPct val="90000"/>
              </a:lnSpc>
            </a:pPr>
            <a:r>
              <a:rPr lang="de-DE" sz="800" b="0" dirty="0">
                <a:solidFill>
                  <a:srgbClr val="C8D7EB"/>
                </a:solidFill>
                <a:latin typeface="Calibri"/>
                <a:cs typeface="Calibri"/>
              </a:rPr>
              <a:t>Immobilien-Kalkulation</a:t>
            </a:r>
          </a:p>
        </xdr:txBody>
      </xdr:sp>
      <xdr:sp macro="" textlink="">
        <xdr:nvSpPr>
          <xdr:cNvPr id="103" name="Reiter Start">
            <a:hlinkClick r:id="rIdNav2" tooltip="Startseite · Kaufstruktur wählen und Überblick"/>
          </xdr:cNvPr>
          <xdr:cNvSpPr/>
        </xdr:nvSpPr>
        <xdr:spPr>
          <a:xfrm>
            <a:off x="19812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Start</a:t>
            </a:r>
          </a:p>
        </xdr:txBody>
      </xdr:sp>
      <xdr:sp macro="" textlink="">
        <xdr:nvSpPr>
          <xdr:cNvPr id="104" name="Reiter Leitfaden">
            <a:hlinkClick r:id="rIdNav3" tooltip="Leitfaden · die Kalkulation in zwölf Schritten"/>
          </xdr:cNvPr>
          <xdr:cNvSpPr/>
        </xdr:nvSpPr>
        <xdr:spPr>
          <a:xfrm>
            <a:off x="28956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Leitfaden</a:t>
            </a:r>
          </a:p>
        </xdr:txBody>
      </xdr:sp>
      <xdr:sp macro="" textlink="">
        <xdr:nvSpPr>
          <xdr:cNvPr id="105" name="Reiter Dashboard">
            <a:hlinkClick r:id="rIdNav4" tooltip="Dashboard · Gesamtbewertung auf einen Blick"/>
          </xdr:cNvPr>
          <xdr:cNvSpPr/>
        </xdr:nvSpPr>
        <xdr:spPr>
          <a:xfrm>
            <a:off x="38481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Dashboard</a:t>
            </a:r>
          </a:p>
        </xdr:txBody>
      </xdr:sp>
      <xdr:sp macro="" textlink="">
        <xdr:nvSpPr>
          <xdr:cNvPr id="106" name="Reiter Cockpit">
            <a:hlinkClick r:id="rIdNav5" tooltip="Cockpit · alle Kennzahlen im Detail"/>
          </xdr:cNvPr>
          <xdr:cNvSpPr/>
        </xdr:nvSpPr>
        <xdr:spPr>
          <a:xfrm>
            <a:off x="47625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Cockpit</a:t>
            </a:r>
          </a:p>
        </xdr:txBody>
      </xdr:sp>
      <xdr:sp macro="" textlink="">
        <xdr:nvSpPr>
          <xdr:cNvPr id="107" name="Reiter Diagramme">
            <a:hlinkClick r:id="rIdNav6" tooltip="Diagramme · Investition, Cashflow, Vermögen, Steuern, Exit"/>
          </xdr:cNvPr>
          <xdr:cNvSpPr/>
        </xdr:nvSpPr>
        <xdr:spPr>
          <a:xfrm>
            <a:off x="56769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Diagramme</a:t>
            </a:r>
          </a:p>
        </xdr:txBody>
      </xdr:sp>
      <xdr:sp macro="" textlink="">
        <xdr:nvSpPr>
          <xdr:cNvPr id="108" name="Reiter Eingaben">
            <a:hlinkClick r:id="rIdNav7" tooltip="Eingaben · alle Annahmen und Profi-Felder"/>
          </xdr:cNvPr>
          <xdr:cNvSpPr/>
        </xdr:nvSpPr>
        <xdr:spPr>
          <a:xfrm>
            <a:off x="66294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Eingaben</a:t>
            </a:r>
          </a:p>
        </xdr:txBody>
      </xdr:sp>
      <xdr:sp macro="" textlink="">
        <xdr:nvSpPr>
          <xdr:cNvPr id="109" name="Reiter Projektion">
            <a:hlinkClick r:id="rIdNav8" tooltip="Projektion · Miete, Kosten, Cashflow und Vermögen über 40 Jahre"/>
          </xdr:cNvPr>
          <xdr:cNvSpPr/>
        </xdr:nvSpPr>
        <xdr:spPr>
          <a:xfrm>
            <a:off x="75438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Projektion</a:t>
            </a:r>
          </a:p>
        </xdr:txBody>
      </xdr:sp>
      <xdr:sp macro="" textlink="">
        <xdr:nvSpPr>
          <xdr:cNvPr id="110" name="Reiter Steuer-Tabelle">
            <a:hlinkClick r:id="rIdNav9" tooltip="Steuer-Tabelle · Parameter, AfA-Verlauf, steuerliches Ergebnis über 40 Jahre (Eingaben dazu: Schritt 09 Steuern)"/>
          </xdr:cNvPr>
          <xdr:cNvSpPr/>
        </xdr:nvSpPr>
        <xdr:spPr>
          <a:xfrm>
            <a:off x="84582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Steuer-Tabelle</a:t>
            </a:r>
          </a:p>
        </xdr:txBody>
      </xdr:sp>
      <xdr:sp macro="" textlink="">
        <xdr:nvSpPr>
          <xdr:cNvPr id="111" name="Reiter Tilgungsplan">
            <a:hlinkClick r:id="rIdNav10" tooltip="Tilgungsplan · Zins und Tilgung der Darlehen Jahr für Jahr (Eingaben dazu: Schritt 07 Finanzierung)"/>
          </xdr:cNvPr>
          <xdr:cNvSpPr/>
        </xdr:nvSpPr>
        <xdr:spPr>
          <a:xfrm>
            <a:off x="93726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Tilgungsplan</a:t>
            </a:r>
          </a:p>
        </xdr:txBody>
      </xdr:sp>
      <xdr:sp macro="" textlink="">
        <xdr:nvSpPr>
          <xdr:cNvPr id="112" name="Reiter Sensitivität">
            <a:hlinkClick r:id="rIdNav11" tooltip="Sensitivität · Break-even, Miete × Zins, IRR-Matrix"/>
          </xdr:cNvPr>
          <xdr:cNvSpPr/>
        </xdr:nvSpPr>
        <xdr:spPr>
          <a:xfrm>
            <a:off x="102870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Sensitivität</a:t>
            </a:r>
          </a:p>
        </xdr:txBody>
      </xdr:sp>
      <xdr:sp macro="" textlink="">
        <xdr:nvSpPr>
          <xdr:cNvPr id="113" name="Reiter Bank">
            <a:hlinkClick r:id="rIdNav12" tooltip="Bank · Investitionsübersicht, Haushaltsrechnung, Vermögensaufstellung"/>
          </xdr:cNvPr>
          <xdr:cNvSpPr/>
        </xdr:nvSpPr>
        <xdr:spPr>
          <a:xfrm>
            <a:off x="112395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1A3F66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0" dirty="0">
                <a:solidFill>
                  <a:srgbClr val="C8D7EB"/>
                </a:solidFill>
                <a:latin typeface="Calibri"/>
                <a:cs typeface="Calibri"/>
              </a:rPr>
              <a:t>Bank</a:t>
            </a:r>
          </a:p>
        </xdr:txBody>
      </xdr:sp>
      <xdr:sp macro="" textlink="">
        <xdr:nvSpPr>
          <xdr:cNvPr id="114" name="Reiter Anhang">
            <a:hlinkClick r:id="rIdNav13" tooltip="Anhang · Hinweise und Konfiguration (aktueller Bereich)"/>
          </xdr:cNvPr>
          <xdr:cNvSpPr/>
        </xdr:nvSpPr>
        <xdr:spPr>
          <a:xfrm>
            <a:off x="12153900" y="152400"/>
            <a:ext cx="876300" cy="266700"/>
          </a:xfrm>
          <a:prstGeom prst="roundRect">
            <a:avLst>
              <a:gd name="adj" fmla="val 14285"/>
            </a:avLst>
          </a:prstGeom>
          <a:solidFill>
            <a:srgbClr val="FFFFFF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900" b="1" dirty="0">
                <a:solidFill>
                  <a:srgbClr val="0B2A4A"/>
                </a:solidFill>
                <a:latin typeface="Calibri"/>
                <a:cs typeface="Calibri"/>
              </a:rPr>
              <a:t>Anhang</a:t>
            </a:r>
          </a:p>
        </xdr:txBody>
      </xdr:sp>
    </xdr:grpSp>
    <xdr:clientData fPrintsWithSheet="0"/>
  </xdr:twoCellAnchor>
  <xdr:twoCellAnchor>
    <xdr:from>
      <xdr:col>6</xdr:col>
      <xdr:colOff>0</xdr:colOff>
      <xdr:row>3</xdr:row>
      <xdr:rowOff>114300</xdr:rowOff>
    </xdr:from>
    <xdr:to>
      <xdr:col>7</xdr:col>
      <xdr:colOff>0</xdr:colOff>
      <xdr:row>5</xdr:row>
      <xdr:rowOff>0</xdr:rowOff>
    </xdr:to>
    <xdr:grpSp>
      <xdr:nvGrpSpPr>
        <xdr:cNvPr id="119" name="Unterreiter"/>
        <xdr:cNvGrpSpPr/>
      </xdr:nvGrpSpPr>
      <xdr:grpSpPr>
        <a:xfrm>
          <a:off x="7867650" y="647700"/>
          <a:ext cx="5162550" cy="209550"/>
          <a:chOff x="7867650" y="647700"/>
          <a:chExt cx="5162550" cy="209550"/>
        </a:xfrm>
      </xdr:grpSpPr>
      <xdr:sp macro="" textlink="">
        <xdr:nvSpPr>
          <xdr:cNvPr id="118" name="Unterreiter Rahmen"/>
          <xdr:cNvSpPr/>
        </xdr:nvSpPr>
        <xdr:spPr>
          <a:xfrm>
            <a:off x="7867650" y="647700"/>
            <a:ext cx="5162550" cy="20955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116" name="Unterreiter Hinweise">
            <a:hlinkClick r:id="rIdNav14" tooltip="Hinweise öffnen"/>
          </xdr:cNvPr>
          <xdr:cNvSpPr/>
        </xdr:nvSpPr>
        <xdr:spPr>
          <a:xfrm>
            <a:off x="11639550" y="647700"/>
            <a:ext cx="581025" cy="209550"/>
          </a:xfrm>
          <a:prstGeom prst="roundRect">
            <a:avLst>
              <a:gd name="adj" fmla="val 13636"/>
            </a:avLst>
          </a:prstGeom>
          <a:solidFill>
            <a:srgbClr val="E7EEF7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0" dirty="0">
                <a:solidFill>
                  <a:srgbClr val="1D4F8A"/>
                </a:solidFill>
                <a:latin typeface="Calibri"/>
                <a:cs typeface="Calibri"/>
              </a:rPr>
              <a:t>Hinweise</a:t>
            </a:r>
          </a:p>
        </xdr:txBody>
      </xdr:sp>
      <xdr:sp macro="" textlink="">
        <xdr:nvSpPr>
          <xdr:cNvPr id="117" name="Unterreiter Konfiguration">
            <a:hlinkClick r:id="rIdNav15" tooltip="Konfiguration (aktuelle Seite)"/>
          </xdr:cNvPr>
          <xdr:cNvSpPr/>
        </xdr:nvSpPr>
        <xdr:spPr>
          <a:xfrm>
            <a:off x="12258675" y="647700"/>
            <a:ext cx="771525" cy="209550"/>
          </a:xfrm>
          <a:prstGeom prst="roundRect">
            <a:avLst>
              <a:gd name="adj" fmla="val 13636"/>
            </a:avLst>
          </a:prstGeom>
          <a:solidFill>
            <a:srgbClr val="1D4F8A"/>
          </a:solidFill>
          <a:ln>
            <a:noFill/>
          </a:ln>
        </xdr:spPr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de-DE" sz="800" b="1" dirty="0">
                <a:solidFill>
                  <a:srgbClr val="FFFFFF"/>
                </a:solidFill>
                <a:latin typeface="Calibri"/>
                <a:cs typeface="Calibri"/>
              </a:rPr>
              <a:t>Konfiguration</a:t>
            </a:r>
          </a:p>
        </xdr:txBody>
      </xdr:sp>
    </xdr:grpSp>
    <xdr:clientData fPrint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1.xml"/></Relationships>
</file>

<file path=xl/worksheets/_rels/sheet4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2.xml"/>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3.xml"/></Relationships>
</file>

<file path=xl/worksheets/_rels/sheet19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4.xml"/></Relationships>
</file>

<file path=xl/worksheets/_rels/sheet20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5.xml"/>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2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6.xml"/>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7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NavDrawing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U90"/>
  <sheetViews>
    <sheetView showFormulas="false" showGridLines="false" showRowColHeaders="0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3" activeCellId="0" sqref="D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"/>
    <col collapsed="false" customWidth="true" hidden="false" outlineLevel="0" max="3" min="3" style="1" width="24.6"/>
    <col collapsed="false" customWidth="true" hidden="false" outlineLevel="0" max="4" min="4" style="1" width="16"/>
    <col collapsed="false" customWidth="true" hidden="false" outlineLevel="0" max="7" min="5" style="1" width="40.5"/>
    <col collapsed="false" customWidth="true" hidden="false" outlineLevel="0" max="8" min="8" style="1" width="3"/>
    <col collapsed="false" customWidth="true" hidden="false" outlineLevel="0" max="18" min="9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0"/>
      <c r="J1" s="0"/>
      <c r="K1" s="0"/>
      <c r="L1" s="0"/>
      <c r="M1" s="0"/>
      <c r="N1" s="0"/>
      <c r="O1" s="0"/>
      <c r="P1" s="0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4"/>
      <c r="C2" s="5"/>
      <c r="D2" s="6"/>
      <c r="E2" s="6"/>
      <c r="F2" s="6"/>
      <c r="G2" s="6"/>
      <c r="H2" s="6"/>
      <c r="I2" s="0"/>
      <c r="J2" s="0"/>
      <c r="K2" s="0"/>
      <c r="L2" s="0"/>
      <c r="M2" s="0"/>
      <c r="N2" s="0"/>
      <c r="O2" s="0"/>
      <c r="P2" s="0"/>
      <c r="Q2" s="7"/>
      <c r="R2" s="7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0"/>
      <c r="J3" s="0"/>
      <c r="K3" s="0"/>
      <c r="L3" s="0"/>
      <c r="M3" s="0"/>
      <c r="N3" s="0"/>
      <c r="O3" s="0"/>
      <c r="P3" s="0"/>
      <c r="Q3" s="11"/>
      <c r="R3" s="11"/>
      <c r="S3" s="11"/>
      <c r="T3" s="11"/>
      <c r="U3" s="11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3"/>
      <c r="C5" s="2"/>
      <c r="D5" s="2"/>
      <c r="E5" s="2"/>
      <c r="F5" s="2"/>
      <c r="G5" s="2"/>
      <c r="H5" s="13"/>
      <c r="I5" s="12"/>
      <c r="J5" s="12"/>
      <c r="K5" s="12"/>
      <c r="L5" s="12"/>
    </row>
    <row r="6" customFormat="false" ht="13.5" hidden="false" customHeight="true" outlineLevel="0" collapsed="false">
      <c r="A6" s="12"/>
      <c r="B6" s="2"/>
      <c r="C6" s="2"/>
      <c r="D6" s="14"/>
      <c r="E6" s="15" t="s">
        <v>0</v>
      </c>
      <c r="F6" s="15"/>
      <c r="G6" s="15" t="s">
        <v>1</v>
      </c>
      <c r="H6" s="2"/>
      <c r="I6" s="12"/>
      <c r="J6" s="12"/>
      <c r="K6" s="12"/>
      <c r="L6" s="12"/>
    </row>
    <row r="7" customFormat="false" ht="18" hidden="false" customHeight="true" outlineLevel="0" collapsed="false">
      <c r="A7" s="12"/>
      <c r="B7" s="2"/>
      <c r="C7" s="2"/>
      <c r="D7" s="16"/>
      <c r="E7" s="17" t="str">
        <f aca="false">Obj_Name</f>
        <v>Beispiel: 3-Zimmer-Eigentumswohnung</v>
      </c>
      <c r="F7" s="17"/>
      <c r="G7" s="18" t="s">
        <v>2</v>
      </c>
      <c r="H7" s="2"/>
      <c r="I7" s="12"/>
      <c r="J7" s="12"/>
      <c r="K7" s="12"/>
      <c r="L7" s="12"/>
    </row>
    <row r="8" customFormat="false" ht="12" hidden="false" customHeight="true" outlineLevel="0" collapsed="false">
      <c r="A8" s="12"/>
      <c r="B8" s="2"/>
      <c r="C8" s="2"/>
      <c r="D8" s="2"/>
      <c r="E8" s="2"/>
      <c r="F8" s="2"/>
      <c r="G8" s="2"/>
      <c r="H8" s="2"/>
      <c r="I8" s="12"/>
      <c r="J8" s="12"/>
      <c r="K8" s="12"/>
      <c r="L8" s="12"/>
    </row>
    <row r="9" customFormat="false" ht="42" hidden="false" customHeight="true" outlineLevel="0" collapsed="false">
      <c r="A9" s="12"/>
      <c r="B9" s="2"/>
      <c r="C9" s="2"/>
      <c r="D9" s="19"/>
      <c r="E9" s="20" t="s">
        <v>3</v>
      </c>
      <c r="F9" s="20"/>
      <c r="G9" s="20"/>
      <c r="H9" s="2"/>
      <c r="I9" s="12"/>
      <c r="J9" s="12"/>
      <c r="K9" s="12"/>
      <c r="L9" s="12"/>
    </row>
    <row r="10" customFormat="false" ht="6" hidden="false" customHeight="true" outlineLevel="0" collapsed="false">
      <c r="A10" s="12"/>
      <c r="B10" s="2"/>
      <c r="C10" s="2"/>
      <c r="D10" s="2"/>
      <c r="E10" s="2"/>
      <c r="F10" s="2"/>
      <c r="G10" s="2"/>
      <c r="H10" s="2"/>
      <c r="I10" s="12"/>
      <c r="J10" s="12"/>
      <c r="K10" s="12"/>
      <c r="L10" s="12"/>
    </row>
    <row r="11" customFormat="false" ht="18" hidden="false" customHeight="true" outlineLevel="0" collapsed="false">
      <c r="A11" s="12"/>
      <c r="B11" s="2"/>
      <c r="C11" s="2"/>
      <c r="D11" s="21"/>
      <c r="E11" s="17" t="s">
        <v>4</v>
      </c>
      <c r="F11" s="17"/>
      <c r="G11" s="17"/>
      <c r="H11" s="2"/>
      <c r="I11" s="12"/>
      <c r="J11" s="12"/>
      <c r="K11" s="12"/>
      <c r="L11" s="12"/>
    </row>
    <row r="12" customFormat="false" ht="13.5" hidden="false" customHeight="true" outlineLevel="0" collapsed="false">
      <c r="A12" s="12"/>
      <c r="B12" s="2"/>
      <c r="C12" s="2"/>
      <c r="D12" s="22"/>
      <c r="E12" s="23" t="str">
        <f aca="true">"Stand "&amp;TEXT(DAY(TODAY()),"00")&amp;"."&amp;TEXT(MONTH(TODAY()),"00")&amp;"."&amp;YEAR(TODAY())&amp;"   ·   Rechtsstand September 2026   ·   Kauf als: "&amp;CHOOSE(Rechtsform_Idx,"Privatperson","vv-GmbH","GmbH / Holding")</f>
        <v>Stand 24.09.2026   ·   Rechtsstand September 2026   ·   Kauf als: Privatperson</v>
      </c>
      <c r="F12" s="23"/>
      <c r="G12" s="23"/>
      <c r="H12" s="2"/>
      <c r="I12" s="12"/>
      <c r="J12" s="12"/>
      <c r="K12" s="12"/>
      <c r="L12" s="12"/>
    </row>
    <row r="13" customFormat="false" ht="12" hidden="false" customHeight="true" outlineLevel="0" collapsed="false">
      <c r="A13" s="12"/>
      <c r="B13" s="2"/>
      <c r="C13" s="2"/>
      <c r="D13" s="2"/>
      <c r="E13" s="2"/>
      <c r="F13" s="2"/>
      <c r="G13" s="2"/>
      <c r="H13" s="2"/>
      <c r="I13" s="12"/>
      <c r="J13" s="12"/>
      <c r="K13" s="12"/>
      <c r="L13" s="12"/>
    </row>
    <row r="14" customFormat="false" ht="19.5" hidden="false" customHeight="true" outlineLevel="0" collapsed="false">
      <c r="A14" s="12"/>
      <c r="B14" s="2"/>
      <c r="C14" s="2"/>
      <c r="D14" s="14"/>
      <c r="E14" s="24" t="s">
        <v>5</v>
      </c>
      <c r="F14" s="24" t="s">
        <v>6</v>
      </c>
      <c r="G14" s="24" t="s">
        <v>7</v>
      </c>
      <c r="H14" s="2"/>
      <c r="I14" s="12"/>
      <c r="J14" s="12"/>
      <c r="K14" s="12"/>
      <c r="L14" s="12"/>
    </row>
    <row r="15" customFormat="false" ht="30" hidden="false" customHeight="true" outlineLevel="0" collapsed="false">
      <c r="A15" s="12"/>
      <c r="B15" s="2"/>
      <c r="C15" s="2"/>
      <c r="D15" s="25"/>
      <c r="E15" s="26" t="n">
        <f aca="false">Gesamtinvestition</f>
        <v>328974.5</v>
      </c>
      <c r="F15" s="26" t="n">
        <f aca="false">Kaufpreis</f>
        <v>285000</v>
      </c>
      <c r="G15" s="27" t="n">
        <f aca="false">Haltedauer</f>
        <v>12</v>
      </c>
      <c r="H15" s="2"/>
      <c r="I15" s="12"/>
      <c r="J15" s="12"/>
      <c r="K15" s="12"/>
      <c r="L15" s="12"/>
    </row>
    <row r="16" customFormat="false" ht="15.75" hidden="false" customHeight="true" outlineLevel="0" collapsed="false">
      <c r="A16" s="12"/>
      <c r="B16" s="2"/>
      <c r="C16" s="2"/>
      <c r="D16" s="2"/>
      <c r="E16" s="2"/>
      <c r="F16" s="2"/>
      <c r="G16" s="2"/>
      <c r="H16" s="2"/>
      <c r="I16" s="12"/>
      <c r="J16" s="12"/>
      <c r="K16" s="12"/>
      <c r="L16" s="12"/>
    </row>
    <row r="17" customFormat="false" ht="25.5" hidden="false" customHeight="true" outlineLevel="0" collapsed="false">
      <c r="A17" s="12"/>
      <c r="B17" s="2"/>
      <c r="C17" s="2"/>
      <c r="D17" s="14"/>
      <c r="E17" s="28" t="s">
        <v>8</v>
      </c>
      <c r="F17" s="29" t="s">
        <v>9</v>
      </c>
      <c r="G17" s="5"/>
      <c r="H17" s="2"/>
      <c r="I17" s="12"/>
      <c r="J17" s="12"/>
      <c r="K17" s="12"/>
      <c r="L17" s="12"/>
    </row>
    <row r="18" customFormat="false" ht="12" hidden="false" customHeight="true" outlineLevel="0" collapsed="false">
      <c r="A18" s="12"/>
      <c r="B18" s="2"/>
      <c r="C18" s="2"/>
      <c r="D18" s="30"/>
      <c r="E18" s="5"/>
      <c r="F18" s="5"/>
      <c r="G18" s="5"/>
      <c r="H18" s="2"/>
      <c r="I18" s="12"/>
      <c r="J18" s="12"/>
      <c r="K18" s="12"/>
      <c r="L18" s="12"/>
    </row>
    <row r="19" customFormat="false" ht="9.75" hidden="false" customHeight="true" outlineLevel="0" collapsed="false">
      <c r="A19" s="12"/>
      <c r="B19" s="31"/>
      <c r="C19" s="31"/>
      <c r="D19" s="31"/>
      <c r="E19" s="31"/>
      <c r="F19" s="31"/>
      <c r="G19" s="31"/>
      <c r="H19" s="31"/>
      <c r="I19" s="12"/>
      <c r="J19" s="12"/>
      <c r="K19" s="12"/>
      <c r="L19" s="12"/>
    </row>
    <row r="20" customFormat="false" ht="12" hidden="false" customHeight="true" outlineLevel="0" collapsed="false">
      <c r="A20" s="12"/>
      <c r="B20" s="3"/>
      <c r="C20" s="3"/>
      <c r="D20" s="3"/>
      <c r="E20" s="3"/>
      <c r="F20" s="3"/>
      <c r="G20" s="3"/>
      <c r="H20" s="3"/>
      <c r="I20" s="12"/>
      <c r="J20" s="12"/>
      <c r="K20" s="12"/>
      <c r="L20" s="12"/>
    </row>
    <row r="21" customFormat="false" ht="24" hidden="false" customHeight="true" outlineLevel="0" collapsed="false">
      <c r="A21" s="12"/>
      <c r="B21" s="32"/>
      <c r="C21" s="33" t="s">
        <v>10</v>
      </c>
      <c r="D21" s="34"/>
      <c r="E21" s="34"/>
      <c r="F21" s="34"/>
      <c r="G21" s="35" t="s">
        <v>11</v>
      </c>
      <c r="H21" s="32"/>
      <c r="I21" s="12"/>
      <c r="J21" s="12"/>
      <c r="K21" s="12"/>
      <c r="L21" s="12"/>
    </row>
    <row r="22" customFormat="false" ht="7.5" hidden="false" customHeight="true" outlineLevel="0" collapsed="false">
      <c r="A22" s="12"/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2"/>
    </row>
    <row r="23" customFormat="false" ht="36" hidden="false" customHeight="true" outlineLevel="0" collapsed="false">
      <c r="A23" s="12"/>
      <c r="B23" s="12"/>
      <c r="C23" s="36" t="s">
        <v>12</v>
      </c>
      <c r="D23" s="37" t="s">
        <v>13</v>
      </c>
      <c r="E23" s="37"/>
      <c r="F23" s="37"/>
      <c r="G23" s="38" t="s">
        <v>14</v>
      </c>
      <c r="H23" s="39"/>
      <c r="I23" s="12"/>
      <c r="J23" s="12"/>
      <c r="K23" s="12"/>
      <c r="L23" s="12"/>
    </row>
    <row r="24" customFormat="false" ht="18" hidden="false" customHeight="true" outlineLevel="0" collapsed="false">
      <c r="A24" s="12"/>
      <c r="B24" s="12"/>
      <c r="C24" s="40"/>
      <c r="D24" s="41" t="s">
        <v>15</v>
      </c>
      <c r="E24" s="41"/>
      <c r="F24" s="41"/>
      <c r="G24" s="41"/>
      <c r="H24" s="40"/>
      <c r="I24" s="12"/>
      <c r="J24" s="12"/>
      <c r="K24" s="12"/>
      <c r="L24" s="12"/>
    </row>
    <row r="25" customFormat="false" ht="12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customFormat="false" ht="24" hidden="false" customHeight="true" outlineLevel="0" collapsed="false">
      <c r="A26" s="12"/>
      <c r="B26" s="12"/>
      <c r="C26" s="33" t="s">
        <v>16</v>
      </c>
      <c r="D26" s="42"/>
      <c r="E26" s="42"/>
      <c r="F26" s="42"/>
      <c r="G26" s="35" t="s">
        <v>17</v>
      </c>
      <c r="H26" s="12"/>
      <c r="I26" s="12"/>
      <c r="J26" s="12"/>
      <c r="K26" s="12"/>
      <c r="L26" s="12"/>
    </row>
    <row r="27" customFormat="false" ht="18" hidden="false" customHeight="true" outlineLevel="0" collapsed="false">
      <c r="A27" s="12"/>
      <c r="B27" s="39"/>
      <c r="C27" s="43" t="s">
        <v>18</v>
      </c>
      <c r="D27" s="43"/>
      <c r="E27" s="43" t="s">
        <v>19</v>
      </c>
      <c r="F27" s="44" t="s">
        <v>20</v>
      </c>
      <c r="G27" s="45" t="str">
        <f aca="false">UPPER("IRR n. St. ("&amp;Haltedauer&amp;" J.)")</f>
        <v>IRR N. ST. (12 J.)</v>
      </c>
      <c r="H27" s="39"/>
      <c r="I27" s="12"/>
      <c r="J27" s="12"/>
      <c r="K27" s="12"/>
      <c r="L27" s="12"/>
    </row>
    <row r="28" customFormat="false" ht="30" hidden="false" customHeight="true" outlineLevel="0" collapsed="false">
      <c r="A28" s="12"/>
      <c r="B28" s="39"/>
      <c r="C28" s="46" t="n">
        <f aca="false">CF_nSt_Monat_J1</f>
        <v>256.533045793917</v>
      </c>
      <c r="D28" s="46"/>
      <c r="E28" s="47" t="n">
        <f aca="false">Bruttomietrendite</f>
        <v>0.04</v>
      </c>
      <c r="F28" s="48" t="n">
        <f aca="false">DSCR_J1</f>
        <v>0.612</v>
      </c>
      <c r="G28" s="49" t="n">
        <f aca="false">EK_IRR</f>
        <v>0.0532739559084637</v>
      </c>
      <c r="H28" s="39"/>
      <c r="I28" s="12"/>
      <c r="J28" s="12"/>
      <c r="K28" s="12"/>
      <c r="L28" s="12"/>
    </row>
    <row r="29" customFormat="false" ht="19.5" hidden="false" customHeight="true" outlineLevel="0" collapsed="false">
      <c r="A29" s="12"/>
      <c r="B29" s="39"/>
      <c r="C29" s="50" t="str">
        <f aca="false">"Jahr 2: "&amp;SUBSTITUTE(FIXED(INDEX(Projektion!$D$37:$AQ$37,2),0),"-","−")&amp;" €"</f>
        <v>Jahr 2: −274 €</v>
      </c>
      <c r="D29" s="51" t="str">
        <f aca="false">IF(CF_nSt_Monat_J1&lt;0,"●  kritisch",IF(INDEX(Projektion!$D$37:$AQ$37,2)&lt;0,"●  prüfen",IF(ISNUMBER(CF_nSt_Monat_J1),"●  erfüllt","")))</f>
        <v>●  prüfen</v>
      </c>
      <c r="E29" s="52" t="str">
        <f aca="false">"Ziel ≥ "&amp;FIXED(Ampel_BMR_gruen*100,1)&amp;" %"</f>
        <v>Ziel ≥ 5.0 %</v>
      </c>
      <c r="F29" s="53" t="str">
        <f aca="false">"Jahr 1  ·  "&amp;"Ziel ≥ "&amp;FIXED(Ampel_DSCR_gruen,2)&amp;"×"</f>
        <v>Jahr 1  ·  Ziel ≥ 1.20×</v>
      </c>
      <c r="G29" s="54" t="str">
        <f aca="false">"Ziel ≥ "&amp;FIXED(Ampel_IRR_gruen*100,1)&amp;" %"</f>
        <v>Ziel ≥ 6.0 %</v>
      </c>
      <c r="H29" s="39"/>
      <c r="I29" s="12"/>
      <c r="J29" s="12"/>
      <c r="K29" s="12"/>
      <c r="L29" s="12"/>
    </row>
    <row r="30" customFormat="false" ht="15" hidden="true" customHeight="true" outlineLevel="0" collapsed="false">
      <c r="A30" s="12"/>
      <c r="B30" s="39"/>
      <c r="C30" s="55" t="s">
        <v>21</v>
      </c>
      <c r="D30" s="9"/>
      <c r="E30" s="55" t="s">
        <v>22</v>
      </c>
      <c r="F30" s="55" t="str">
        <f aca="false">"IRR n. St. – Verkauf nach "&amp;Haltedauer&amp;" J."</f>
        <v>IRR n. St. – Verkauf nach 12 J.</v>
      </c>
      <c r="G30" s="55" t="s">
        <v>23</v>
      </c>
      <c r="H30" s="39"/>
      <c r="I30" s="12"/>
      <c r="J30" s="12"/>
      <c r="K30" s="12"/>
      <c r="L30" s="12"/>
    </row>
    <row r="31" customFormat="false" ht="27.75" hidden="true" customHeight="true" outlineLevel="0" collapsed="false">
      <c r="A31" s="12"/>
      <c r="B31" s="39"/>
      <c r="C31" s="56" t="n">
        <f aca="false">CF_nSt_Monat_J1</f>
        <v>256.533045793917</v>
      </c>
      <c r="D31" s="9"/>
      <c r="E31" s="57" t="n">
        <f aca="false">DSCR_J1</f>
        <v>0.612</v>
      </c>
      <c r="F31" s="58" t="n">
        <f aca="false">EK_IRR</f>
        <v>0.0532739559084637</v>
      </c>
      <c r="G31" s="59" t="str">
        <f aca="false">CHOOSE(Rechtsform_Idx,"Privat","vv-GmbH","GmbH")&amp;" | "&amp;CHOOSE(Methode_eff,"nach Baujahr","linear 2 %","linear 2,5 %","linear 3 %","degressiv","Gutachten")</f>
        <v>Privat | nach Baujahr</v>
      </c>
      <c r="H31" s="39"/>
      <c r="I31" s="12"/>
      <c r="J31" s="12"/>
      <c r="K31" s="12"/>
      <c r="L31" s="12"/>
    </row>
    <row r="32" customFormat="false" ht="15" hidden="true" customHeight="true" outlineLevel="0" collapsed="false">
      <c r="A32" s="12"/>
      <c r="B32" s="39"/>
      <c r="C32" s="39"/>
      <c r="D32" s="39"/>
      <c r="E32" s="39"/>
      <c r="F32" s="39"/>
      <c r="G32" s="39"/>
      <c r="H32" s="39"/>
      <c r="I32" s="12"/>
      <c r="J32" s="12"/>
      <c r="K32" s="12"/>
      <c r="L32" s="12"/>
    </row>
    <row r="33" customFormat="false" ht="12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customFormat="false" ht="24" hidden="false" customHeight="true" outlineLevel="0" collapsed="false">
      <c r="A34" s="12"/>
      <c r="B34" s="12"/>
      <c r="C34" s="33" t="s">
        <v>24</v>
      </c>
      <c r="D34" s="60"/>
      <c r="E34" s="60"/>
      <c r="F34" s="60"/>
      <c r="G34" s="35" t="s">
        <v>25</v>
      </c>
      <c r="H34" s="40"/>
      <c r="I34" s="12"/>
      <c r="J34" s="12"/>
      <c r="K34" s="12"/>
      <c r="L34" s="12"/>
    </row>
    <row r="35" customFormat="false" ht="24" hidden="false" customHeight="true" outlineLevel="0" collapsed="false">
      <c r="A35" s="12"/>
      <c r="B35" s="12"/>
      <c r="C35" s="61" t="s">
        <v>26</v>
      </c>
      <c r="D35" s="61"/>
      <c r="E35" s="62" t="s">
        <v>27</v>
      </c>
      <c r="F35" s="62"/>
      <c r="G35" s="62"/>
      <c r="H35" s="40"/>
      <c r="I35" s="12"/>
      <c r="J35" s="12"/>
      <c r="K35" s="12"/>
      <c r="L35" s="12"/>
    </row>
    <row r="36" customFormat="false" ht="24" hidden="false" customHeight="true" outlineLevel="0" collapsed="false">
      <c r="A36" s="12"/>
      <c r="B36" s="12"/>
      <c r="C36" s="61" t="s">
        <v>28</v>
      </c>
      <c r="D36" s="61"/>
      <c r="E36" s="62" t="s">
        <v>29</v>
      </c>
      <c r="F36" s="62"/>
      <c r="G36" s="62"/>
      <c r="H36" s="40"/>
      <c r="I36" s="12"/>
      <c r="J36" s="12"/>
      <c r="K36" s="12"/>
      <c r="L36" s="12"/>
    </row>
    <row r="37" customFormat="false" ht="24" hidden="false" customHeight="true" outlineLevel="0" collapsed="false">
      <c r="A37" s="12"/>
      <c r="B37" s="12"/>
      <c r="C37" s="61" t="s">
        <v>30</v>
      </c>
      <c r="D37" s="61"/>
      <c r="E37" s="62" t="s">
        <v>31</v>
      </c>
      <c r="F37" s="62"/>
      <c r="G37" s="62"/>
      <c r="H37" s="40"/>
      <c r="I37" s="12"/>
      <c r="J37" s="12"/>
      <c r="K37" s="12"/>
      <c r="L37" s="12"/>
    </row>
    <row r="38" customFormat="false" ht="24" hidden="false" customHeight="true" outlineLevel="0" collapsed="false">
      <c r="A38" s="12"/>
      <c r="B38" s="12"/>
      <c r="C38" s="61" t="s">
        <v>32</v>
      </c>
      <c r="D38" s="61"/>
      <c r="E38" s="62" t="s">
        <v>33</v>
      </c>
      <c r="F38" s="62"/>
      <c r="G38" s="62"/>
      <c r="H38" s="40"/>
      <c r="I38" s="12"/>
      <c r="J38" s="12"/>
      <c r="K38" s="12"/>
      <c r="L38" s="12"/>
    </row>
    <row r="39" customFormat="false" ht="24" hidden="false" customHeight="true" outlineLevel="0" collapsed="false">
      <c r="A39" s="12"/>
      <c r="B39" s="12"/>
      <c r="C39" s="61" t="s">
        <v>34</v>
      </c>
      <c r="D39" s="61"/>
      <c r="E39" s="62" t="s">
        <v>35</v>
      </c>
      <c r="F39" s="62"/>
      <c r="G39" s="62"/>
      <c r="H39" s="40"/>
      <c r="I39" s="12"/>
      <c r="J39" s="12"/>
      <c r="K39" s="12"/>
      <c r="L39" s="12"/>
    </row>
    <row r="40" customFormat="false" ht="24" hidden="false" customHeight="true" outlineLevel="0" collapsed="false">
      <c r="A40" s="12"/>
      <c r="B40" s="12"/>
      <c r="C40" s="61" t="s">
        <v>36</v>
      </c>
      <c r="D40" s="61"/>
      <c r="E40" s="62" t="s">
        <v>37</v>
      </c>
      <c r="F40" s="62"/>
      <c r="G40" s="62"/>
      <c r="H40" s="40"/>
      <c r="I40" s="12"/>
      <c r="J40" s="12"/>
      <c r="K40" s="12"/>
      <c r="L40" s="12"/>
    </row>
    <row r="41" customFormat="false" ht="12" hidden="false" customHeight="true" outlineLevel="0" collapsed="false">
      <c r="A41" s="12"/>
      <c r="B41" s="12"/>
      <c r="C41" s="40"/>
      <c r="D41" s="40"/>
      <c r="E41" s="40"/>
      <c r="F41" s="40"/>
      <c r="G41" s="40"/>
      <c r="H41" s="40"/>
      <c r="I41" s="12"/>
      <c r="J41" s="12"/>
      <c r="K41" s="12"/>
      <c r="L41" s="12"/>
    </row>
    <row r="42" customFormat="false" ht="1.5" hidden="false" customHeight="true" outlineLevel="0" collapsed="false">
      <c r="A42" s="12"/>
      <c r="B42" s="12"/>
      <c r="C42" s="40"/>
      <c r="D42" s="40"/>
      <c r="E42" s="40"/>
      <c r="F42" s="40"/>
      <c r="G42" s="40"/>
      <c r="H42" s="40"/>
      <c r="I42" s="12"/>
      <c r="J42" s="12"/>
      <c r="K42" s="12"/>
      <c r="L42" s="12"/>
    </row>
    <row r="43" customFormat="false" ht="1.5" hidden="false" customHeight="true" outlineLevel="0" collapsed="false">
      <c r="A43" s="12"/>
      <c r="B43" s="12"/>
      <c r="C43" s="40"/>
      <c r="D43" s="40"/>
      <c r="E43" s="40"/>
      <c r="F43" s="40"/>
      <c r="G43" s="40"/>
      <c r="H43" s="40"/>
      <c r="I43" s="12"/>
      <c r="J43" s="12"/>
      <c r="K43" s="12"/>
      <c r="L43" s="12"/>
    </row>
    <row r="44" customFormat="false" ht="3.75" hidden="false" customHeight="true" outlineLevel="0" collapsed="false">
      <c r="A44" s="12"/>
      <c r="B44" s="12"/>
      <c r="C44" s="40"/>
      <c r="D44" s="40"/>
      <c r="E44" s="40"/>
      <c r="F44" s="40"/>
      <c r="G44" s="40"/>
      <c r="H44" s="40"/>
      <c r="I44" s="12"/>
      <c r="J44" s="12"/>
      <c r="K44" s="12"/>
      <c r="L44" s="12"/>
    </row>
    <row r="45" customFormat="false" ht="3.75" hidden="false" customHeight="true" outlineLevel="0" collapsed="false">
      <c r="A45" s="12"/>
      <c r="B45" s="12"/>
      <c r="C45" s="40"/>
      <c r="D45" s="40"/>
      <c r="E45" s="40"/>
      <c r="F45" s="40"/>
      <c r="G45" s="40"/>
      <c r="H45" s="40"/>
      <c r="I45" s="12"/>
      <c r="J45" s="12"/>
      <c r="K45" s="12"/>
      <c r="L45" s="12"/>
    </row>
    <row r="46" customFormat="false" ht="24" hidden="false" customHeight="true" outlineLevel="0" collapsed="false">
      <c r="A46" s="12"/>
      <c r="B46" s="12"/>
      <c r="C46" s="33" t="s">
        <v>38</v>
      </c>
      <c r="D46" s="60"/>
      <c r="E46" s="63"/>
      <c r="F46" s="33" t="s">
        <v>39</v>
      </c>
      <c r="G46" s="35" t="s">
        <v>40</v>
      </c>
      <c r="H46" s="40"/>
      <c r="I46" s="12"/>
      <c r="J46" s="12"/>
      <c r="K46" s="12"/>
      <c r="L46" s="12"/>
    </row>
    <row r="47" customFormat="false" ht="6" hidden="false" customHeight="true" outlineLevel="0" collapsed="false">
      <c r="A47" s="12"/>
      <c r="B47" s="12"/>
      <c r="C47" s="64"/>
      <c r="D47" s="40"/>
      <c r="E47" s="65"/>
      <c r="F47" s="66"/>
      <c r="G47" s="40"/>
      <c r="H47" s="40"/>
      <c r="I47" s="12"/>
      <c r="J47" s="12"/>
      <c r="K47" s="12"/>
      <c r="L47" s="12"/>
    </row>
    <row r="48" customFormat="false" ht="18" hidden="false" customHeight="true" outlineLevel="0" collapsed="false">
      <c r="A48" s="12"/>
      <c r="B48" s="12"/>
      <c r="C48" s="67" t="s">
        <v>41</v>
      </c>
      <c r="D48" s="68" t="s">
        <v>42</v>
      </c>
      <c r="E48" s="68"/>
      <c r="F48" s="69" t="s">
        <v>43</v>
      </c>
      <c r="G48" s="70" t="s">
        <v>44</v>
      </c>
      <c r="H48" s="40"/>
      <c r="I48" s="12"/>
      <c r="J48" s="12"/>
      <c r="K48" s="12"/>
      <c r="L48" s="12"/>
    </row>
    <row r="49" customFormat="false" ht="18" hidden="false" customHeight="true" outlineLevel="0" collapsed="false">
      <c r="A49" s="12"/>
      <c r="B49" s="12"/>
      <c r="C49" s="71" t="s">
        <v>45</v>
      </c>
      <c r="D49" s="68" t="s">
        <v>46</v>
      </c>
      <c r="E49" s="68"/>
      <c r="F49" s="69" t="s">
        <v>47</v>
      </c>
      <c r="G49" s="70" t="s">
        <v>48</v>
      </c>
      <c r="H49" s="40"/>
      <c r="I49" s="12"/>
      <c r="J49" s="12"/>
      <c r="K49" s="12"/>
      <c r="L49" s="12"/>
    </row>
    <row r="50" customFormat="false" ht="18" hidden="false" customHeight="true" outlineLevel="0" collapsed="false">
      <c r="A50" s="12"/>
      <c r="B50" s="12"/>
      <c r="C50" s="72" t="s">
        <v>49</v>
      </c>
      <c r="D50" s="68" t="s">
        <v>50</v>
      </c>
      <c r="E50" s="68"/>
      <c r="F50" s="69" t="s">
        <v>51</v>
      </c>
      <c r="G50" s="70" t="s">
        <v>52</v>
      </c>
      <c r="H50" s="40"/>
      <c r="I50" s="12"/>
      <c r="J50" s="12"/>
      <c r="K50" s="12"/>
      <c r="L50" s="12"/>
    </row>
    <row r="51" customFormat="false" ht="18" hidden="false" customHeight="true" outlineLevel="0" collapsed="false">
      <c r="A51" s="12"/>
      <c r="B51" s="12"/>
      <c r="C51" s="73" t="s">
        <v>53</v>
      </c>
      <c r="D51" s="68" t="s">
        <v>54</v>
      </c>
      <c r="E51" s="68"/>
      <c r="F51" s="69" t="s">
        <v>55</v>
      </c>
      <c r="G51" s="70" t="s">
        <v>56</v>
      </c>
      <c r="H51" s="40"/>
      <c r="I51" s="12"/>
      <c r="J51" s="12"/>
      <c r="K51" s="12"/>
      <c r="L51" s="12"/>
    </row>
    <row r="52" customFormat="false" ht="18" hidden="false" customHeight="true" outlineLevel="0" collapsed="false">
      <c r="A52" s="12"/>
      <c r="B52" s="12"/>
      <c r="C52" s="74" t="s">
        <v>57</v>
      </c>
      <c r="D52" s="68" t="s">
        <v>58</v>
      </c>
      <c r="E52" s="68"/>
      <c r="F52" s="69" t="s">
        <v>59</v>
      </c>
      <c r="G52" s="70" t="s">
        <v>60</v>
      </c>
      <c r="H52" s="40"/>
      <c r="I52" s="12"/>
      <c r="J52" s="12"/>
      <c r="K52" s="12"/>
      <c r="L52" s="12"/>
    </row>
    <row r="53" customFormat="false" ht="18" hidden="false" customHeight="true" outlineLevel="0" collapsed="false">
      <c r="A53" s="12"/>
      <c r="B53" s="12"/>
      <c r="C53" s="72" t="s">
        <v>61</v>
      </c>
      <c r="D53" s="75" t="s">
        <v>62</v>
      </c>
      <c r="E53" s="75"/>
      <c r="F53" s="69" t="s">
        <v>63</v>
      </c>
      <c r="G53" s="70" t="s">
        <v>64</v>
      </c>
      <c r="H53" s="40"/>
      <c r="I53" s="12"/>
      <c r="J53" s="12"/>
      <c r="K53" s="12"/>
      <c r="L53" s="12"/>
    </row>
    <row r="54" customFormat="false" ht="18" hidden="false" customHeight="true" outlineLevel="0" collapsed="false">
      <c r="A54" s="12"/>
      <c r="B54" s="12"/>
      <c r="C54" s="72" t="s">
        <v>65</v>
      </c>
      <c r="D54" s="76" t="s">
        <v>66</v>
      </c>
      <c r="E54" s="76"/>
      <c r="F54" s="69" t="s">
        <v>67</v>
      </c>
      <c r="G54" s="70" t="s">
        <v>68</v>
      </c>
      <c r="H54" s="40"/>
      <c r="I54" s="12"/>
      <c r="J54" s="12"/>
      <c r="K54" s="12"/>
      <c r="L54" s="12"/>
    </row>
    <row r="55" customFormat="false" ht="18" hidden="false" customHeight="true" outlineLevel="0" collapsed="false">
      <c r="A55" s="12"/>
      <c r="B55" s="12"/>
      <c r="C55" s="72" t="s">
        <v>69</v>
      </c>
      <c r="D55" s="68" t="s">
        <v>70</v>
      </c>
      <c r="E55" s="68"/>
      <c r="F55" s="69" t="s">
        <v>71</v>
      </c>
      <c r="G55" s="70" t="s">
        <v>72</v>
      </c>
      <c r="H55" s="40"/>
      <c r="I55" s="12"/>
      <c r="J55" s="12"/>
      <c r="K55" s="12"/>
      <c r="L55" s="12"/>
    </row>
    <row r="56" customFormat="false" ht="18" hidden="false" customHeight="true" outlineLevel="0" collapsed="false">
      <c r="A56" s="12"/>
      <c r="B56" s="12"/>
      <c r="C56" s="72" t="s">
        <v>73</v>
      </c>
      <c r="D56" s="68" t="s">
        <v>74</v>
      </c>
      <c r="E56" s="68"/>
      <c r="F56" s="69" t="s">
        <v>75</v>
      </c>
      <c r="G56" s="70" t="s">
        <v>76</v>
      </c>
      <c r="H56" s="40"/>
      <c r="I56" s="12"/>
      <c r="J56" s="12"/>
      <c r="K56" s="12"/>
      <c r="L56" s="12"/>
    </row>
    <row r="57" customFormat="false" ht="18" hidden="false" customHeight="true" outlineLevel="0" collapsed="false">
      <c r="A57" s="12"/>
      <c r="B57" s="12"/>
      <c r="C57" s="40"/>
      <c r="D57" s="40"/>
      <c r="E57" s="65"/>
      <c r="F57" s="69" t="s">
        <v>77</v>
      </c>
      <c r="G57" s="70" t="s">
        <v>78</v>
      </c>
      <c r="H57" s="40"/>
      <c r="I57" s="12"/>
      <c r="J57" s="12"/>
      <c r="K57" s="12"/>
      <c r="L57" s="12"/>
    </row>
    <row r="58" customFormat="false" ht="18" hidden="false" customHeight="true" outlineLevel="0" collapsed="false">
      <c r="A58" s="12"/>
      <c r="B58" s="12"/>
      <c r="C58" s="77" t="s">
        <v>79</v>
      </c>
      <c r="D58" s="77"/>
      <c r="E58" s="77"/>
      <c r="F58" s="69" t="s">
        <v>80</v>
      </c>
      <c r="G58" s="70" t="s">
        <v>81</v>
      </c>
      <c r="H58" s="40"/>
      <c r="I58" s="12"/>
      <c r="J58" s="12"/>
      <c r="K58" s="12"/>
      <c r="L58" s="12"/>
    </row>
    <row r="59" customFormat="false" ht="18" hidden="false" customHeight="true" outlineLevel="0" collapsed="false">
      <c r="A59" s="12"/>
      <c r="B59" s="12"/>
      <c r="C59" s="78" t="s">
        <v>82</v>
      </c>
      <c r="D59" s="78"/>
      <c r="E59" s="78"/>
      <c r="F59" s="69" t="s">
        <v>83</v>
      </c>
      <c r="G59" s="70" t="s">
        <v>84</v>
      </c>
      <c r="H59" s="40"/>
      <c r="I59" s="12"/>
      <c r="J59" s="12"/>
      <c r="K59" s="12"/>
      <c r="L59" s="12"/>
    </row>
    <row r="60" customFormat="false" ht="18" hidden="false" customHeight="true" outlineLevel="0" collapsed="false">
      <c r="A60" s="12"/>
      <c r="B60" s="12"/>
      <c r="C60" s="78"/>
      <c r="D60" s="78"/>
      <c r="E60" s="78"/>
      <c r="F60" s="69" t="s">
        <v>85</v>
      </c>
      <c r="G60" s="70" t="s">
        <v>86</v>
      </c>
      <c r="H60" s="40"/>
      <c r="I60" s="12"/>
      <c r="J60" s="12"/>
      <c r="K60" s="12"/>
      <c r="L60" s="12"/>
    </row>
    <row r="61" customFormat="false" ht="18" hidden="false" customHeight="true" outlineLevel="0" collapsed="false">
      <c r="A61" s="12"/>
      <c r="B61" s="12"/>
      <c r="C61" s="78"/>
      <c r="D61" s="78"/>
      <c r="E61" s="78"/>
      <c r="F61" s="69" t="s">
        <v>87</v>
      </c>
      <c r="G61" s="70" t="s">
        <v>88</v>
      </c>
      <c r="H61" s="40"/>
      <c r="I61" s="12"/>
      <c r="J61" s="12"/>
      <c r="K61" s="12"/>
      <c r="L61" s="12"/>
    </row>
    <row r="62" customFormat="false" ht="18" hidden="false" customHeight="true" outlineLevel="0" collapsed="false">
      <c r="A62" s="12"/>
      <c r="B62" s="12"/>
      <c r="C62" s="78"/>
      <c r="D62" s="78"/>
      <c r="E62" s="78"/>
      <c r="F62" s="69" t="s">
        <v>89</v>
      </c>
      <c r="G62" s="70" t="s">
        <v>90</v>
      </c>
      <c r="H62" s="40"/>
      <c r="I62" s="12"/>
      <c r="J62" s="12"/>
      <c r="K62" s="12"/>
      <c r="L62" s="12"/>
    </row>
    <row r="63" customFormat="false" ht="12" hidden="false" customHeight="true" outlineLevel="0" collapsed="false">
      <c r="A63" s="12"/>
      <c r="B63" s="12"/>
      <c r="C63" s="40"/>
      <c r="D63" s="40"/>
      <c r="E63" s="40"/>
      <c r="F63" s="40"/>
      <c r="G63" s="40"/>
      <c r="H63" s="40"/>
      <c r="I63" s="12"/>
      <c r="J63" s="12"/>
      <c r="K63" s="12"/>
      <c r="L63" s="12"/>
    </row>
    <row r="64" customFormat="false" ht="18" hidden="false" customHeight="true" outlineLevel="0" collapsed="false">
      <c r="A64" s="12"/>
      <c r="B64" s="12"/>
      <c r="C64" s="79" t="s">
        <v>91</v>
      </c>
      <c r="D64" s="80"/>
      <c r="E64" s="80"/>
      <c r="F64" s="80"/>
      <c r="G64" s="80"/>
      <c r="H64" s="40"/>
      <c r="I64" s="12"/>
      <c r="J64" s="12"/>
      <c r="K64" s="12"/>
      <c r="L64" s="12"/>
    </row>
    <row r="65" customFormat="false" ht="13.5" hidden="false" customHeight="true" outlineLevel="0" collapsed="false">
      <c r="A65" s="12"/>
      <c r="B65" s="12"/>
      <c r="C65" s="81" t="s">
        <v>92</v>
      </c>
      <c r="D65" s="40"/>
      <c r="E65" s="40"/>
      <c r="F65" s="40"/>
      <c r="G65" s="40"/>
      <c r="H65" s="40"/>
      <c r="I65" s="12"/>
      <c r="J65" s="12"/>
      <c r="K65" s="12"/>
      <c r="L65" s="12"/>
    </row>
    <row r="66" customFormat="false" ht="15" hidden="false" customHeight="true" outlineLevel="0" collapsed="false">
      <c r="A66" s="12"/>
      <c r="B66" s="12"/>
      <c r="C66" s="40"/>
      <c r="D66" s="40"/>
      <c r="E66" s="40"/>
      <c r="F66" s="40"/>
      <c r="G66" s="40"/>
      <c r="H66" s="40"/>
      <c r="I66" s="12"/>
      <c r="J66" s="12"/>
      <c r="K66" s="12"/>
      <c r="L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</sheetData>
  <sheetProtection sheet="true" objects="1" formatColumns="false" formatRows="false"/>
  <mergeCells count="32">
    <mergeCell ref="E6:F6"/>
    <mergeCell ref="E7:F7"/>
    <mergeCell ref="E9:G9"/>
    <mergeCell ref="E11:G11"/>
    <mergeCell ref="E12:G12"/>
    <mergeCell ref="D23:F23"/>
    <mergeCell ref="D24:G24"/>
    <mergeCell ref="C27:D27"/>
    <mergeCell ref="C28:D28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C58:E58"/>
    <mergeCell ref="C59:E62"/>
  </mergeCells>
  <conditionalFormatting sqref="D29">
    <cfRule type="expression" priority="2" aboveAverage="0" equalAverage="0" bottom="0" percent="0" rank="0" text="" dxfId="0">
      <formula>CF_nSt_Monat_J1&lt;0</formula>
    </cfRule>
    <cfRule type="expression" priority="3" aboveAverage="0" equalAverage="0" bottom="0" percent="0" rank="0" text="" dxfId="1">
      <formula>INDEX(Projektion!$D$37:$AQ$37,2)&lt;0</formula>
    </cfRule>
    <cfRule type="expression" priority="4" aboveAverage="0" equalAverage="0" bottom="0" percent="0" rank="0" text="" dxfId="2">
      <formula>ISNUMBER(CF_nSt_Monat_J1)</formula>
    </cfRule>
    <cfRule type="expression" priority="5" aboveAverage="0" equalAverage="0" bottom="0" percent="0" rank="0" text="" dxfId="3">
      <formula>1</formula>
    </cfRule>
  </conditionalFormatting>
  <conditionalFormatting sqref="C28:D28">
    <cfRule type="expression" priority="6" aboveAverage="0" equalAverage="0" bottom="0" percent="0" rank="0" text="" dxfId="0">
      <formula>CF_nSt_Monat_J1&lt;0</formula>
    </cfRule>
    <cfRule type="expression" priority="7" aboveAverage="0" equalAverage="0" bottom="0" percent="0" rank="0" text="" dxfId="1">
      <formula>INDEX(Projektion!$D$37:$AQ$37,2)&lt;0</formula>
    </cfRule>
    <cfRule type="expression" priority="8" aboveAverage="0" equalAverage="0" bottom="0" percent="0" rank="0" text="" dxfId="2">
      <formula>ISNUMBER(CF_nSt_Monat_J1)</formula>
    </cfRule>
    <cfRule type="expression" priority="9" aboveAverage="0" equalAverage="0" bottom="0" percent="0" rank="0" text="" dxfId="4">
      <formula>AND(ISNUMBER(C28),C28&lt;0)</formula>
    </cfRule>
    <cfRule type="expression" priority="10" aboveAverage="0" equalAverage="0" bottom="0" percent="0" rank="0" text="" dxfId="3">
      <formula>1</formula>
    </cfRule>
  </conditionalFormatting>
  <conditionalFormatting sqref="E29">
    <cfRule type="expression" priority="11" aboveAverage="0" equalAverage="0" bottom="0" percent="0" rank="0" text="" dxfId="5">
      <formula>AND(ISNUMBER(Bruttomietrendite),Bruttomietrendite&lt;Ampel_BMR_gelb)</formula>
    </cfRule>
    <cfRule type="expression" priority="12" aboveAverage="0" equalAverage="0" bottom="0" percent="0" rank="0" text="" dxfId="6">
      <formula>AND(ISNUMBER(Bruttomietrendite),Bruttomietrendite&lt;Ampel_BMR_gruen)</formula>
    </cfRule>
    <cfRule type="expression" priority="13" aboveAverage="0" equalAverage="0" bottom="0" percent="0" rank="0" text="" dxfId="7">
      <formula>ISNUMBER(Bruttomietrendite)</formula>
    </cfRule>
    <cfRule type="expression" priority="14" aboveAverage="0" equalAverage="0" bottom="0" percent="0" rank="0" text="" dxfId="3">
      <formula>1</formula>
    </cfRule>
  </conditionalFormatting>
  <conditionalFormatting sqref="E28">
    <cfRule type="expression" priority="15" aboveAverage="0" equalAverage="0" bottom="0" percent="0" rank="0" text="" dxfId="0">
      <formula>AND(ISNUMBER(Bruttomietrendite),Bruttomietrendite&lt;Ampel_BMR_gelb)</formula>
    </cfRule>
    <cfRule type="expression" priority="16" aboveAverage="0" equalAverage="0" bottom="0" percent="0" rank="0" text="" dxfId="1">
      <formula>AND(ISNUMBER(Bruttomietrendite),Bruttomietrendite&lt;Ampel_BMR_gruen)</formula>
    </cfRule>
    <cfRule type="expression" priority="17" aboveAverage="0" equalAverage="0" bottom="0" percent="0" rank="0" text="" dxfId="2">
      <formula>ISNUMBER(Bruttomietrendite)</formula>
    </cfRule>
    <cfRule type="expression" priority="18" aboveAverage="0" equalAverage="0" bottom="0" percent="0" rank="0" text="" dxfId="3">
      <formula>1</formula>
    </cfRule>
  </conditionalFormatting>
  <conditionalFormatting sqref="F29">
    <cfRule type="expression" priority="19" aboveAverage="0" equalAverage="0" bottom="0" percent="0" rank="0" text="" dxfId="5">
      <formula>AND(ISNUMBER(DSCR_J1),DSCR_J1&lt;Ampel_DSCR_gelb)</formula>
    </cfRule>
    <cfRule type="expression" priority="20" aboveAverage="0" equalAverage="0" bottom="0" percent="0" rank="0" text="" dxfId="6">
      <formula>AND(ISNUMBER(DSCR_J1),DSCR_J1&lt;Ampel_DSCR_gruen)</formula>
    </cfRule>
    <cfRule type="expression" priority="21" aboveAverage="0" equalAverage="0" bottom="0" percent="0" rank="0" text="" dxfId="7">
      <formula>ISNUMBER(DSCR_J1)</formula>
    </cfRule>
    <cfRule type="expression" priority="22" aboveAverage="0" equalAverage="0" bottom="0" percent="0" rank="0" text="" dxfId="3">
      <formula>1</formula>
    </cfRule>
  </conditionalFormatting>
  <conditionalFormatting sqref="F28">
    <cfRule type="expression" priority="23" aboveAverage="0" equalAverage="0" bottom="0" percent="0" rank="0" text="" dxfId="0">
      <formula>AND(ISNUMBER(DSCR_J1),DSCR_J1&lt;Ampel_DSCR_gelb)</formula>
    </cfRule>
    <cfRule type="expression" priority="24" aboveAverage="0" equalAverage="0" bottom="0" percent="0" rank="0" text="" dxfId="1">
      <formula>AND(ISNUMBER(DSCR_J1),DSCR_J1&lt;Ampel_DSCR_gruen)</formula>
    </cfRule>
    <cfRule type="expression" priority="25" aboveAverage="0" equalAverage="0" bottom="0" percent="0" rank="0" text="" dxfId="2">
      <formula>ISNUMBER(DSCR_J1)</formula>
    </cfRule>
    <cfRule type="expression" priority="26" aboveAverage="0" equalAverage="0" bottom="0" percent="0" rank="0" text="" dxfId="3">
      <formula>1</formula>
    </cfRule>
  </conditionalFormatting>
  <conditionalFormatting sqref="G29">
    <cfRule type="expression" priority="27" aboveAverage="0" equalAverage="0" bottom="0" percent="0" rank="0" text="" dxfId="5">
      <formula>AND(ISNUMBER(EK_IRR),EK_IRR&lt;Ampel_IRR_gelb)</formula>
    </cfRule>
    <cfRule type="expression" priority="28" aboveAverage="0" equalAverage="0" bottom="0" percent="0" rank="0" text="" dxfId="6">
      <formula>AND(ISNUMBER(EK_IRR),EK_IRR&lt;Ampel_IRR_gruen)</formula>
    </cfRule>
    <cfRule type="expression" priority="29" aboveAverage="0" equalAverage="0" bottom="0" percent="0" rank="0" text="" dxfId="7">
      <formula>ISNUMBER(EK_IRR)</formula>
    </cfRule>
    <cfRule type="expression" priority="30" aboveAverage="0" equalAverage="0" bottom="0" percent="0" rank="0" text="" dxfId="3">
      <formula>1</formula>
    </cfRule>
  </conditionalFormatting>
  <conditionalFormatting sqref="G28">
    <cfRule type="expression" priority="31" aboveAverage="0" equalAverage="0" bottom="0" percent="0" rank="0" text="" dxfId="0">
      <formula>AND(ISNUMBER(EK_IRR),EK_IRR&lt;Ampel_IRR_gelb)</formula>
    </cfRule>
    <cfRule type="expression" priority="32" aboveAverage="0" equalAverage="0" bottom="0" percent="0" rank="0" text="" dxfId="1">
      <formula>AND(ISNUMBER(EK_IRR),EK_IRR&lt;Ampel_IRR_gruen)</formula>
    </cfRule>
    <cfRule type="expression" priority="33" aboveAverage="0" equalAverage="0" bottom="0" percent="0" rank="0" text="" dxfId="2">
      <formula>ISNUMBER(EK_IRR)</formula>
    </cfRule>
    <cfRule type="expression" priority="34" aboveAverage="0" equalAverage="0" bottom="0" percent="0" rank="0" text="" dxfId="3">
      <formula>1</formula>
    </cfRule>
  </conditionalFormatting>
  <dataValidations count="2">
    <dataValidation allowBlank="false" error="Privatperson, vermögensverwaltende GmbH oder gewerbliche GmbH/Holding über ▾ auswählen." errorStyle="stop" errorTitle="Bitte aus der Liste wählen" operator="between" prompt="Privatperson oder Kapitalgesellschaft (vermögensverwaltende bzw. gewerbliche GmbH) aus der Liste wählen." promptTitle="Rechtsform" showDropDown="false" showErrorMessage="1" showInputMessage="true" sqref="D23" type="list">
      <formula1>L_Rechtsform</formula1>
      <formula2>0</formula2>
    </dataValidation>
    <dataValidation allowBlank="true" error="Bitte höchstens 60 Zeichen eingeben." errorStyle="stop" errorTitle="Zu lang" operator="lessThanOrEqual" prompt="Name oder Firma des Investors – erscheint auf Dashboard, Bankgespräch und den Schrittseiten." promptTitle="Erstellt für" showDropDown="false" showErrorMessage="1" showInputMessage="true" sqref="G7" type="textLength">
      <formula1>60</formula1>
      <formula2>0</formula2>
    </dataValidation>
  </dataValidations>
  <hyperlinks>
    <hyperlink ref="E17" location="'Start'!D23" display="Zuerst: Kauf als wählen  ↓"/>
    <hyperlink ref="F17" location="'Leitfaden'!A4" display="Leitfaden starten  ›"/>
    <hyperlink ref="G23" location="'Start'!D23" display="Auswahl ändern  ▾"/>
    <hyperlink ref="G26" location="'Dashboard'!A4" display="Details im Dashboard  ›"/>
    <hyperlink ref="C35" location="'Start'!D23" display="A   Kauf als wählen  ›"/>
    <hyperlink ref="C36" location="'Leitfaden'!A4" display="B   Leitfaden: Schritte 01–12  ›"/>
    <hyperlink ref="C37" location="'Dashboard'!A4" display="C   Dashboard  ›"/>
    <hyperlink ref="C38" location="'Cockpit'!A4" display="D   Cockpit &amp; Diagramme  ›"/>
    <hyperlink ref="C39" location="'Sensitivität'!A4" display="E   Sensitivität  ›"/>
    <hyperlink ref="C40" location="'Bankgespräch'!A4" display="F   Bankunterlagen  ›"/>
    <hyperlink ref="F48" location="'Leitfaden'!A4" display="Leitfaden  ›"/>
    <hyperlink ref="F49" location="'Dashboard'!A4" display="Dashboard  ›"/>
    <hyperlink ref="F50" location="'Cockpit'!A4" display="Cockpit  ›"/>
    <hyperlink ref="F51" location="'Diagramme'!A4" display="Diagramme  ›"/>
    <hyperlink ref="F52" location="'Eingaben'!A4" display="Eingaben  ›"/>
    <hyperlink ref="F53" location="'Projektion'!D11" display="Projektion  ›"/>
    <hyperlink ref="F54" location="'Steuern'!D4" display="Steuern  ›"/>
    <hyperlink ref="F55" location="'AfA-Vergleich'!D4" display="AfA-Vergleich  ›"/>
    <hyperlink ref="F56" location="'Finanzierung'!D11" display="Finanzierung  ›"/>
    <hyperlink ref="F57" location="'Sensitivität'!A4" display="Sensitivität  ›"/>
    <hyperlink ref="F58" location="'Bankgespräch'!A4" display="Bankgespräch  ›"/>
    <hyperlink ref="F59" location="'Haushaltsrechnung'!A4" display="Haushaltsrechnung  ›"/>
    <hyperlink ref="F60" location="'Vermögensaufstellung'!A4" display="Vermögensaufstellung  ›"/>
    <hyperlink ref="F61" location="'Hinweise'!A4" display="Hinweise  ›"/>
    <hyperlink ref="F62" location="'Konfiguration'!A4" display="Konfiguratio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3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P8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6" min="5" style="1" width="46"/>
    <col collapsed="false" customWidth="true" hidden="false" outlineLevel="0" max="7" min="7" style="1" width="0.25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false" outlineLevel="0" max="10" min="10" style="1" width="3"/>
    <col collapsed="false" customWidth="true" hidden="false" outlineLevel="0" max="12" min="11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5"/>
      <c r="E2" s="4"/>
      <c r="F2" s="6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84" t="s">
        <v>93</v>
      </c>
      <c r="D5" s="40"/>
      <c r="E5" s="40"/>
      <c r="F5" s="40"/>
      <c r="G5" s="40"/>
      <c r="H5" s="40"/>
      <c r="I5" s="85" t="s">
        <v>94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86" t="s">
        <v>95</v>
      </c>
      <c r="D6" s="40"/>
      <c r="E6" s="40"/>
      <c r="F6" s="40"/>
      <c r="G6" s="40"/>
      <c r="H6" s="87" t="s">
        <v>96</v>
      </c>
      <c r="I6" s="87"/>
      <c r="J6" s="12"/>
      <c r="K6" s="12"/>
      <c r="L6" s="12"/>
    </row>
    <row r="7" customFormat="false" ht="22.5" hidden="false" customHeight="true" outlineLevel="0" collapsed="false">
      <c r="A7" s="12"/>
      <c r="B7" s="12"/>
      <c r="C7" s="88" t="s">
        <v>97</v>
      </c>
      <c r="D7" s="88"/>
      <c r="E7" s="88"/>
      <c r="F7" s="89" t="s">
        <v>98</v>
      </c>
      <c r="G7" s="89"/>
      <c r="H7" s="40"/>
      <c r="I7" s="40"/>
      <c r="J7" s="12"/>
      <c r="K7" s="12"/>
      <c r="L7" s="12"/>
    </row>
    <row r="8" customFormat="false" ht="12" hidden="false" customHeight="true" outlineLevel="0" collapsed="false">
      <c r="A8" s="12"/>
      <c r="B8" s="12"/>
      <c r="C8" s="40"/>
      <c r="D8" s="40"/>
      <c r="E8" s="40"/>
      <c r="F8" s="40"/>
      <c r="G8" s="40"/>
      <c r="H8" s="40"/>
      <c r="I8" s="40"/>
      <c r="J8" s="12"/>
      <c r="K8" s="12"/>
      <c r="L8" s="12"/>
    </row>
    <row r="9" customFormat="false" ht="18" hidden="false" customHeight="true" outlineLevel="0" collapsed="false">
      <c r="A9" s="12"/>
      <c r="B9" s="12"/>
      <c r="C9" s="43" t="s">
        <v>5</v>
      </c>
      <c r="D9" s="43"/>
      <c r="E9" s="43" t="s">
        <v>99</v>
      </c>
      <c r="F9" s="45" t="s">
        <v>100</v>
      </c>
      <c r="G9" s="39"/>
      <c r="H9" s="90" t="s">
        <v>18</v>
      </c>
      <c r="I9" s="90"/>
      <c r="J9" s="12"/>
      <c r="K9" s="12"/>
      <c r="L9" s="12"/>
    </row>
    <row r="10" customFormat="false" ht="30" hidden="false" customHeight="true" outlineLevel="0" collapsed="false">
      <c r="A10" s="12"/>
      <c r="B10" s="12"/>
      <c r="C10" s="46" t="n">
        <f aca="false">Gesamtinvestition</f>
        <v>328974.5</v>
      </c>
      <c r="D10" s="46"/>
      <c r="E10" s="46" t="n">
        <f aca="false">EK_Bedarf_gesamt</f>
        <v>83974.5</v>
      </c>
      <c r="F10" s="91" t="n">
        <f aca="false">Kapitaldienst_Monat_J1</f>
        <v>1166.66666666667</v>
      </c>
      <c r="G10" s="39"/>
      <c r="H10" s="92" t="n">
        <f aca="false">CF_nSt_Monat_J1</f>
        <v>256.533045793917</v>
      </c>
      <c r="I10" s="92"/>
      <c r="J10" s="12"/>
      <c r="K10" s="12"/>
      <c r="L10" s="12"/>
    </row>
    <row r="11" customFormat="false" ht="19.5" hidden="false" customHeight="true" outlineLevel="0" collapsed="false">
      <c r="A11" s="12"/>
      <c r="B11" s="12"/>
      <c r="C11" s="52" t="str">
        <f aca="false">"Kaufpreis "&amp;FIXED(Kaufpreis,0)&amp;" €  ·  NK "&amp;FIXED(NK_Quote*100,1)&amp;" %"</f>
        <v>Kaufpreis 285,000 €  ·  NK 10.6 %</v>
      </c>
      <c r="D11" s="52"/>
      <c r="E11" s="52" t="str">
        <f aca="false">"Quote "&amp;FIXED(EK_Quote*100,1)&amp;" %  ·  Beleihung "&amp;FIXED(Beleihung*100,1)&amp;" %"</f>
        <v>Quote 24.0 %  ·  Beleihung 87.7 %</v>
      </c>
      <c r="F11" s="54" t="str">
        <f aca="false">"Volltilgung "&amp;Volltilgung_Txt</f>
        <v>Volltilgung Jahr 32 (2057)</v>
      </c>
      <c r="G11" s="39"/>
      <c r="H11" s="50" t="str">
        <f aca="false">"Jahr 2: "&amp;SUBSTITUTE(FIXED(INDEX(Projektion!$D$37:$AQ$37,2),0),"-","−")&amp;" €"</f>
        <v>Jahr 2: −274 €</v>
      </c>
      <c r="I11" s="93" t="str">
        <f aca="false">IF(CF_nSt_Monat_J1&lt;0,"●  kritisch",IF(INDEX(Projektion!$D$37:$AQ$37,2)&lt;0,"●  prüfen",IF(ISNUMBER(CF_nSt_Monat_J1),"●  erfüllt","")))</f>
        <v>●  prüfen</v>
      </c>
      <c r="J11" s="12"/>
      <c r="K11" s="12"/>
      <c r="L11" s="12"/>
    </row>
    <row r="12" customFormat="false" ht="15" hidden="true" customHeight="true" outlineLevel="0" collapsed="false">
      <c r="A12" s="12"/>
      <c r="B12" s="39"/>
      <c r="C12" s="55" t="s">
        <v>101</v>
      </c>
      <c r="D12" s="9"/>
      <c r="E12" s="55" t="s">
        <v>102</v>
      </c>
      <c r="F12" s="55" t="s">
        <v>22</v>
      </c>
      <c r="G12" s="39"/>
      <c r="H12" s="55" t="str">
        <f aca="false">"Eigenkapitalrendite p. a. (IRR) – Verkauf nach "&amp;Haltedauer&amp;" J."</f>
        <v>Eigenkapitalrendite p. a. (IRR) – Verkauf nach 12 J.</v>
      </c>
      <c r="I12" s="9"/>
      <c r="J12" s="12"/>
      <c r="K12" s="12"/>
      <c r="L12" s="12"/>
    </row>
    <row r="13" customFormat="false" ht="27.75" hidden="true" customHeight="true" outlineLevel="0" collapsed="false">
      <c r="A13" s="12"/>
      <c r="B13" s="39"/>
      <c r="C13" s="56" t="n">
        <f aca="false">CF_vSt_J1/12</f>
        <v>-452.666666666667</v>
      </c>
      <c r="D13" s="9"/>
      <c r="E13" s="58" t="n">
        <f aca="false">Bruttomietrendite</f>
        <v>0.04</v>
      </c>
      <c r="F13" s="57" t="n">
        <f aca="false">DSCR_J1</f>
        <v>0.612</v>
      </c>
      <c r="G13" s="39"/>
      <c r="H13" s="58" t="n">
        <f aca="false">EK_IRR</f>
        <v>0.0532739559084637</v>
      </c>
      <c r="I13" s="9"/>
      <c r="J13" s="12"/>
      <c r="K13" s="12"/>
      <c r="L13" s="12"/>
    </row>
    <row r="14" customFormat="false" ht="6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6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24" hidden="false" customHeight="true" outlineLevel="0" collapsed="false">
      <c r="A16" s="12"/>
      <c r="B16" s="12"/>
      <c r="C16" s="33" t="s">
        <v>103</v>
      </c>
      <c r="D16" s="42"/>
      <c r="E16" s="42"/>
      <c r="F16" s="94" t="s">
        <v>104</v>
      </c>
      <c r="G16" s="12"/>
      <c r="H16" s="12"/>
      <c r="I16" s="12"/>
      <c r="J16" s="12"/>
      <c r="K16" s="12"/>
      <c r="L16" s="12"/>
    </row>
    <row r="17" customFormat="false" ht="19.5" hidden="false" customHeight="true" outlineLevel="0" collapsed="false">
      <c r="A17" s="12"/>
      <c r="B17" s="12"/>
      <c r="C17" s="95" t="s">
        <v>105</v>
      </c>
      <c r="D17" s="96" t="s">
        <v>106</v>
      </c>
      <c r="E17" s="96" t="s">
        <v>107</v>
      </c>
      <c r="F17" s="97"/>
      <c r="G17" s="12"/>
      <c r="H17" s="12"/>
      <c r="I17" s="12"/>
      <c r="J17" s="12"/>
      <c r="K17" s="12"/>
      <c r="L17" s="12"/>
    </row>
    <row r="18" customFormat="false" ht="24" hidden="false" customHeight="true" outlineLevel="0" collapsed="false">
      <c r="A18" s="12"/>
      <c r="B18" s="12"/>
      <c r="C18" s="98" t="str">
        <f aca="false">IF(AND(Wohnflaeche&gt;0,Baujahr&gt;0),"✓","○")</f>
        <v>✓</v>
      </c>
      <c r="D18" s="61" t="s">
        <v>108</v>
      </c>
      <c r="E18" s="62" t="s">
        <v>109</v>
      </c>
      <c r="F18" s="62"/>
      <c r="G18" s="12"/>
      <c r="H18" s="12"/>
      <c r="I18" s="12"/>
      <c r="J18" s="12"/>
      <c r="K18" s="12"/>
      <c r="L18" s="12"/>
    </row>
    <row r="19" customFormat="false" ht="24" hidden="false" customHeight="true" outlineLevel="0" collapsed="false">
      <c r="A19" s="12"/>
      <c r="B19" s="12"/>
      <c r="C19" s="98" t="str">
        <f aca="false">IF(AND(Kaufpreis&gt;0,Miete_Monat&gt;0),"✓","○")</f>
        <v>✓</v>
      </c>
      <c r="D19" s="61" t="s">
        <v>110</v>
      </c>
      <c r="E19" s="62" t="s">
        <v>111</v>
      </c>
      <c r="F19" s="62"/>
      <c r="G19" s="12"/>
      <c r="H19" s="12"/>
      <c r="I19" s="12"/>
      <c r="J19" s="12"/>
      <c r="K19" s="12"/>
      <c r="L19" s="12"/>
    </row>
    <row r="20" customFormat="false" ht="24" hidden="false" customHeight="true" outlineLevel="0" collapsed="false">
      <c r="A20" s="12"/>
      <c r="B20" s="12"/>
      <c r="C20" s="98" t="str">
        <f aca="false">IF(NK_Summe&gt;0,"✓","○")</f>
        <v>✓</v>
      </c>
      <c r="D20" s="61" t="s">
        <v>112</v>
      </c>
      <c r="E20" s="62" t="s">
        <v>113</v>
      </c>
      <c r="F20" s="62"/>
      <c r="G20" s="12"/>
      <c r="H20" s="12"/>
      <c r="I20" s="12"/>
      <c r="J20" s="12"/>
      <c r="K20" s="12"/>
      <c r="L20" s="12"/>
    </row>
    <row r="21" customFormat="false" ht="24" hidden="false" customHeight="true" outlineLevel="0" collapsed="false">
      <c r="A21" s="12"/>
      <c r="B21" s="12"/>
      <c r="C21" s="98" t="str">
        <f aca="false">IF(AK_Gebaeude&gt;0,"✓","○")</f>
        <v>✓</v>
      </c>
      <c r="D21" s="61" t="s">
        <v>114</v>
      </c>
      <c r="E21" s="62" t="s">
        <v>115</v>
      </c>
      <c r="F21" s="62"/>
      <c r="G21" s="12"/>
      <c r="H21" s="12"/>
      <c r="I21" s="12"/>
      <c r="J21" s="12"/>
      <c r="K21" s="12"/>
      <c r="L21" s="12"/>
    </row>
    <row r="22" customFormat="false" ht="24" hidden="false" customHeight="true" outlineLevel="0" collapsed="false">
      <c r="A22" s="12"/>
      <c r="B22" s="12"/>
      <c r="C22" s="99" t="s">
        <v>116</v>
      </c>
      <c r="D22" s="61" t="s">
        <v>117</v>
      </c>
      <c r="E22" s="62" t="s">
        <v>118</v>
      </c>
      <c r="F22" s="62"/>
      <c r="G22" s="12"/>
      <c r="H22" s="12"/>
      <c r="I22" s="12"/>
      <c r="J22" s="12"/>
      <c r="K22" s="12"/>
      <c r="L22" s="12"/>
    </row>
    <row r="23" customFormat="false" ht="24" hidden="false" customHeight="true" outlineLevel="0" collapsed="false">
      <c r="A23" s="12"/>
      <c r="B23" s="12"/>
      <c r="C23" s="98" t="str">
        <f aca="false">IF(Hausgeld+Verwaltung_Monat+IH_Ruecklage_qm&gt;0,"✓","○")</f>
        <v>✓</v>
      </c>
      <c r="D23" s="61" t="s">
        <v>119</v>
      </c>
      <c r="E23" s="62" t="s">
        <v>120</v>
      </c>
      <c r="F23" s="62"/>
      <c r="G23" s="12"/>
      <c r="H23" s="12"/>
      <c r="I23" s="12"/>
      <c r="J23" s="12"/>
      <c r="K23" s="12"/>
      <c r="L23" s="12"/>
    </row>
    <row r="24" customFormat="false" ht="24" hidden="false" customHeight="true" outlineLevel="0" collapsed="false">
      <c r="A24" s="12"/>
      <c r="B24" s="12"/>
      <c r="C24" s="98" t="str">
        <f aca="false">IF(Darlehen_Summe&gt;0,"✓","○")</f>
        <v>✓</v>
      </c>
      <c r="D24" s="61" t="s">
        <v>121</v>
      </c>
      <c r="E24" s="62" t="s">
        <v>122</v>
      </c>
      <c r="F24" s="62"/>
      <c r="G24" s="12"/>
      <c r="H24" s="12"/>
      <c r="I24" s="12"/>
      <c r="J24" s="12"/>
      <c r="K24" s="12"/>
      <c r="L24" s="12"/>
    </row>
    <row r="25" customFormat="false" ht="24" hidden="false" customHeight="true" outlineLevel="0" collapsed="false">
      <c r="A25" s="12"/>
      <c r="B25" s="12"/>
      <c r="C25" s="98" t="str">
        <f aca="false">IF(Darlehen_Summe&gt;0,"✓","○")</f>
        <v>✓</v>
      </c>
      <c r="D25" s="61" t="s">
        <v>123</v>
      </c>
      <c r="E25" s="62" t="s">
        <v>124</v>
      </c>
      <c r="F25" s="62"/>
      <c r="G25" s="12"/>
      <c r="H25" s="12"/>
      <c r="I25" s="12"/>
      <c r="J25" s="12"/>
      <c r="K25" s="12"/>
      <c r="L25" s="12"/>
    </row>
    <row r="26" customFormat="false" ht="24" hidden="false" customHeight="true" outlineLevel="0" collapsed="false">
      <c r="A26" s="12"/>
      <c r="B26" s="12"/>
      <c r="C26" s="98" t="str">
        <f aca="false">IF(OR(Rechtsform_Idx&gt;1,zvE&gt;0),"✓","○")</f>
        <v>✓</v>
      </c>
      <c r="D26" s="61" t="s">
        <v>125</v>
      </c>
      <c r="E26" s="62" t="s">
        <v>126</v>
      </c>
      <c r="F26" s="62"/>
      <c r="G26" s="12"/>
      <c r="H26" s="12"/>
      <c r="I26" s="12"/>
      <c r="J26" s="12"/>
      <c r="K26" s="12"/>
      <c r="L26" s="12"/>
    </row>
    <row r="27" customFormat="false" ht="24" hidden="false" customHeight="true" outlineLevel="0" collapsed="false">
      <c r="A27" s="12"/>
      <c r="B27" s="12"/>
      <c r="C27" s="98" t="str">
        <f aca="false">IF(AfA_J1&gt;0,"✓","○")</f>
        <v>✓</v>
      </c>
      <c r="D27" s="61" t="s">
        <v>127</v>
      </c>
      <c r="E27" s="62" t="s">
        <v>128</v>
      </c>
      <c r="F27" s="62"/>
      <c r="G27" s="12"/>
      <c r="H27" s="12"/>
      <c r="I27" s="12"/>
      <c r="J27" s="12"/>
      <c r="K27" s="12"/>
      <c r="L27" s="12"/>
    </row>
    <row r="28" customFormat="false" ht="24" hidden="false" customHeight="true" outlineLevel="0" collapsed="false">
      <c r="A28" s="12"/>
      <c r="B28" s="12"/>
      <c r="C28" s="98" t="str">
        <f aca="false">IF(Haltedauer&gt;0,"✓","○")</f>
        <v>✓</v>
      </c>
      <c r="D28" s="61" t="s">
        <v>129</v>
      </c>
      <c r="E28" s="62" t="s">
        <v>130</v>
      </c>
      <c r="F28" s="62"/>
      <c r="G28" s="12"/>
      <c r="H28" s="12"/>
      <c r="I28" s="12"/>
      <c r="J28" s="12"/>
      <c r="K28" s="12"/>
      <c r="L28" s="12"/>
    </row>
    <row r="29" customFormat="false" ht="24" hidden="false" customHeight="true" outlineLevel="0" collapsed="false">
      <c r="A29" s="12"/>
      <c r="B29" s="12"/>
      <c r="C29" s="98" t="str">
        <f aca="false">IF(COUNTIF(C18:C28,"○")&gt;0,"○","✓")</f>
        <v>✓</v>
      </c>
      <c r="D29" s="61" t="s">
        <v>131</v>
      </c>
      <c r="E29" s="62" t="s">
        <v>132</v>
      </c>
      <c r="F29" s="62"/>
      <c r="G29" s="12"/>
      <c r="H29" s="12"/>
      <c r="I29" s="12"/>
      <c r="J29" s="12"/>
      <c r="K29" s="12"/>
      <c r="L29" s="12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12"/>
      <c r="K30" s="12"/>
      <c r="L30" s="12"/>
    </row>
    <row r="31" customFormat="false" ht="25.5" hidden="false" customHeight="true" outlineLevel="0" collapsed="false">
      <c r="A31" s="12"/>
      <c r="B31" s="12"/>
      <c r="C31" s="100" t="s">
        <v>133</v>
      </c>
      <c r="D31" s="100"/>
      <c r="E31" s="40"/>
      <c r="F31" s="40"/>
      <c r="G31" s="40"/>
      <c r="H31" s="101" t="s">
        <v>96</v>
      </c>
      <c r="I31" s="101"/>
      <c r="J31" s="12"/>
      <c r="K31" s="12"/>
      <c r="L31" s="12"/>
    </row>
    <row r="32" customFormat="false" ht="12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12"/>
      <c r="K32" s="12"/>
      <c r="L32" s="12"/>
    </row>
    <row r="33" customFormat="false" ht="18" hidden="false" customHeight="true" outlineLevel="0" collapsed="false">
      <c r="A33" s="12"/>
      <c r="B33" s="12"/>
      <c r="C33" s="79" t="s">
        <v>91</v>
      </c>
      <c r="D33" s="80"/>
      <c r="E33" s="80"/>
      <c r="F33" s="80"/>
      <c r="G33" s="80"/>
      <c r="H33" s="80"/>
      <c r="I33" s="80"/>
      <c r="J33" s="12"/>
      <c r="K33" s="12"/>
      <c r="L33" s="12"/>
    </row>
    <row r="34" customFormat="false" ht="13.5" hidden="false" customHeight="true" outlineLevel="0" collapsed="false">
      <c r="A34" s="12"/>
      <c r="B34" s="12"/>
      <c r="C34" s="81" t="s">
        <v>92</v>
      </c>
      <c r="D34" s="40"/>
      <c r="E34" s="40"/>
      <c r="F34" s="40"/>
      <c r="G34" s="40"/>
      <c r="H34" s="40"/>
      <c r="I34" s="40"/>
      <c r="J34" s="12"/>
      <c r="K34" s="12"/>
      <c r="L34" s="12"/>
    </row>
    <row r="35" customFormat="false" ht="15" hidden="false" customHeight="tru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12"/>
      <c r="K35" s="12"/>
      <c r="L35" s="12"/>
    </row>
    <row r="36" customFormat="false" ht="15" hidden="false" customHeight="tru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12"/>
      <c r="K36" s="12"/>
      <c r="L36" s="12"/>
    </row>
    <row r="37" customFormat="false" ht="15" hidden="false" customHeight="tru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12"/>
      <c r="K37" s="12"/>
      <c r="L37" s="12"/>
    </row>
    <row r="38" customFormat="false" ht="15" hidden="false" customHeight="tru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12"/>
      <c r="K38" s="12"/>
      <c r="L38" s="12"/>
    </row>
    <row r="39" customFormat="false" ht="15" hidden="false" customHeight="tru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12"/>
      <c r="K39" s="12"/>
      <c r="L39" s="12"/>
    </row>
    <row r="40" customFormat="false" ht="15" hidden="false" customHeight="tru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12"/>
      <c r="K40" s="12"/>
      <c r="L40" s="12"/>
    </row>
    <row r="41" customFormat="false" ht="15" hidden="false" customHeight="tru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12"/>
      <c r="K41" s="12"/>
      <c r="L41" s="12"/>
    </row>
    <row r="42" customFormat="false" ht="15" hidden="false" customHeight="tru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12"/>
      <c r="K42" s="12"/>
      <c r="L42" s="12"/>
    </row>
    <row r="43" customFormat="false" ht="15" hidden="false" customHeight="tru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12"/>
      <c r="K43" s="12"/>
      <c r="L43" s="12"/>
    </row>
    <row r="44" customFormat="false" ht="15" hidden="false" customHeight="tru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12"/>
      <c r="K44" s="12"/>
      <c r="L44" s="12"/>
    </row>
    <row r="45" customFormat="false" ht="15" hidden="false" customHeight="tru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12"/>
      <c r="K45" s="12"/>
      <c r="L45" s="12"/>
    </row>
    <row r="46" customFormat="false" ht="15" hidden="false" customHeight="tru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12"/>
      <c r="K46" s="12"/>
      <c r="L46" s="12"/>
    </row>
    <row r="47" customFormat="false" ht="15" hidden="false" customHeight="tru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12"/>
      <c r="K47" s="12"/>
      <c r="L47" s="12"/>
    </row>
    <row r="48" customFormat="false" ht="15" hidden="false" customHeight="tru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12"/>
      <c r="K48" s="12"/>
      <c r="L48" s="12"/>
    </row>
    <row r="49" customFormat="false" ht="15" hidden="false" customHeight="tru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12"/>
      <c r="K49" s="12"/>
      <c r="L49" s="12"/>
    </row>
    <row r="50" customFormat="false" ht="15" hidden="false" customHeight="tru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12"/>
      <c r="K50" s="12"/>
      <c r="L50" s="12"/>
    </row>
    <row r="51" customFormat="false" ht="15" hidden="false" customHeight="tru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12"/>
      <c r="K51" s="12"/>
      <c r="L51" s="12"/>
    </row>
    <row r="52" customFormat="false" ht="15" hidden="false" customHeight="tru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12"/>
      <c r="K52" s="12"/>
      <c r="L52" s="12"/>
    </row>
    <row r="53" customFormat="false" ht="15" hidden="false" customHeight="tru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12"/>
      <c r="K53" s="12"/>
      <c r="L53" s="12"/>
    </row>
    <row r="54" customFormat="false" ht="15" hidden="false" customHeight="tru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12"/>
      <c r="K54" s="12"/>
      <c r="L54" s="12"/>
    </row>
    <row r="55" customFormat="false" ht="15" hidden="false" customHeight="tru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12"/>
      <c r="K55" s="12"/>
      <c r="L55" s="12"/>
    </row>
    <row r="56" customFormat="false" ht="15" hidden="false" customHeight="tru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12"/>
      <c r="K56" s="12"/>
      <c r="L56" s="12"/>
    </row>
    <row r="57" customFormat="false" ht="15" hidden="false" customHeight="tru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12"/>
      <c r="K57" s="12"/>
      <c r="L57" s="12"/>
    </row>
    <row r="58" customFormat="false" ht="15" hidden="false" customHeight="tru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12"/>
      <c r="K58" s="12"/>
      <c r="L58" s="12"/>
    </row>
    <row r="59" customFormat="false" ht="15" hidden="false" customHeight="tru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12"/>
      <c r="K59" s="12"/>
      <c r="L59" s="12"/>
    </row>
    <row r="60" customFormat="false" ht="15" hidden="false" customHeight="tru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12"/>
      <c r="K60" s="12"/>
      <c r="L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</sheetData>
  <sheetProtection sheet="true" objects="1" formatColumns="false" formatRows="false"/>
  <mergeCells count="22">
    <mergeCell ref="H6:I6"/>
    <mergeCell ref="C7:E7"/>
    <mergeCell ref="F7:G7"/>
    <mergeCell ref="C9:D9"/>
    <mergeCell ref="H9:I9"/>
    <mergeCell ref="C10:D10"/>
    <mergeCell ref="H10:I10"/>
    <mergeCell ref="C11:D11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C31:D31"/>
    <mergeCell ref="H31:I31"/>
  </mergeCells>
  <conditionalFormatting sqref="C10:D10">
    <cfRule type="expression" priority="2" aboveAverage="0" equalAverage="0" bottom="0" percent="0" rank="0" text="" dxfId="4">
      <formula>AND(ISNUMBER(C10),C10&lt;0)</formula>
    </cfRule>
    <cfRule type="expression" priority="3" aboveAverage="0" equalAverage="0" bottom="0" percent="0" rank="0" text="" dxfId="3">
      <formula>1</formula>
    </cfRule>
  </conditionalFormatting>
  <conditionalFormatting sqref="E10">
    <cfRule type="expression" priority="4" aboveAverage="0" equalAverage="0" bottom="0" percent="0" rank="0" text="" dxfId="4">
      <formula>AND(ISNUMBER(E10),E10&lt;0)</formula>
    </cfRule>
    <cfRule type="expression" priority="5" aboveAverage="0" equalAverage="0" bottom="0" percent="0" rank="0" text="" dxfId="3">
      <formula>1</formula>
    </cfRule>
  </conditionalFormatting>
  <conditionalFormatting sqref="F10">
    <cfRule type="expression" priority="6" aboveAverage="0" equalAverage="0" bottom="0" percent="0" rank="0" text="" dxfId="4">
      <formula>AND(ISNUMBER(F10),F10&lt;0)</formula>
    </cfRule>
    <cfRule type="expression" priority="7" aboveAverage="0" equalAverage="0" bottom="0" percent="0" rank="0" text="" dxfId="3">
      <formula>1</formula>
    </cfRule>
  </conditionalFormatting>
  <conditionalFormatting sqref="I11">
    <cfRule type="expression" priority="8" aboveAverage="0" equalAverage="0" bottom="0" percent="0" rank="0" text="" dxfId="0">
      <formula>CF_nSt_Monat_J1&lt;0</formula>
    </cfRule>
    <cfRule type="expression" priority="9" aboveAverage="0" equalAverage="0" bottom="0" percent="0" rank="0" text="" dxfId="1">
      <formula>INDEX(Projektion!$D$37:$AQ$37,2)&lt;0</formula>
    </cfRule>
    <cfRule type="expression" priority="10" aboveAverage="0" equalAverage="0" bottom="0" percent="0" rank="0" text="" dxfId="2">
      <formula>ISNUMBER(CF_nSt_Monat_J1)</formula>
    </cfRule>
    <cfRule type="expression" priority="11" aboveAverage="0" equalAverage="0" bottom="0" percent="0" rank="0" text="" dxfId="3">
      <formula>1</formula>
    </cfRule>
  </conditionalFormatting>
  <conditionalFormatting sqref="H10:I10">
    <cfRule type="expression" priority="12" aboveAverage="0" equalAverage="0" bottom="0" percent="0" rank="0" text="" dxfId="0">
      <formula>CF_nSt_Monat_J1&lt;0</formula>
    </cfRule>
    <cfRule type="expression" priority="13" aboveAverage="0" equalAverage="0" bottom="0" percent="0" rank="0" text="" dxfId="1">
      <formula>INDEX(Projektion!$D$37:$AQ$37,2)&lt;0</formula>
    </cfRule>
    <cfRule type="expression" priority="14" aboveAverage="0" equalAverage="0" bottom="0" percent="0" rank="0" text="" dxfId="2">
      <formula>ISNUMBER(CF_nSt_Monat_J1)</formula>
    </cfRule>
    <cfRule type="expression" priority="15" aboveAverage="0" equalAverage="0" bottom="0" percent="0" rank="0" text="" dxfId="4">
      <formula>AND(ISNUMBER(H10),H10&lt;0)</formula>
    </cfRule>
    <cfRule type="expression" priority="16" aboveAverage="0" equalAverage="0" bottom="0" percent="0" rank="0" text="" dxfId="3">
      <formula>1</formula>
    </cfRule>
  </conditionalFormatting>
  <conditionalFormatting sqref="C18:C29">
    <cfRule type="expression" priority="17" aboveAverage="0" equalAverage="0" bottom="0" percent="0" rank="0" text="" dxfId="2">
      <formula>C18="✓"</formula>
    </cfRule>
    <cfRule type="expression" priority="18" aboveAverage="0" equalAverage="0" bottom="0" percent="0" rank="0" text="" dxfId="1">
      <formula>C18="○"</formula>
    </cfRule>
    <cfRule type="expression" priority="19" aboveAverage="0" equalAverage="0" bottom="0" percent="0" rank="0" text="" dxfId="3">
      <formula>1</formula>
    </cfRule>
  </conditionalFormatting>
  <hyperlinks>
    <hyperlink ref="C5" location="'Start'!A4" display="EINSTIEG  ›  IN ZWÖLF SCHRITTEN ZUR INVESTITIONSENTSCHEIDUNG"/>
    <hyperlink ref="I5" location="'Start'!A4" display="‹  Start"/>
    <hyperlink ref="H6" location="'S01 Objekt'!A4" display="Schritt 01 starten  ›"/>
    <hyperlink ref="F7" location="'Start'!D23" display="Kauf als wählen  ›"/>
    <hyperlink ref="D18" location="'S01 Objekt'!A4" display="01   Objekt  ›"/>
    <hyperlink ref="D19" location="'S02 Kaufpreis &amp; Miete'!A4" display="02   Kaufpreis &amp; Miete  ›"/>
    <hyperlink ref="D20" location="'S03 Kaufnebenkosten'!A4" display="03   Kaufnebenkosten  ›"/>
    <hyperlink ref="D21" location="'S04 Kaufpreisaufteilung'!A4" display="04   Kaufpreisaufteilung  ›"/>
    <hyperlink ref="D22" location="'S05 Maßnahmen &amp; Reserve'!A4" display="05   Maßnahmen &amp; Reserve  ›"/>
    <hyperlink ref="D23" location="'S06 Bewirtschaftung'!A4" display="06   Bewirtschaftung  ›"/>
    <hyperlink ref="D24" location="'S07 Finanzierung'!A4" display="07   Finanzierung  ›"/>
    <hyperlink ref="D25" location="'S08 Zwischenergebnis'!A4" display="08   Zwischenergebnis  ›"/>
    <hyperlink ref="D26" location="'S09 Steuern'!A4" display="09   Steuern  ›"/>
    <hyperlink ref="D27" location="'S10 Abschreibung'!A4" display="10   Abschreibung  ›"/>
    <hyperlink ref="D28" location="'S11 Prognose &amp; Exit'!A4" display="11   Prognose &amp; Exit  ›"/>
    <hyperlink ref="D29" location="'S12 Ergebnis'!A4" display="12   Ergebnis  ›"/>
    <hyperlink ref="C31" location="'Dashboard'!A4" display="Zum Dashboard  ›"/>
    <hyperlink ref="H31" location="'S01 Objekt'!A4" display="Schritt 01 starte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134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136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137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140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145</v>
      </c>
      <c r="I11" s="110" t="n">
        <f aca="false">GrESt_Satz</f>
        <v>0.05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146</v>
      </c>
      <c r="D12" s="112" t="s">
        <v>147</v>
      </c>
      <c r="E12" s="70"/>
      <c r="F12" s="113" t="s">
        <v>148</v>
      </c>
      <c r="G12" s="40"/>
      <c r="H12" s="72" t="s">
        <v>149</v>
      </c>
      <c r="I12" s="114" t="n">
        <f aca="false">AfA_Satz_auto</f>
        <v>0.02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150</v>
      </c>
      <c r="D13" s="112" t="s">
        <v>151</v>
      </c>
      <c r="E13" s="70"/>
      <c r="F13" s="113"/>
      <c r="G13" s="40"/>
      <c r="H13" s="72" t="s">
        <v>152</v>
      </c>
      <c r="I13" s="115" t="n">
        <f aca="false">YEAR(Kaufdatum)</f>
        <v>2026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153</v>
      </c>
      <c r="D14" s="112" t="s">
        <v>154</v>
      </c>
      <c r="E14" s="70"/>
      <c r="F14" s="113" t="s">
        <v>155</v>
      </c>
      <c r="G14" s="40"/>
      <c r="H14" s="72" t="s">
        <v>156</v>
      </c>
      <c r="I14" s="116" t="str">
        <f aca="false">IF(Wohngebaeude=1,"Ja","Nein (Gewerbe)")</f>
        <v>Ja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157</v>
      </c>
      <c r="D15" s="117" t="n">
        <v>75</v>
      </c>
      <c r="E15" s="70"/>
      <c r="F15" s="113" t="s">
        <v>158</v>
      </c>
      <c r="G15" s="40"/>
      <c r="H15" s="40"/>
      <c r="I15" s="40"/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159</v>
      </c>
      <c r="D16" s="117" t="n">
        <v>120</v>
      </c>
      <c r="E16" s="70"/>
      <c r="F16" s="113" t="s">
        <v>160</v>
      </c>
      <c r="G16" s="40"/>
      <c r="H16" s="118" t="s">
        <v>161</v>
      </c>
      <c r="I16" s="118"/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162</v>
      </c>
      <c r="D17" s="119" t="n">
        <v>1996</v>
      </c>
      <c r="E17" s="70"/>
      <c r="F17" s="113" t="s">
        <v>163</v>
      </c>
      <c r="G17" s="40"/>
      <c r="H17" s="120" t="str">
        <f aca="false">IF(Baujahr&gt;=2023,"Neubau (Fertigstellung ab 2023): 3 % lineare AfA. Degressive AfA (5 % vom Restwert) und die Sonder-AfA § 7b (5 % p. a., 4 Jahre) stehen in Schritt 10 zur Wahl – sofern Baubeginn, Effizienzstandard und Baukostengrenze passen.",IF(Baujahr&lt;1925,"Altbau (vor 1925): 2,5 % lineare AfA. Bei Baudenkmalen oder Sanierungsgebieten können erhöhte Absetzungen nach § 7h/7i EStG hinzukommen (Schritt 10).","Bestandsobjekt: 2 % lineare AfA. Eine kürzere Restnutzungsdauer lässt sich nur mit einem Sachverständigengutachten durchsetzen (Schritt 10)."))</f>
        <v>Bestandsobjekt: 2 % lineare AfA. Eine kürzere Restnutzungsdauer lässt sich nur mit einem Sachverständigengutachten durchsetzen (Schritt 10).</v>
      </c>
      <c r="I17" s="120"/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11" t="s">
        <v>164</v>
      </c>
      <c r="D18" s="121" t="n">
        <v>46357</v>
      </c>
      <c r="E18" s="70"/>
      <c r="F18" s="113" t="s">
        <v>165</v>
      </c>
      <c r="G18" s="40"/>
      <c r="H18" s="120"/>
      <c r="I18" s="120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111" t="s">
        <v>166</v>
      </c>
      <c r="D19" s="112" t="s">
        <v>167</v>
      </c>
      <c r="E19" s="70"/>
      <c r="F19" s="113" t="s">
        <v>168</v>
      </c>
      <c r="G19" s="40"/>
      <c r="H19" s="40"/>
      <c r="I19" s="40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40"/>
      <c r="D20" s="40"/>
      <c r="E20" s="40"/>
      <c r="F20" s="40"/>
      <c r="G20" s="40"/>
      <c r="H20" s="122" t="s">
        <v>169</v>
      </c>
      <c r="I20" s="123" t="s">
        <v>170</v>
      </c>
      <c r="J20" s="40"/>
      <c r="K20" s="40"/>
      <c r="L20" s="40"/>
    </row>
    <row r="21" customFormat="false" ht="21" hidden="false" customHeight="true" outlineLevel="0" collapsed="false">
      <c r="A21" s="12"/>
      <c r="B21" s="12"/>
      <c r="C21" s="88" t="s">
        <v>171</v>
      </c>
      <c r="D21" s="88"/>
      <c r="E21" s="88"/>
      <c r="F21" s="89" t="s">
        <v>172</v>
      </c>
      <c r="G21" s="40"/>
      <c r="H21" s="124" t="s">
        <v>173</v>
      </c>
      <c r="I21" s="124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40"/>
      <c r="D22" s="40"/>
      <c r="E22" s="40"/>
      <c r="F22" s="40"/>
      <c r="G22" s="40"/>
      <c r="H22" s="124"/>
      <c r="I22" s="124"/>
      <c r="J22" s="40"/>
      <c r="K22" s="40"/>
      <c r="L22" s="40"/>
    </row>
    <row r="23" customFormat="false" ht="12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125"/>
      <c r="D24" s="40"/>
      <c r="E24" s="125"/>
      <c r="F24" s="40"/>
      <c r="G24" s="40"/>
      <c r="H24" s="125"/>
      <c r="I24" s="40"/>
      <c r="J24" s="40"/>
      <c r="K24" s="40"/>
      <c r="L24" s="40"/>
    </row>
    <row r="25" customFormat="false" ht="25.5" hidden="false" customHeight="true" outlineLevel="0" collapsed="false">
      <c r="A25" s="12"/>
      <c r="B25" s="12"/>
      <c r="C25" s="126" t="s">
        <v>174</v>
      </c>
      <c r="D25" s="126"/>
      <c r="E25" s="100" t="s">
        <v>175</v>
      </c>
      <c r="F25" s="100"/>
      <c r="G25" s="100"/>
      <c r="H25" s="101" t="s">
        <v>176</v>
      </c>
      <c r="I25" s="101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125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8" hidden="false" customHeight="true" outlineLevel="0" collapsed="false">
      <c r="A27" s="12"/>
      <c r="B27" s="12"/>
      <c r="C27" s="127" t="s">
        <v>91</v>
      </c>
      <c r="D27" s="128"/>
      <c r="E27" s="128"/>
      <c r="F27" s="128"/>
      <c r="G27" s="128"/>
      <c r="H27" s="128"/>
      <c r="I27" s="128"/>
      <c r="J27" s="40"/>
      <c r="K27" s="40"/>
      <c r="L27" s="40"/>
    </row>
    <row r="28" customFormat="false" ht="13.5" hidden="false" customHeight="true" outlineLevel="0" collapsed="false">
      <c r="A28" s="12"/>
      <c r="B28" s="12"/>
      <c r="C28" s="81" t="s">
        <v>92</v>
      </c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5" hidden="false" customHeight="fals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0">
    <mergeCell ref="H6:I6"/>
    <mergeCell ref="C7:F7"/>
    <mergeCell ref="H7:I7"/>
    <mergeCell ref="H16:I16"/>
    <mergeCell ref="H17:I18"/>
    <mergeCell ref="C21:E21"/>
    <mergeCell ref="H21:I22"/>
    <mergeCell ref="C25:D25"/>
    <mergeCell ref="E25:G25"/>
    <mergeCell ref="H25:I25"/>
  </mergeCells>
  <dataValidations count="3">
    <dataValidation allowBlank="true" error="Bitte einen Wert aus der Liste ▾ wählen." errorStyle="stop" errorTitle="Bitte aus der Liste wählen" operator="between" showDropDown="false" showErrorMessage="1" showInputMessage="1" sqref="D14" type="list" promptTitle="Objektart" prompt="Bestimmt AfA-Satz und Sonder-AfA-Prüfung. Auswahl über ▾.">
      <formula1>Konfiguration!$G$10:$G$13</formula1>
      <formula2>0</formula2>
    </dataValidation>
    <dataValidation allowBlank="true" error="Bitte ein Baujahr zwischen 1800 und 2100 eingeben." errorStyle="stop" errorTitle="Ungültige Eingabe" operator="between" showDropDown="false" showErrorMessage="1" showInputMessage="false" sqref="D17" type="whole">
      <formula1>1800</formula1>
      <formula2>2100</formula2>
    </dataValidation>
    <dataValidation allowBlank="true" error="Bitte einen Wert aus der Liste ▾ wählen." errorStyle="stop" errorTitle="Bitte aus der Liste wählen" operator="between" showDropDown="false" showErrorMessage="1" showInputMessage="1" sqref="D19" type="list" promptTitle="Bundesland" prompt="Bestimmt den Grunderwerbsteuersatz. Auswahl über ▾.">
      <formula1>Konfiguration!$B$10:$B$25</formula1>
      <formula2>0</formula2>
    </dataValidation>
  </dataValidations>
  <hyperlinks>
    <hyperlink ref="C5" location="'Leitfaden'!A4" display="SCHRITT 01 / 12  ·  OBJEKT"/>
    <hyperlink ref="I5" location="'Leitfaden'!A4" display="‹  Leitfaden"/>
    <hyperlink ref="F21" location="'Start'!D23" display="Kauf als auf der Startseite wählen  ›"/>
    <hyperlink ref="C25" location="'Start'!D23" display="‹  Zurück: Start (Kauf als)"/>
    <hyperlink ref="E25" location="'Leitfaden'!A4" display="Übersicht: Leitfaden"/>
    <hyperlink ref="H25" location="'S02 Kaufpreis &amp; Miete'!A4" display="Weiter: Kaufpreis &amp; Miete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NavDrawing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177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178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111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179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180</v>
      </c>
      <c r="I11" s="129" t="n">
        <f aca="false">KP_Immobilie</f>
        <v>274000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181</v>
      </c>
      <c r="D12" s="130" t="n">
        <v>285000</v>
      </c>
      <c r="E12" s="70"/>
      <c r="F12" s="113" t="s">
        <v>182</v>
      </c>
      <c r="G12" s="40"/>
      <c r="H12" s="72" t="s">
        <v>183</v>
      </c>
      <c r="I12" s="129" t="n">
        <f aca="false">IF(Wohnflaeche&gt;0,KP_Immobilie/Wohnflaeche,0)</f>
        <v>3653.33333333333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31" t="s">
        <v>184</v>
      </c>
      <c r="D13" s="130" t="n">
        <v>8000</v>
      </c>
      <c r="E13" s="70"/>
      <c r="F13" s="113" t="s">
        <v>185</v>
      </c>
      <c r="G13" s="40"/>
      <c r="H13" s="72" t="s">
        <v>186</v>
      </c>
      <c r="I13" s="132" t="n">
        <f aca="false">Miete_qm</f>
        <v>12.6666666666667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187</v>
      </c>
      <c r="D14" s="133" t="n">
        <v>10</v>
      </c>
      <c r="E14" s="70"/>
      <c r="F14" s="113" t="s">
        <v>188</v>
      </c>
      <c r="G14" s="40"/>
      <c r="H14" s="72" t="s">
        <v>189</v>
      </c>
      <c r="I14" s="134" t="n">
        <f aca="false">Kaufpreisfaktor</f>
        <v>25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31" t="s">
        <v>190</v>
      </c>
      <c r="D15" s="130" t="n">
        <v>3000</v>
      </c>
      <c r="E15" s="70"/>
      <c r="F15" s="113" t="s">
        <v>191</v>
      </c>
      <c r="G15" s="40"/>
      <c r="H15" s="73" t="s">
        <v>192</v>
      </c>
      <c r="I15" s="135" t="n">
        <f aca="false">Bruttomietrendite</f>
        <v>0.04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193</v>
      </c>
      <c r="D16" s="130" t="n">
        <v>950</v>
      </c>
      <c r="E16" s="70" t="s">
        <v>194</v>
      </c>
      <c r="F16" s="113" t="s">
        <v>195</v>
      </c>
      <c r="G16" s="40"/>
      <c r="H16" s="136" t="s">
        <v>196</v>
      </c>
      <c r="I16" s="137" t="n">
        <f aca="false">Miete_Monat+NK_umlagefaehig</f>
        <v>1170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197</v>
      </c>
      <c r="D17" s="130" t="n">
        <v>220</v>
      </c>
      <c r="E17" s="70" t="s">
        <v>194</v>
      </c>
      <c r="F17" s="113" t="s">
        <v>198</v>
      </c>
      <c r="G17" s="40"/>
      <c r="H17" s="40"/>
      <c r="I17" s="40"/>
      <c r="J17" s="40"/>
      <c r="K17" s="40"/>
      <c r="L17" s="40"/>
    </row>
    <row r="18" customFormat="false" ht="19.5" hidden="false" customHeight="true" outlineLevel="0" collapsed="false">
      <c r="A18" s="12"/>
      <c r="B18" s="12"/>
      <c r="C18" s="40"/>
      <c r="D18" s="40"/>
      <c r="E18" s="40"/>
      <c r="F18" s="40"/>
      <c r="G18" s="40"/>
      <c r="H18" s="118" t="s">
        <v>102</v>
      </c>
      <c r="I18" s="138" t="str">
        <f aca="false">IF(AND(ISNUMBER(Bruttomietrendite),Bruttomietrendite&lt;Ampel_BMR_gelb),"●  kritisch"&amp;"  ·  "&amp;FIXED(Bruttomietrendite*100,1)&amp;" %",IF(AND(ISNUMBER(Bruttomietrendite),Bruttomietrendite&lt;Ampel_BMR_gruen),"●  prüfen"&amp;"  ·  "&amp;FIXED(Bruttomietrendite*100,1)&amp;" %",IF(ISNUMBER(Bruttomietrendite),"●  erfüllt"&amp;"  ·  "&amp;FIXED(Bruttomietrendite*100,1)&amp;" %","")))</f>
        <v>●  prüfen  ·  4.0 %</v>
      </c>
      <c r="J18" s="40"/>
      <c r="K18" s="40"/>
      <c r="L18" s="40"/>
    </row>
    <row r="19" customFormat="false" ht="42.75" hidden="false" customHeight="true" outlineLevel="0" collapsed="false">
      <c r="A19" s="12"/>
      <c r="B19" s="12"/>
      <c r="C19" s="40"/>
      <c r="D19" s="40"/>
      <c r="E19" s="40"/>
      <c r="F19" s="40"/>
      <c r="G19" s="40"/>
      <c r="H19" s="120" t="str">
        <f aca="false">IF(Bruttomietrendite&lt;Ampel_BMR_gelb,"Unter "&amp;FIXED(Ampel_BMR_gelb*100,1)&amp;" % trägt sich das Objekt aus der Miete allein meist nicht – bei üblicher Finanzierung wird der Cashflow vor Steuern negativ. Es rechnet sich dann nur über Tilgung, Wertentwicklung und Steuereffekte.",IF(Bruttomietrendite&lt;Ampel_BMR_gruen,"Ausbaufähig: Solide ist eine Bruttomietrendite ab "&amp;FIXED(Ampel_BMR_gruen*100,1)&amp;" %, zwischen "&amp;FIXED(Ampel_BMR_gelb*100,1)&amp;" und "&amp;FIXED(Ampel_BMR_gruen*100,1)&amp;" % trägt sich die Finanzierung meist nur mit mehr Eigenkapital. Ob der Cashflow reicht, zeigen die Schritte 6 bis 10.","Solide: Das Ziel von "&amp;FIXED(Ampel_BMR_gruen*100,1)&amp;" % ist erreicht. Ob der Cashflow nach Kapitaldienst und Steuern positiv ist, entscheidet sich in den Schritten 6 bis 10."))</f>
        <v>Ausbaufähig: Solide ist eine Bruttomietrendite ab 5.0 %, zwischen 4.0 und 5.0 % trägt sich die Finanzierung meist nur mit mehr Eigenkapital. Ob der Cashflow reicht, zeigen die Schritte 6 bis 10.</v>
      </c>
      <c r="I19" s="120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40"/>
      <c r="D21" s="40"/>
      <c r="E21" s="40"/>
      <c r="F21" s="40"/>
      <c r="G21" s="40"/>
      <c r="H21" s="122" t="s">
        <v>169</v>
      </c>
      <c r="I21" s="123" t="s">
        <v>199</v>
      </c>
      <c r="J21" s="40"/>
      <c r="K21" s="40"/>
      <c r="L21" s="40"/>
    </row>
    <row r="22" customFormat="false" ht="30" hidden="false" customHeight="true" outlineLevel="0" collapsed="false">
      <c r="A22" s="12"/>
      <c r="B22" s="12"/>
      <c r="C22" s="40"/>
      <c r="D22" s="40"/>
      <c r="E22" s="40"/>
      <c r="F22" s="40"/>
      <c r="G22" s="40"/>
      <c r="H22" s="124" t="s">
        <v>200</v>
      </c>
      <c r="I22" s="124"/>
      <c r="J22" s="40"/>
      <c r="K22" s="40"/>
      <c r="L22" s="40"/>
    </row>
    <row r="23" customFormat="false" ht="12" hidden="false" customHeight="true" outlineLevel="0" collapsed="false">
      <c r="A23" s="12"/>
      <c r="B23" s="12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25.5" hidden="false" customHeight="true" outlineLevel="0" collapsed="false">
      <c r="A25" s="12"/>
      <c r="B25" s="12"/>
      <c r="C25" s="126" t="s">
        <v>201</v>
      </c>
      <c r="D25" s="126"/>
      <c r="E25" s="100" t="s">
        <v>175</v>
      </c>
      <c r="F25" s="100"/>
      <c r="G25" s="100"/>
      <c r="H25" s="101" t="s">
        <v>202</v>
      </c>
      <c r="I25" s="101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125"/>
      <c r="D26" s="40"/>
      <c r="E26" s="125"/>
      <c r="F26" s="40"/>
      <c r="G26" s="40"/>
      <c r="H26" s="125"/>
      <c r="I26" s="40"/>
      <c r="J26" s="40"/>
      <c r="K26" s="40"/>
      <c r="L26" s="40"/>
    </row>
    <row r="27" customFormat="false" ht="18" hidden="false" customHeight="true" outlineLevel="0" collapsed="false">
      <c r="A27" s="12"/>
      <c r="B27" s="12"/>
      <c r="C27" s="127" t="s">
        <v>91</v>
      </c>
      <c r="D27" s="128"/>
      <c r="E27" s="128"/>
      <c r="F27" s="128"/>
      <c r="G27" s="128"/>
      <c r="H27" s="128"/>
      <c r="I27" s="128"/>
      <c r="J27" s="40"/>
      <c r="K27" s="40"/>
      <c r="L27" s="40"/>
    </row>
    <row r="28" customFormat="false" ht="13.5" hidden="false" customHeight="true" outlineLevel="0" collapsed="false">
      <c r="A28" s="12"/>
      <c r="B28" s="12"/>
      <c r="C28" s="81" t="s">
        <v>92</v>
      </c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5" hidden="false" customHeight="false" outlineLevel="0" collapsed="false">
      <c r="A29" s="12"/>
      <c r="B29" s="12"/>
      <c r="C29" s="125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8">
    <mergeCell ref="H6:I6"/>
    <mergeCell ref="C7:F7"/>
    <mergeCell ref="H7:I7"/>
    <mergeCell ref="H19:I19"/>
    <mergeCell ref="H22:I22"/>
    <mergeCell ref="C25:D25"/>
    <mergeCell ref="E25:G25"/>
    <mergeCell ref="H25:I25"/>
  </mergeCells>
  <conditionalFormatting sqref="I15">
    <cfRule type="expression" priority="2" aboveAverage="0" equalAverage="0" bottom="0" percent="0" rank="0" text="" dxfId="4">
      <formula>AND(ISNUMBER(I15),I15&lt;0)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8">
      <formula>AND(ISNUMBER(Bruttomietrendite),Bruttomietrendite&lt;Ampel_BMR_gelb)</formula>
    </cfRule>
    <cfRule type="expression" priority="5" aboveAverage="0" equalAverage="0" bottom="0" percent="0" rank="0" text="" dxfId="9">
      <formula>AND(ISNUMBER(Bruttomietrendite),Bruttomietrendite&lt;Ampel_BMR_gruen)</formula>
    </cfRule>
    <cfRule type="expression" priority="6" aboveAverage="0" equalAverage="0" bottom="0" percent="0" rank="0" text="" dxfId="10">
      <formula>ISNUMBER(Bruttomietrendite)</formula>
    </cfRule>
    <cfRule type="expression" priority="7" aboveAverage="0" equalAverage="0" bottom="0" percent="0" rank="0" text="" dxfId="3">
      <formula>1</formula>
    </cfRule>
  </conditionalFormatting>
  <conditionalFormatting sqref="H18:H19">
    <cfRule type="expression" priority="8" aboveAverage="0" equalAverage="0" bottom="0" percent="0" rank="0" text="" dxfId="11">
      <formula>AND(ISNUMBER(Bruttomietrendite),Bruttomietrendite&lt;Ampel_BMR_gelb)</formula>
    </cfRule>
    <cfRule type="expression" priority="9" aboveAverage="0" equalAverage="0" bottom="0" percent="0" rank="0" text="" dxfId="12">
      <formula>AND(ISNUMBER(Bruttomietrendite),Bruttomietrendite&lt;Ampel_BMR_gruen)</formula>
    </cfRule>
    <cfRule type="expression" priority="10" aboveAverage="0" equalAverage="0" bottom="0" percent="0" rank="0" text="" dxfId="13">
      <formula>ISNUMBER(Bruttomietrendite)</formula>
    </cfRule>
    <cfRule type="expression" priority="11" aboveAverage="0" equalAverage="0" bottom="0" percent="0" rank="0" text="" dxfId="3">
      <formula>1</formula>
    </cfRule>
  </conditionalFormatting>
  <hyperlinks>
    <hyperlink ref="C5" location="'Leitfaden'!A4" display="SCHRITT 02 / 12  ·  KAUFPREIS &amp; MIETE"/>
    <hyperlink ref="I5" location="'Leitfaden'!A4" display="‹  Leitfaden"/>
    <hyperlink ref="C25" location="'S01 Objekt'!A4" display="‹  Zurück: Objekt"/>
    <hyperlink ref="E25" location="'Leitfaden'!A4" display="Übersicht: Leitfaden"/>
    <hyperlink ref="H25" location="'S03 Kaufnebenkosten'!A4" display="Weiter: Kaufnebenkoste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NavDrawing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203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204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205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140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206</v>
      </c>
      <c r="I11" s="129" t="n">
        <f aca="false">GrESt_Betrag</f>
        <v>13850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207</v>
      </c>
      <c r="D12" s="139"/>
      <c r="E12" s="70"/>
      <c r="F12" s="113" t="s">
        <v>208</v>
      </c>
      <c r="G12" s="40"/>
      <c r="H12" s="72" t="s">
        <v>209</v>
      </c>
      <c r="I12" s="129" t="n">
        <f aca="false">Notar_Betrag</f>
        <v>4275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210</v>
      </c>
      <c r="D13" s="140" t="n">
        <v>0.015</v>
      </c>
      <c r="E13" s="70"/>
      <c r="F13" s="113" t="s">
        <v>211</v>
      </c>
      <c r="G13" s="40"/>
      <c r="H13" s="72" t="s">
        <v>212</v>
      </c>
      <c r="I13" s="129" t="n">
        <f aca="false">Grundbuch_Betrag</f>
        <v>1425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213</v>
      </c>
      <c r="D14" s="140" t="n">
        <v>0.005</v>
      </c>
      <c r="E14" s="70"/>
      <c r="F14" s="113" t="s">
        <v>214</v>
      </c>
      <c r="G14" s="40"/>
      <c r="H14" s="72" t="s">
        <v>215</v>
      </c>
      <c r="I14" s="129" t="n">
        <f aca="false">Makler_Betrag</f>
        <v>10174.5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216</v>
      </c>
      <c r="D15" s="140" t="n">
        <v>0.0357</v>
      </c>
      <c r="E15" s="70"/>
      <c r="F15" s="113" t="s">
        <v>217</v>
      </c>
      <c r="G15" s="40"/>
      <c r="H15" s="72" t="s">
        <v>218</v>
      </c>
      <c r="I15" s="129" t="n">
        <f aca="false">NK_Sonst</f>
        <v>500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219</v>
      </c>
      <c r="D16" s="130" t="n">
        <v>500</v>
      </c>
      <c r="E16" s="70"/>
      <c r="F16" s="113" t="s">
        <v>220</v>
      </c>
      <c r="G16" s="40"/>
      <c r="H16" s="141" t="s">
        <v>221</v>
      </c>
      <c r="I16" s="142" t="n">
        <f aca="false">NK_Summe</f>
        <v>30224.5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40"/>
      <c r="D17" s="40"/>
      <c r="E17" s="40"/>
      <c r="F17" s="40"/>
      <c r="G17" s="40"/>
      <c r="H17" s="143" t="s">
        <v>222</v>
      </c>
      <c r="I17" s="144" t="n">
        <f aca="false">NK_Quote</f>
        <v>0.106050877192982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45" t="s">
        <v>223</v>
      </c>
      <c r="D18" s="145"/>
      <c r="E18" s="145"/>
      <c r="F18" s="146" t="s">
        <v>224</v>
      </c>
      <c r="G18" s="40"/>
      <c r="H18" s="73" t="s">
        <v>225</v>
      </c>
      <c r="I18" s="147" t="n">
        <f aca="false">AK_Gesamt</f>
        <v>315224.5</v>
      </c>
      <c r="J18" s="40"/>
      <c r="K18" s="40"/>
      <c r="L18" s="40"/>
    </row>
    <row r="19" customFormat="false" ht="12" hidden="false" customHeight="true" outlineLevel="0" collapsed="false">
      <c r="A19" s="12"/>
      <c r="B19" s="12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40"/>
      <c r="D20" s="40"/>
      <c r="E20" s="40"/>
      <c r="F20" s="40"/>
      <c r="G20" s="40"/>
      <c r="H20" s="118" t="s">
        <v>226</v>
      </c>
      <c r="I20" s="118"/>
      <c r="J20" s="40"/>
      <c r="K20" s="40"/>
      <c r="L20" s="40"/>
    </row>
    <row r="21" customFormat="false" ht="42.75" hidden="false" customHeight="true" outlineLevel="0" collapsed="false">
      <c r="A21" s="12"/>
      <c r="B21" s="12"/>
      <c r="C21" s="40"/>
      <c r="D21" s="40"/>
      <c r="E21" s="40"/>
      <c r="F21" s="40"/>
      <c r="G21" s="40"/>
      <c r="H21" s="120" t="s">
        <v>227</v>
      </c>
      <c r="I21" s="120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48" t="s">
        <v>228</v>
      </c>
      <c r="I23" s="148"/>
      <c r="J23" s="40"/>
      <c r="K23" s="40"/>
      <c r="L23" s="40"/>
    </row>
    <row r="24" customFormat="false" ht="30" hidden="false" customHeight="true" outlineLevel="0" collapsed="false">
      <c r="A24" s="12"/>
      <c r="B24" s="12"/>
      <c r="C24" s="40"/>
      <c r="D24" s="40"/>
      <c r="E24" s="40"/>
      <c r="F24" s="40"/>
      <c r="G24" s="40"/>
      <c r="H24" s="46" t="n">
        <f aca="false">NK_Summe</f>
        <v>30224.5</v>
      </c>
      <c r="I24" s="46"/>
      <c r="J24" s="40"/>
      <c r="K24" s="40"/>
      <c r="L24" s="40"/>
    </row>
    <row r="25" customFormat="false" ht="19.5" hidden="false" customHeight="true" outlineLevel="0" collapsed="false">
      <c r="A25" s="12"/>
      <c r="B25" s="12"/>
      <c r="C25" s="40"/>
      <c r="D25" s="40"/>
      <c r="E25" s="40"/>
      <c r="F25" s="40"/>
      <c r="G25" s="40"/>
      <c r="H25" s="52" t="str">
        <f aca="false">IFERROR("je m² Wohnfläche: "&amp;FIXED(NK_Summe/Wohnflaeche,0)&amp;" €","")</f>
        <v>je m² Wohnfläche: 403 €</v>
      </c>
      <c r="I25" s="52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9.5" hidden="false" customHeight="true" outlineLevel="0" collapsed="false">
      <c r="A27" s="12"/>
      <c r="B27" s="12"/>
      <c r="C27" s="40"/>
      <c r="D27" s="40"/>
      <c r="E27" s="40"/>
      <c r="F27" s="40"/>
      <c r="G27" s="40"/>
      <c r="H27" s="122" t="s">
        <v>169</v>
      </c>
      <c r="I27" s="123" t="s">
        <v>229</v>
      </c>
      <c r="J27" s="40"/>
      <c r="K27" s="40"/>
      <c r="L27" s="40"/>
    </row>
    <row r="28" customFormat="false" ht="30" hidden="false" customHeight="true" outlineLevel="0" collapsed="false">
      <c r="A28" s="12"/>
      <c r="B28" s="12"/>
      <c r="C28" s="40"/>
      <c r="D28" s="40"/>
      <c r="E28" s="40"/>
      <c r="F28" s="40"/>
      <c r="G28" s="40"/>
      <c r="H28" s="124" t="s">
        <v>230</v>
      </c>
      <c r="I28" s="124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25.5" hidden="false" customHeight="true" outlineLevel="0" collapsed="false">
      <c r="A31" s="12"/>
      <c r="B31" s="12"/>
      <c r="C31" s="126" t="s">
        <v>231</v>
      </c>
      <c r="D31" s="126"/>
      <c r="E31" s="100" t="s">
        <v>175</v>
      </c>
      <c r="F31" s="100"/>
      <c r="G31" s="100"/>
      <c r="H31" s="101" t="s">
        <v>232</v>
      </c>
      <c r="I31" s="101"/>
      <c r="J31" s="40"/>
      <c r="K31" s="40"/>
      <c r="L31" s="40"/>
    </row>
    <row r="32" customFormat="false" ht="12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8" hidden="false" customHeight="true" outlineLevel="0" collapsed="false">
      <c r="A33" s="12"/>
      <c r="B33" s="12"/>
      <c r="C33" s="127" t="s">
        <v>91</v>
      </c>
      <c r="D33" s="128"/>
      <c r="E33" s="128"/>
      <c r="F33" s="128"/>
      <c r="G33" s="128"/>
      <c r="H33" s="128"/>
      <c r="I33" s="128"/>
      <c r="J33" s="40"/>
      <c r="K33" s="40"/>
      <c r="L33" s="40"/>
    </row>
    <row r="34" customFormat="false" ht="13.5" hidden="false" customHeight="true" outlineLevel="0" collapsed="false">
      <c r="A34" s="12"/>
      <c r="B34" s="12"/>
      <c r="C34" s="81" t="s">
        <v>92</v>
      </c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25"/>
      <c r="D44" s="40"/>
      <c r="E44" s="125"/>
      <c r="F44" s="40"/>
      <c r="G44" s="40"/>
      <c r="H44" s="125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25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25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8" hidden="true" customHeight="true" outlineLevel="0" collapsed="false">
      <c r="A60" s="12"/>
      <c r="B60" s="12"/>
      <c r="C60" s="149" t="s">
        <v>233</v>
      </c>
      <c r="D60" s="149"/>
      <c r="E60" s="149"/>
      <c r="F60" s="149"/>
      <c r="G60" s="40"/>
      <c r="H60" s="40"/>
      <c r="I60" s="40"/>
      <c r="J60" s="40"/>
      <c r="K60" s="40"/>
      <c r="L60" s="40"/>
    </row>
    <row r="61" customFormat="false" ht="15" hidden="true" customHeight="true" outlineLevel="0" collapsed="false">
      <c r="A61" s="12"/>
      <c r="B61" s="12"/>
      <c r="C61" s="149" t="s">
        <v>206</v>
      </c>
      <c r="D61" s="150" t="n">
        <f aca="false">GrESt_Betrag</f>
        <v>13850</v>
      </c>
      <c r="E61" s="149"/>
      <c r="F61" s="149"/>
      <c r="G61" s="40"/>
      <c r="H61" s="40"/>
      <c r="I61" s="40"/>
      <c r="J61" s="40"/>
      <c r="K61" s="40"/>
      <c r="L61" s="40"/>
    </row>
    <row r="62" customFormat="false" ht="15" hidden="true" customHeight="true" outlineLevel="0" collapsed="false">
      <c r="A62" s="12"/>
      <c r="B62" s="12"/>
      <c r="C62" s="149" t="s">
        <v>209</v>
      </c>
      <c r="D62" s="150" t="n">
        <f aca="false">Notar_Betrag</f>
        <v>4275</v>
      </c>
      <c r="E62" s="149"/>
      <c r="F62" s="149"/>
      <c r="G62" s="40"/>
      <c r="H62" s="40"/>
      <c r="I62" s="40"/>
      <c r="J62" s="40"/>
      <c r="K62" s="40"/>
      <c r="L62" s="40"/>
    </row>
    <row r="63" customFormat="false" ht="15" hidden="true" customHeight="true" outlineLevel="0" collapsed="false">
      <c r="A63" s="12"/>
      <c r="B63" s="12"/>
      <c r="C63" s="149" t="s">
        <v>212</v>
      </c>
      <c r="D63" s="150" t="n">
        <f aca="false">Grundbuch_Betrag</f>
        <v>1425</v>
      </c>
      <c r="E63" s="149"/>
      <c r="F63" s="149"/>
      <c r="G63" s="40"/>
      <c r="H63" s="40"/>
      <c r="I63" s="40"/>
      <c r="J63" s="40"/>
      <c r="K63" s="40"/>
      <c r="L63" s="40"/>
    </row>
    <row r="64" customFormat="false" ht="15" hidden="true" customHeight="true" outlineLevel="0" collapsed="false">
      <c r="A64" s="12"/>
      <c r="B64" s="12"/>
      <c r="C64" s="149" t="s">
        <v>215</v>
      </c>
      <c r="D64" s="150" t="n">
        <f aca="false">Makler_Betrag</f>
        <v>10174.5</v>
      </c>
      <c r="E64" s="149"/>
      <c r="F64" s="149"/>
      <c r="G64" s="40"/>
      <c r="H64" s="40"/>
      <c r="I64" s="40"/>
      <c r="J64" s="40"/>
      <c r="K64" s="40"/>
      <c r="L64" s="40"/>
    </row>
    <row r="65" customFormat="false" ht="15" hidden="true" customHeight="true" outlineLevel="0" collapsed="false">
      <c r="A65" s="12"/>
      <c r="B65" s="12"/>
      <c r="C65" s="149" t="s">
        <v>218</v>
      </c>
      <c r="D65" s="150" t="n">
        <f aca="false">NK_Sonst</f>
        <v>500</v>
      </c>
      <c r="E65" s="149"/>
      <c r="F65" s="149"/>
      <c r="G65" s="40"/>
      <c r="H65" s="40"/>
      <c r="I65" s="40"/>
      <c r="J65" s="40"/>
      <c r="K65" s="40"/>
      <c r="L65" s="40"/>
    </row>
    <row r="66" customFormat="false" ht="15" hidden="true" customHeight="true" outlineLevel="0" collapsed="false">
      <c r="A66" s="12"/>
      <c r="B66" s="12"/>
      <c r="C66" s="149"/>
      <c r="D66" s="149"/>
      <c r="E66" s="149"/>
      <c r="F66" s="149"/>
      <c r="G66" s="40"/>
      <c r="H66" s="40"/>
      <c r="I66" s="40"/>
      <c r="J66" s="40"/>
      <c r="K66" s="40"/>
      <c r="L66" s="40"/>
    </row>
    <row r="67" customFormat="false" ht="15" hidden="false" customHeight="tru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tru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tru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tru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tru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tru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tru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tru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tru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tru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tru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tru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tru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tru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tru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tru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tru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tru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tru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tru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tru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tru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tru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tru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2">
    <mergeCell ref="H6:I6"/>
    <mergeCell ref="C7:F7"/>
    <mergeCell ref="H7:I7"/>
    <mergeCell ref="H20:I20"/>
    <mergeCell ref="H21:I21"/>
    <mergeCell ref="H23:I23"/>
    <mergeCell ref="H24:I24"/>
    <mergeCell ref="H25:I25"/>
    <mergeCell ref="H28:I28"/>
    <mergeCell ref="C31:D31"/>
    <mergeCell ref="E31:G31"/>
    <mergeCell ref="H31:I31"/>
  </mergeCells>
  <conditionalFormatting sqref="I16">
    <cfRule type="expression" priority="2" aboveAverage="0" equalAverage="0" bottom="0" percent="0" rank="0" text="" dxfId="4">
      <formula>AND(ISNUMBER(I16),I16&lt;0)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4">
      <formula>AND(ISNUMBER(I18),I18&lt;0)</formula>
    </cfRule>
    <cfRule type="expression" priority="5" aboveAverage="0" equalAverage="0" bottom="0" percent="0" rank="0" text="" dxfId="3">
      <formula>1</formula>
    </cfRule>
  </conditionalFormatting>
  <conditionalFormatting sqref="H24:I24">
    <cfRule type="expression" priority="6" aboveAverage="0" equalAverage="0" bottom="0" percent="0" rank="0" text="" dxfId="4">
      <formula>AND(ISNUMBER(H24),H24&lt;0)</formula>
    </cfRule>
    <cfRule type="expression" priority="7" aboveAverage="0" equalAverage="0" bottom="0" percent="0" rank="0" text="" dxfId="3">
      <formula>1</formula>
    </cfRule>
  </conditionalFormatting>
  <dataValidations count="1">
    <dataValidation allowBlank="true" error="Bitte einen Prozentwert zwischen 0 % und 100 % eingeben." errorStyle="stop" errorTitle="Ungültige Eingabe" operator="between" showDropDown="false" showErrorMessage="1" showInputMessage="false" sqref="D12:D15" type="decimal">
      <formula1>0</formula1>
      <formula2>1</formula2>
    </dataValidation>
  </dataValidations>
  <hyperlinks>
    <hyperlink ref="C5" location="'Leitfaden'!A4" display="SCHRITT 03 / 12  ·  KAUFNEBENKOSTEN"/>
    <hyperlink ref="I5" location="'Leitfaden'!A4" display="‹  Leitfaden"/>
    <hyperlink ref="C31" location="'S02 Kaufpreis &amp; Miete'!A4" display="‹  Zurück: Kaufpreis &amp; Miete"/>
    <hyperlink ref="E31" location="'Leitfaden'!A4" display="Übersicht: Leitfaden"/>
    <hyperlink ref="H31" location="'S04 Kaufpreisaufteilung'!A4" display="Weiter: Kaufpreisaufteil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234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235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236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140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180</v>
      </c>
      <c r="I11" s="129" t="n">
        <f aca="false">KP_Immobilie</f>
        <v>274000</v>
      </c>
      <c r="J11" s="40"/>
      <c r="K11" s="40"/>
      <c r="L11" s="40"/>
    </row>
    <row r="12" customFormat="false" ht="31.5" hidden="false" customHeight="true" outlineLevel="0" collapsed="false">
      <c r="A12" s="12"/>
      <c r="B12" s="12"/>
      <c r="C12" s="111" t="s">
        <v>237</v>
      </c>
      <c r="D12" s="112" t="s">
        <v>238</v>
      </c>
      <c r="E12" s="70"/>
      <c r="F12" s="113" t="s">
        <v>239</v>
      </c>
      <c r="G12" s="40"/>
      <c r="H12" s="72" t="s">
        <v>240</v>
      </c>
      <c r="I12" s="129" t="n">
        <f aca="false">Bodenwert</f>
        <v>54000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241</v>
      </c>
      <c r="D13" s="130" t="n">
        <v>450</v>
      </c>
      <c r="E13" s="70" t="s">
        <v>242</v>
      </c>
      <c r="F13" s="113" t="s">
        <v>243</v>
      </c>
      <c r="G13" s="40"/>
      <c r="H13" s="72" t="s">
        <v>244</v>
      </c>
      <c r="I13" s="110" t="n">
        <f aca="false">Gebaeudeanteil_Pct</f>
        <v>0.802919708029197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245</v>
      </c>
      <c r="D14" s="151" t="n">
        <v>0.2</v>
      </c>
      <c r="E14" s="70"/>
      <c r="F14" s="113" t="s">
        <v>246</v>
      </c>
      <c r="G14" s="40"/>
      <c r="H14" s="72" t="s">
        <v>247</v>
      </c>
      <c r="I14" s="129" t="n">
        <f aca="false">AK_Boden</f>
        <v>59956.6532846715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248</v>
      </c>
      <c r="D15" s="130"/>
      <c r="E15" s="70"/>
      <c r="F15" s="113" t="s">
        <v>249</v>
      </c>
      <c r="G15" s="40"/>
      <c r="H15" s="73" t="s">
        <v>250</v>
      </c>
      <c r="I15" s="147" t="n">
        <f aca="false">AK_Gebaeude</f>
        <v>244267.846715328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40"/>
      <c r="D16" s="40"/>
      <c r="E16" s="40"/>
      <c r="F16" s="40"/>
      <c r="G16" s="40"/>
      <c r="H16" s="136" t="s">
        <v>251</v>
      </c>
      <c r="I16" s="137" t="n">
        <f aca="false">KP_bewegl</f>
        <v>8000</v>
      </c>
      <c r="J16" s="40"/>
      <c r="K16" s="40"/>
      <c r="L16" s="40"/>
    </row>
    <row r="17" customFormat="false" ht="19.5" hidden="false" customHeight="true" outlineLevel="0" collapsed="false">
      <c r="A17" s="12"/>
      <c r="B17" s="12"/>
      <c r="C17" s="145" t="s">
        <v>252</v>
      </c>
      <c r="D17" s="145"/>
      <c r="E17" s="145"/>
      <c r="F17" s="146" t="s">
        <v>253</v>
      </c>
      <c r="G17" s="40"/>
      <c r="H17" s="40"/>
      <c r="I17" s="40"/>
      <c r="J17" s="40"/>
      <c r="K17" s="40"/>
      <c r="L17" s="40"/>
    </row>
    <row r="18" customFormat="false" ht="19.5" hidden="false" customHeight="true" outlineLevel="0" collapsed="false">
      <c r="A18" s="12"/>
      <c r="B18" s="12"/>
      <c r="C18" s="40"/>
      <c r="D18" s="40"/>
      <c r="E18" s="40"/>
      <c r="F18" s="40"/>
      <c r="G18" s="40"/>
      <c r="H18" s="118" t="s">
        <v>254</v>
      </c>
      <c r="I18" s="118"/>
      <c r="J18" s="40"/>
      <c r="K18" s="40"/>
      <c r="L18" s="40"/>
    </row>
    <row r="19" customFormat="false" ht="54" hidden="false" customHeight="true" outlineLevel="0" collapsed="false">
      <c r="A19" s="12"/>
      <c r="B19" s="12"/>
      <c r="C19" s="40"/>
      <c r="D19" s="40"/>
      <c r="E19" s="40"/>
      <c r="F19" s="40"/>
      <c r="G19" s="40"/>
      <c r="H19" s="120" t="s">
        <v>255</v>
      </c>
      <c r="I19" s="120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40"/>
      <c r="D21" s="40"/>
      <c r="E21" s="40"/>
      <c r="F21" s="40"/>
      <c r="G21" s="40"/>
      <c r="H21" s="148" t="s">
        <v>256</v>
      </c>
      <c r="I21" s="148"/>
      <c r="J21" s="40"/>
      <c r="K21" s="40"/>
      <c r="L21" s="40"/>
    </row>
    <row r="22" customFormat="false" ht="30" hidden="false" customHeight="true" outlineLevel="0" collapsed="false">
      <c r="A22" s="12"/>
      <c r="B22" s="12"/>
      <c r="C22" s="40"/>
      <c r="D22" s="40"/>
      <c r="E22" s="40"/>
      <c r="F22" s="40"/>
      <c r="G22" s="40"/>
      <c r="H22" s="46" t="n">
        <f aca="false">AK_Gebaeude</f>
        <v>244267.846715328</v>
      </c>
      <c r="I22" s="46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52" t="str">
        <f aca="false">"Reguläre Gebäude-AfA Jahr 1: "&amp;FIXED(INDEX(Steuern!$D$49:$AQ$49,1),0)&amp;" €"</f>
        <v>Reguläre Gebäude-AfA Jahr 1: 4,885 €</v>
      </c>
      <c r="I23" s="52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19.5" hidden="false" customHeight="true" outlineLevel="0" collapsed="false">
      <c r="A25" s="12"/>
      <c r="B25" s="12"/>
      <c r="C25" s="40"/>
      <c r="D25" s="40"/>
      <c r="E25" s="40"/>
      <c r="F25" s="40"/>
      <c r="G25" s="40"/>
      <c r="H25" s="122" t="s">
        <v>169</v>
      </c>
      <c r="I25" s="123" t="s">
        <v>257</v>
      </c>
      <c r="J25" s="40"/>
      <c r="K25" s="40"/>
      <c r="L25" s="40"/>
    </row>
    <row r="26" customFormat="false" ht="30" hidden="false" customHeight="true" outlineLevel="0" collapsed="false">
      <c r="A26" s="12"/>
      <c r="B26" s="12"/>
      <c r="C26" s="40"/>
      <c r="D26" s="40"/>
      <c r="E26" s="40"/>
      <c r="F26" s="40"/>
      <c r="G26" s="40"/>
      <c r="H26" s="124" t="s">
        <v>258</v>
      </c>
      <c r="I26" s="124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25.5" hidden="false" customHeight="true" outlineLevel="0" collapsed="false">
      <c r="A29" s="12"/>
      <c r="B29" s="12"/>
      <c r="C29" s="126" t="s">
        <v>259</v>
      </c>
      <c r="D29" s="126"/>
      <c r="E29" s="100" t="s">
        <v>175</v>
      </c>
      <c r="F29" s="100"/>
      <c r="G29" s="100"/>
      <c r="H29" s="101" t="s">
        <v>260</v>
      </c>
      <c r="I29" s="101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8" hidden="false" customHeight="true" outlineLevel="0" collapsed="false">
      <c r="A31" s="12"/>
      <c r="B31" s="12"/>
      <c r="C31" s="127" t="s">
        <v>91</v>
      </c>
      <c r="D31" s="128"/>
      <c r="E31" s="128"/>
      <c r="F31" s="128"/>
      <c r="G31" s="128"/>
      <c r="H31" s="128"/>
      <c r="I31" s="128"/>
      <c r="J31" s="40"/>
      <c r="K31" s="40"/>
      <c r="L31" s="40"/>
    </row>
    <row r="32" customFormat="false" ht="13.5" hidden="false" customHeight="true" outlineLevel="0" collapsed="false">
      <c r="A32" s="12"/>
      <c r="B32" s="12"/>
      <c r="C32" s="81" t="s">
        <v>92</v>
      </c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125"/>
      <c r="D43" s="40"/>
      <c r="E43" s="125"/>
      <c r="F43" s="40"/>
      <c r="G43" s="40"/>
      <c r="H43" s="125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125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25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2">
    <mergeCell ref="H6:I6"/>
    <mergeCell ref="C7:F7"/>
    <mergeCell ref="H7:I7"/>
    <mergeCell ref="H18:I18"/>
    <mergeCell ref="H19:I19"/>
    <mergeCell ref="H21:I21"/>
    <mergeCell ref="H22:I22"/>
    <mergeCell ref="H23:I23"/>
    <mergeCell ref="H26:I26"/>
    <mergeCell ref="C29:D29"/>
    <mergeCell ref="E29:G29"/>
    <mergeCell ref="H29:I29"/>
  </mergeCells>
  <conditionalFormatting sqref="D14">
    <cfRule type="expression" priority="2" aboveAverage="0" equalAverage="0" bottom="0" percent="0" rank="0" text="" dxfId="14">
      <formula>KPA_Idx&lt;&gt;2</formula>
    </cfRule>
    <cfRule type="expression" priority="3" aboveAverage="0" equalAverage="0" bottom="0" percent="0" rank="0" text="" dxfId="3">
      <formula>1</formula>
    </cfRule>
  </conditionalFormatting>
  <conditionalFormatting sqref="D15">
    <cfRule type="expression" priority="4" aboveAverage="0" equalAverage="0" bottom="0" percent="0" rank="0" text="" dxfId="14">
      <formula>KPA_Idx&lt;&gt;3</formula>
    </cfRule>
    <cfRule type="expression" priority="5" aboveAverage="0" equalAverage="0" bottom="0" percent="0" rank="0" text="" dxfId="3">
      <formula>1</formula>
    </cfRule>
  </conditionalFormatting>
  <conditionalFormatting sqref="I15">
    <cfRule type="expression" priority="6" aboveAverage="0" equalAverage="0" bottom="0" percent="0" rank="0" text="" dxfId="4">
      <formula>AND(ISNUMBER(I15),I15&lt;0)</formula>
    </cfRule>
    <cfRule type="expression" priority="7" aboveAverage="0" equalAverage="0" bottom="0" percent="0" rank="0" text="" dxfId="3">
      <formula>1</formula>
    </cfRule>
  </conditionalFormatting>
  <conditionalFormatting sqref="H22:I22">
    <cfRule type="expression" priority="8" aboveAverage="0" equalAverage="0" bottom="0" percent="0" rank="0" text="" dxfId="4">
      <formula>AND(ISNUMBER(H22),H22&lt;0)</formula>
    </cfRule>
    <cfRule type="expression" priority="9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showDropDown="false" showErrorMessage="1" showInputMessage="false" sqref="D14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1" sqref="D12" type="list" promptTitle="Aufteilungsmethode" prompt="Wie der Kaufpreis auf Boden und Gebäude verteilt wird. Auswahl über ▾.">
      <formula1>Konfiguration!$G$16:$G$18</formula1>
      <formula2>0</formula2>
    </dataValidation>
  </dataValidations>
  <hyperlinks>
    <hyperlink ref="C5" location="'Leitfaden'!A4" display="SCHRITT 04 / 12  ·  KAUFPREISAUFTEILUNG"/>
    <hyperlink ref="I5" location="'Leitfaden'!A4" display="‹  Leitfaden"/>
    <hyperlink ref="C29" location="'S03 Kaufnebenkosten'!A4" display="‹  Zurück: Kaufnebenkosten"/>
    <hyperlink ref="E29" location="'Leitfaden'!A4" display="Übersicht: Leitfaden"/>
    <hyperlink ref="H29" location="'S05 Maßnahmen &amp; Reserve'!A4" display="Weiter: Maßnahmen &amp; Reserve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261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262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118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263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264</v>
      </c>
      <c r="I11" s="129" t="n">
        <f aca="false">Reno_Netto</f>
        <v>10084.0336134454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265</v>
      </c>
      <c r="D12" s="130" t="n">
        <v>12000</v>
      </c>
      <c r="E12" s="70"/>
      <c r="F12" s="113" t="s">
        <v>266</v>
      </c>
      <c r="G12" s="40"/>
      <c r="H12" s="72" t="s">
        <v>267</v>
      </c>
      <c r="I12" s="129" t="n">
        <f aca="false">Grenze_15</f>
        <v>36640.1770072993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268</v>
      </c>
      <c r="D13" s="130" t="n">
        <v>0</v>
      </c>
      <c r="E13" s="70"/>
      <c r="F13" s="113" t="s">
        <v>269</v>
      </c>
      <c r="G13" s="40"/>
      <c r="H13" s="72" t="s">
        <v>226</v>
      </c>
      <c r="I13" s="116" t="str">
        <f aca="false">IF(HK_Flag=1,"Aktiviert (AfA)",IF(Verteilung_eff&gt;1,"Verteilt (§ 82b)","Sofortabzug"))</f>
        <v>Sofortabzug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270</v>
      </c>
      <c r="D14" s="130" t="n">
        <v>0</v>
      </c>
      <c r="E14" s="70"/>
      <c r="F14" s="113" t="s">
        <v>271</v>
      </c>
      <c r="G14" s="40"/>
      <c r="H14" s="72" t="s">
        <v>272</v>
      </c>
      <c r="I14" s="129" t="n">
        <f aca="false">Investition_J1</f>
        <v>12000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273</v>
      </c>
      <c r="D15" s="130" t="n">
        <v>0</v>
      </c>
      <c r="E15" s="70"/>
      <c r="F15" s="113" t="s">
        <v>274</v>
      </c>
      <c r="G15" s="40"/>
      <c r="H15" s="141" t="s">
        <v>275</v>
      </c>
      <c r="I15" s="142" t="n">
        <f aca="false">Gesamtinvestition</f>
        <v>328974.5</v>
      </c>
      <c r="J15" s="40"/>
      <c r="K15" s="40"/>
      <c r="L15" s="40"/>
    </row>
    <row r="16" customFormat="false" ht="31.5" hidden="false" customHeight="true" outlineLevel="0" collapsed="false">
      <c r="A16" s="12"/>
      <c r="B16" s="12"/>
      <c r="C16" s="111" t="s">
        <v>226</v>
      </c>
      <c r="D16" s="112" t="s">
        <v>276</v>
      </c>
      <c r="E16" s="70"/>
      <c r="F16" s="113" t="s">
        <v>277</v>
      </c>
      <c r="G16" s="40"/>
      <c r="H16" s="73" t="s">
        <v>278</v>
      </c>
      <c r="I16" s="147" t="n">
        <f aca="false">EK_Bedarf_gesamt</f>
        <v>83974.5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279</v>
      </c>
      <c r="D17" s="133" t="n">
        <v>1</v>
      </c>
      <c r="E17" s="70"/>
      <c r="F17" s="113" t="s">
        <v>280</v>
      </c>
      <c r="G17" s="40"/>
      <c r="H17" s="40"/>
      <c r="I17" s="40"/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11" t="s">
        <v>281</v>
      </c>
      <c r="D18" s="152" t="n">
        <v>1</v>
      </c>
      <c r="E18" s="70"/>
      <c r="F18" s="113" t="s">
        <v>282</v>
      </c>
      <c r="G18" s="40"/>
      <c r="H18" s="118" t="s">
        <v>283</v>
      </c>
      <c r="I18" s="118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111" t="s">
        <v>284</v>
      </c>
      <c r="D19" s="130" t="n">
        <v>5000</v>
      </c>
      <c r="E19" s="70"/>
      <c r="F19" s="113" t="s">
        <v>285</v>
      </c>
      <c r="G19" s="40"/>
      <c r="H19" s="120" t="str">
        <f aca="false">IF(Reno_Netto&gt;Grenze_15,"Achtung: Die Maßnahmen (netto "&amp;FIXED(Reno_Netto,0)&amp;" €) übersteigen 15 % der Gebäude-Anschaffungskosten ("&amp;FIXED(Grenze_15,0)&amp;" €). Damit liegen anschaffungsnahe Herstellungskosten vor (§ 6 Abs. 1 Nr. 1a EStG): kein Sofortabzug, sondern AfA – auch wenn einzelne Maßnahmen für sich Erhaltungsaufwand wären.","Die Maßnahmen (netto "&amp;FIXED(Reno_Netto,0)&amp;" €) bleiben unter der 15 %-Grenze von "&amp;FIXED(Grenze_15,0)&amp;" € – Sofortabzug als Erhaltungsaufwand ist möglich. Bei hoher Progression kann eine Verteilung auf 2 bis 5 Jahre (§ 82b EStDV) sinnvoll sein. Weitere Instandsetzungen in den ersten drei Jahren zählen mit.")</f>
        <v>Die Maßnahmen (netto 10,084 €) bleiben unter der 15 %-Grenze von 36,640 € – Sofortabzug als Erhaltungsaufwand ist möglich. Bei hoher Progression kann eine Verteilung auf 2 bis 5 Jahre (§ 82b EStDV) sinnvoll sein. Weitere Instandsetzungen in den ersten drei Jahren zählen mit.</v>
      </c>
      <c r="I19" s="120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120"/>
      <c r="I20" s="120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145" t="s">
        <v>286</v>
      </c>
      <c r="D21" s="145"/>
      <c r="E21" s="145"/>
      <c r="F21" s="146" t="s">
        <v>224</v>
      </c>
      <c r="G21" s="40"/>
      <c r="H21" s="120"/>
      <c r="I21" s="120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48" t="s">
        <v>99</v>
      </c>
      <c r="I23" s="148"/>
      <c r="J23" s="40"/>
      <c r="K23" s="40"/>
      <c r="L23" s="40"/>
    </row>
    <row r="24" customFormat="false" ht="85.5" hidden="false" customHeight="true" outlineLevel="0" collapsed="false">
      <c r="A24" s="12"/>
      <c r="B24" s="12"/>
      <c r="C24" s="40"/>
      <c r="D24" s="40"/>
      <c r="E24" s="40"/>
      <c r="F24" s="40"/>
      <c r="G24" s="40"/>
      <c r="H24" s="153" t="n">
        <f aca="false">EK_Bedarf_gesamt</f>
        <v>83974.5</v>
      </c>
      <c r="I24" s="153"/>
      <c r="J24" s="40"/>
      <c r="K24" s="40"/>
      <c r="L24" s="40"/>
    </row>
    <row r="25" customFormat="false" ht="19.5" hidden="false" customHeight="true" outlineLevel="0" collapsed="false">
      <c r="A25" s="12"/>
      <c r="B25" s="12"/>
      <c r="C25" s="40"/>
      <c r="D25" s="40"/>
      <c r="E25" s="40"/>
      <c r="F25" s="40"/>
      <c r="G25" s="40"/>
      <c r="H25" s="52" t="str">
        <f aca="false">IFERROR("Anteil an der Gesamtinvestition "&amp;FIXED(EK_Bedarf_gesamt/Gesamtinvestition*100,1)&amp;" %","")</f>
        <v>Anteil an der Gesamtinvestition 25.5 %</v>
      </c>
      <c r="I25" s="52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9.5" hidden="false" customHeight="true" outlineLevel="0" collapsed="false">
      <c r="A27" s="12"/>
      <c r="B27" s="12"/>
      <c r="C27" s="40"/>
      <c r="D27" s="40"/>
      <c r="E27" s="40"/>
      <c r="F27" s="40"/>
      <c r="G27" s="40"/>
      <c r="H27" s="122" t="s">
        <v>169</v>
      </c>
      <c r="I27" s="123" t="s">
        <v>287</v>
      </c>
      <c r="J27" s="40"/>
      <c r="K27" s="40"/>
      <c r="L27" s="40"/>
    </row>
    <row r="28" customFormat="false" ht="30" hidden="false" customHeight="true" outlineLevel="0" collapsed="false">
      <c r="A28" s="12"/>
      <c r="B28" s="12"/>
      <c r="C28" s="40"/>
      <c r="D28" s="40"/>
      <c r="E28" s="40"/>
      <c r="F28" s="40"/>
      <c r="G28" s="40"/>
      <c r="H28" s="124" t="s">
        <v>288</v>
      </c>
      <c r="I28" s="124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25.5" hidden="false" customHeight="true" outlineLevel="0" collapsed="false">
      <c r="A31" s="12"/>
      <c r="B31" s="12"/>
      <c r="C31" s="126" t="s">
        <v>289</v>
      </c>
      <c r="D31" s="126"/>
      <c r="E31" s="100" t="s">
        <v>175</v>
      </c>
      <c r="F31" s="100"/>
      <c r="G31" s="100"/>
      <c r="H31" s="101" t="s">
        <v>290</v>
      </c>
      <c r="I31" s="101"/>
      <c r="J31" s="40"/>
      <c r="K31" s="40"/>
      <c r="L31" s="40"/>
    </row>
    <row r="32" customFormat="false" ht="12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8" hidden="false" customHeight="true" outlineLevel="0" collapsed="false">
      <c r="A33" s="12"/>
      <c r="B33" s="12"/>
      <c r="C33" s="127" t="s">
        <v>91</v>
      </c>
      <c r="D33" s="128"/>
      <c r="E33" s="128"/>
      <c r="F33" s="128"/>
      <c r="G33" s="128"/>
      <c r="H33" s="128"/>
      <c r="I33" s="128"/>
      <c r="J33" s="40"/>
      <c r="K33" s="40"/>
      <c r="L33" s="40"/>
    </row>
    <row r="34" customFormat="false" ht="13.5" hidden="false" customHeight="true" outlineLevel="0" collapsed="false">
      <c r="A34" s="12"/>
      <c r="B34" s="12"/>
      <c r="C34" s="81" t="s">
        <v>92</v>
      </c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25"/>
      <c r="D44" s="40"/>
      <c r="E44" s="125"/>
      <c r="F44" s="40"/>
      <c r="G44" s="40"/>
      <c r="H44" s="125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25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25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2">
    <mergeCell ref="H6:I6"/>
    <mergeCell ref="C7:F7"/>
    <mergeCell ref="H7:I7"/>
    <mergeCell ref="H18:I18"/>
    <mergeCell ref="H19:I21"/>
    <mergeCell ref="H23:I23"/>
    <mergeCell ref="H24:I24"/>
    <mergeCell ref="H25:I25"/>
    <mergeCell ref="H28:I28"/>
    <mergeCell ref="C31:D31"/>
    <mergeCell ref="E31:G31"/>
    <mergeCell ref="H31:I31"/>
  </mergeCells>
  <conditionalFormatting sqref="D17">
    <cfRule type="expression" priority="2" aboveAverage="0" equalAverage="0" bottom="0" percent="0" rank="0" text="" dxfId="14">
      <formula>OR(Rechtsform_Idx&gt;=2,Wohngebaeude=0)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6">
    <cfRule type="expression" priority="6" aboveAverage="0" equalAverage="0" bottom="0" percent="0" rank="0" text="" dxfId="4">
      <formula>AND(ISNUMBER(I16),I16&lt;0)</formula>
    </cfRule>
    <cfRule type="expression" priority="7" aboveAverage="0" equalAverage="0" bottom="0" percent="0" rank="0" text="" dxfId="3">
      <formula>1</formula>
    </cfRule>
  </conditionalFormatting>
  <conditionalFormatting sqref="H24:I24">
    <cfRule type="expression" priority="8" aboveAverage="0" equalAverage="0" bottom="0" percent="0" rank="0" text="" dxfId="4">
      <formula>AND(ISNUMBER(H24),H24&lt;0)</formula>
    </cfRule>
    <cfRule type="expression" priority="9" aboveAverage="0" equalAverage="0" bottom="0" percent="0" rank="0" text="" dxfId="3">
      <formula>1</formula>
    </cfRule>
  </conditionalFormatting>
  <dataValidations count="3">
    <dataValidation allowBlank="true" error="Bitte einen Prozentwert zwischen 0 % und 100 % eingeben." errorStyle="stop" errorTitle="Ungültige Eingabe" operator="between" showDropDown="false" showErrorMessage="1" showInputMessage="false" sqref="D18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false" sqref="D16" type="list">
      <formula1>Konfiguration!$G$21:$G$23</formula1>
      <formula2>0</formula2>
    </dataValidation>
    <dataValidation allowBlank="true" error="Bitte eine ganze Zahl von 1 bis 5 Jahren eingeben." errorStyle="stop" errorTitle="Ungültige Eingabe" operator="between" showDropDown="false" showErrorMessage="1" showInputMessage="false" sqref="D17" type="whole">
      <formula1>1</formula1>
      <formula2>5</formula2>
    </dataValidation>
  </dataValidations>
  <hyperlinks>
    <hyperlink ref="C5" location="'Leitfaden'!A4" display="SCHRITT 05 / 12  ·  MASSNAHMEN &amp; RESERVE"/>
    <hyperlink ref="I5" location="'Leitfaden'!A4" display="‹  Leitfaden"/>
    <hyperlink ref="C31" location="'S04 Kaufpreisaufteilung'!A4" display="‹  Zurück: Kaufpreisaufteilung"/>
    <hyperlink ref="E31" location="'Leitfaden'!A4" display="Übersicht: Leitfaden"/>
    <hyperlink ref="H31" location="'S06 Bewirtschaftung'!A4" display="Weiter: Bewirtschaft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291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292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120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293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294</v>
      </c>
      <c r="I11" s="129" t="n">
        <f aca="false">INDEX(Projektion!$D$15:$AQ$15,1)/12</f>
        <v>921.5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295</v>
      </c>
      <c r="D12" s="130" t="n">
        <v>310</v>
      </c>
      <c r="E12" s="70" t="s">
        <v>194</v>
      </c>
      <c r="F12" s="113" t="s">
        <v>296</v>
      </c>
      <c r="G12" s="40"/>
      <c r="H12" s="72" t="s">
        <v>297</v>
      </c>
      <c r="I12" s="129" t="n">
        <f aca="false">INDEX(Projektion!$D$26:$AQ$26,1)/12</f>
        <v>207.5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31" t="s">
        <v>298</v>
      </c>
      <c r="D13" s="130" t="n">
        <v>95</v>
      </c>
      <c r="E13" s="70" t="s">
        <v>194</v>
      </c>
      <c r="F13" s="113" t="s">
        <v>299</v>
      </c>
      <c r="G13" s="40"/>
      <c r="H13" s="143" t="s">
        <v>300</v>
      </c>
      <c r="I13" s="144" t="n">
        <f aca="false">IF(INDEX(Projektion!$D$15:$AQ$15,1)&gt;0,INDEX(Projektion!$D$26:$AQ$26,1)/INDEX(Projektion!$D$15:$AQ$15,1),0)</f>
        <v>0.225176342919154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31" t="s">
        <v>301</v>
      </c>
      <c r="D14" s="130" t="n">
        <v>60</v>
      </c>
      <c r="E14" s="70" t="s">
        <v>194</v>
      </c>
      <c r="F14" s="113" t="s">
        <v>302</v>
      </c>
      <c r="G14" s="40"/>
      <c r="H14" s="141" t="s">
        <v>303</v>
      </c>
      <c r="I14" s="142" t="n">
        <f aca="false">INDEX(Projektion!$D$29:$AQ$29,1)/12</f>
        <v>714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304</v>
      </c>
      <c r="D15" s="130" t="n">
        <v>25</v>
      </c>
      <c r="E15" s="70" t="s">
        <v>194</v>
      </c>
      <c r="F15" s="113" t="s">
        <v>305</v>
      </c>
      <c r="G15" s="40"/>
      <c r="H15" s="73" t="s">
        <v>306</v>
      </c>
      <c r="I15" s="135" t="n">
        <f aca="false">IF(Gesamtinvestition&gt;0,INDEX(Projektion!$D$29:$AQ$29,1)/Gesamtinvestition,0)</f>
        <v>0.0260445718437143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307</v>
      </c>
      <c r="D16" s="130" t="n">
        <v>10</v>
      </c>
      <c r="E16" s="70" t="s">
        <v>308</v>
      </c>
      <c r="F16" s="113" t="s">
        <v>309</v>
      </c>
      <c r="G16" s="40"/>
      <c r="H16" s="40"/>
      <c r="I16" s="40"/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310</v>
      </c>
      <c r="D17" s="151" t="n">
        <v>0.03</v>
      </c>
      <c r="E17" s="70" t="s">
        <v>311</v>
      </c>
      <c r="F17" s="113" t="s">
        <v>312</v>
      </c>
      <c r="G17" s="40"/>
      <c r="H17" s="118" t="s">
        <v>313</v>
      </c>
      <c r="I17" s="138" t="str">
        <f aca="false">IF(AND(ISNUMBER(S06_NMR),S06_NMR&lt;Ampel_NMR_gelb),"●  kritisch"&amp;"  ·  "&amp;FIXED(S06_NMR*100,1)&amp;" %",IF(AND(ISNUMBER(S06_NMR),S06_NMR&lt;Ampel_NMR_gruen),"●  prüfen"&amp;"  ·  "&amp;FIXED(S06_NMR*100,1)&amp;" %",IF(ISNUMBER(S06_NMR),"●  erfüllt"&amp;"  ·  "&amp;FIXED(S06_NMR*100,1)&amp;" %","")))</f>
        <v>●  prüfen  ·  2.6 %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11" t="s">
        <v>314</v>
      </c>
      <c r="D18" s="154" t="n">
        <v>0</v>
      </c>
      <c r="E18" s="70"/>
      <c r="F18" s="113" t="s">
        <v>315</v>
      </c>
      <c r="G18" s="40"/>
      <c r="H18" s="120" t="str">
        <f aca="false">IF(S06_NMR&lt;Ampel_NMR_gruen,"Die Nettomietrendite liegt unter dem Ziel von "&amp;FIXED(Ampel_NMR_gruen*100,1)&amp;" %.","Die Nettomietrendite erreicht das Ziel von "&amp;FIXED(Ampel_NMR_gruen*100,1)&amp;" %.")&amp;" "&amp;"Nicht umlagefähige Kosten trägt der Eigentümer. Zuführungen zur WEG-Erhaltungsrücklage und die eigene Instandhaltungsrücklage sind Liquiditätsabflüsse, steuerlich aber erst bei tatsächlicher Verausgab"&amp;"ung abziehbar. Mietausfallwagnis und Leerstand mindern die Ist-Miete."</f>
        <v>Die Nettomietrendite liegt unter dem Ziel von 3.5 %. Nicht umlagefähige Kosten trägt der Eigentümer. Zuführungen zur WEG-Erhaltungsrücklage und die eigene Instandhaltungsrücklage sind Liquiditätsabflüsse, steuerlich aber erst bei tatsächlicher Verausgabung abziehbar. Mietausfallwagnis und Leerstand mindern die Ist-Miete.</v>
      </c>
      <c r="I18" s="120"/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111" t="s">
        <v>316</v>
      </c>
      <c r="D19" s="130" t="n">
        <v>300</v>
      </c>
      <c r="E19" s="70" t="s">
        <v>317</v>
      </c>
      <c r="F19" s="113" t="s">
        <v>318</v>
      </c>
      <c r="G19" s="40"/>
      <c r="H19" s="120"/>
      <c r="I19" s="120"/>
      <c r="J19" s="40"/>
      <c r="K19" s="40"/>
      <c r="L19" s="40"/>
    </row>
    <row r="20" customFormat="false" ht="12" hidden="false" customHeight="true" outlineLevel="0" collapsed="false">
      <c r="A20" s="12"/>
      <c r="B20" s="12"/>
      <c r="C20" s="40"/>
      <c r="D20" s="40"/>
      <c r="E20" s="40"/>
      <c r="F20" s="40"/>
      <c r="G20" s="40"/>
      <c r="H20" s="120"/>
      <c r="I20" s="120"/>
      <c r="J20" s="40"/>
      <c r="K20" s="40"/>
      <c r="L20" s="40"/>
    </row>
    <row r="21" customFormat="false" ht="19.5" hidden="false" customHeight="true" outlineLevel="0" collapsed="false">
      <c r="A21" s="12"/>
      <c r="B21" s="12"/>
      <c r="C21" s="145" t="s">
        <v>319</v>
      </c>
      <c r="D21" s="145"/>
      <c r="E21" s="145"/>
      <c r="F21" s="146" t="s">
        <v>320</v>
      </c>
      <c r="G21" s="40"/>
      <c r="H21" s="40"/>
      <c r="I21" s="40"/>
      <c r="J21" s="40"/>
      <c r="K21" s="40"/>
      <c r="L21" s="40"/>
    </row>
    <row r="22" customFormat="false" ht="19.5" hidden="false" customHeight="true" outlineLevel="0" collapsed="false">
      <c r="A22" s="12"/>
      <c r="B22" s="12"/>
      <c r="C22" s="40"/>
      <c r="D22" s="40"/>
      <c r="E22" s="40"/>
      <c r="F22" s="40"/>
      <c r="G22" s="40"/>
      <c r="H22" s="148" t="s">
        <v>321</v>
      </c>
      <c r="I22" s="148"/>
      <c r="J22" s="40"/>
      <c r="K22" s="40"/>
      <c r="L22" s="40"/>
    </row>
    <row r="23" customFormat="false" ht="99" hidden="false" customHeight="true" outlineLevel="0" collapsed="false">
      <c r="A23" s="12"/>
      <c r="B23" s="12"/>
      <c r="C23" s="40"/>
      <c r="D23" s="40"/>
      <c r="E23" s="40"/>
      <c r="F23" s="40"/>
      <c r="G23" s="40"/>
      <c r="H23" s="153" t="n">
        <f aca="false">INDEX(Projektion!$D$29:$AQ$29,1)/12</f>
        <v>714</v>
      </c>
      <c r="I23" s="153"/>
      <c r="J23" s="40"/>
      <c r="K23" s="40"/>
      <c r="L23" s="40"/>
    </row>
    <row r="24" customFormat="false" ht="19.5" hidden="false" customHeight="true" outlineLevel="0" collapsed="false">
      <c r="A24" s="12"/>
      <c r="B24" s="12"/>
      <c r="C24" s="40"/>
      <c r="D24" s="40"/>
      <c r="E24" s="40"/>
      <c r="F24" s="40"/>
      <c r="G24" s="40"/>
      <c r="H24" s="52" t="str">
        <f aca="false">"Jahr 1 · "&amp;FIXED(INDEX(Projektion!$D$29:$AQ$29,1),0)&amp;" € p. a."</f>
        <v>Jahr 1 · 8,568 € p. a.</v>
      </c>
      <c r="I24" s="52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9.5" hidden="false" customHeight="true" outlineLevel="0" collapsed="false">
      <c r="A26" s="12"/>
      <c r="B26" s="12"/>
      <c r="C26" s="40"/>
      <c r="D26" s="40"/>
      <c r="E26" s="40"/>
      <c r="F26" s="40"/>
      <c r="G26" s="40"/>
      <c r="H26" s="122" t="s">
        <v>169</v>
      </c>
      <c r="I26" s="123" t="s">
        <v>322</v>
      </c>
      <c r="J26" s="40"/>
      <c r="K26" s="40"/>
      <c r="L26" s="40"/>
    </row>
    <row r="27" customFormat="false" ht="30" hidden="false" customHeight="true" outlineLevel="0" collapsed="false">
      <c r="A27" s="12"/>
      <c r="B27" s="12"/>
      <c r="C27" s="40"/>
      <c r="D27" s="40"/>
      <c r="E27" s="40"/>
      <c r="F27" s="40"/>
      <c r="G27" s="40"/>
      <c r="H27" s="124" t="s">
        <v>323</v>
      </c>
      <c r="I27" s="124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25.5" hidden="false" customHeight="true" outlineLevel="0" collapsed="false">
      <c r="A30" s="12"/>
      <c r="B30" s="12"/>
      <c r="C30" s="126" t="s">
        <v>324</v>
      </c>
      <c r="D30" s="126"/>
      <c r="E30" s="100" t="s">
        <v>175</v>
      </c>
      <c r="F30" s="100"/>
      <c r="G30" s="100"/>
      <c r="H30" s="101" t="s">
        <v>325</v>
      </c>
      <c r="I30" s="101"/>
      <c r="J30" s="40"/>
      <c r="K30" s="40"/>
      <c r="L30" s="40"/>
    </row>
    <row r="31" customFormat="false" ht="12" hidden="false" customHeight="tru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8" hidden="false" customHeight="true" outlineLevel="0" collapsed="false">
      <c r="A32" s="12"/>
      <c r="B32" s="12"/>
      <c r="C32" s="127" t="s">
        <v>91</v>
      </c>
      <c r="D32" s="128"/>
      <c r="E32" s="128"/>
      <c r="F32" s="128"/>
      <c r="G32" s="128"/>
      <c r="H32" s="128"/>
      <c r="I32" s="128"/>
      <c r="J32" s="40"/>
      <c r="K32" s="40"/>
      <c r="L32" s="40"/>
    </row>
    <row r="33" customFormat="false" ht="13.5" hidden="false" customHeight="true" outlineLevel="0" collapsed="false">
      <c r="A33" s="12"/>
      <c r="B33" s="12"/>
      <c r="C33" s="81" t="s">
        <v>92</v>
      </c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125"/>
      <c r="D41" s="40"/>
      <c r="E41" s="125"/>
      <c r="F41" s="40"/>
      <c r="G41" s="40"/>
      <c r="H41" s="125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125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125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8" hidden="true" customHeight="true" outlineLevel="0" collapsed="false">
      <c r="A60" s="12"/>
      <c r="B60" s="12"/>
      <c r="C60" s="149" t="s">
        <v>233</v>
      </c>
      <c r="D60" s="149"/>
      <c r="E60" s="149"/>
      <c r="F60" s="149"/>
      <c r="G60" s="40"/>
      <c r="H60" s="40"/>
      <c r="I60" s="40"/>
      <c r="J60" s="40"/>
      <c r="K60" s="40"/>
      <c r="L60" s="40"/>
    </row>
    <row r="61" customFormat="false" ht="15" hidden="true" customHeight="true" outlineLevel="0" collapsed="false">
      <c r="A61" s="12"/>
      <c r="B61" s="12"/>
      <c r="C61" s="149" t="s">
        <v>326</v>
      </c>
      <c r="D61" s="150" t="n">
        <f aca="false">INDEX(Projektion!$D$20:$AQ$20,1)</f>
        <v>420</v>
      </c>
      <c r="E61" s="149"/>
      <c r="F61" s="149"/>
      <c r="G61" s="40"/>
      <c r="H61" s="40"/>
      <c r="I61" s="40"/>
      <c r="J61" s="40"/>
      <c r="K61" s="40"/>
      <c r="L61" s="40"/>
    </row>
    <row r="62" customFormat="false" ht="15" hidden="true" customHeight="true" outlineLevel="0" collapsed="false">
      <c r="A62" s="12"/>
      <c r="B62" s="12"/>
      <c r="C62" s="149" t="s">
        <v>327</v>
      </c>
      <c r="D62" s="150" t="n">
        <f aca="false">INDEX(Projektion!$D$21:$AQ$21,1)</f>
        <v>720</v>
      </c>
      <c r="E62" s="149"/>
      <c r="F62" s="149"/>
      <c r="G62" s="40"/>
      <c r="H62" s="40"/>
      <c r="I62" s="40"/>
      <c r="J62" s="40"/>
      <c r="K62" s="40"/>
      <c r="L62" s="40"/>
    </row>
    <row r="63" customFormat="false" ht="15" hidden="true" customHeight="true" outlineLevel="0" collapsed="false">
      <c r="A63" s="12"/>
      <c r="B63" s="12"/>
      <c r="C63" s="149" t="s">
        <v>328</v>
      </c>
      <c r="D63" s="150" t="n">
        <f aca="false">INDEX(Projektion!$D$22:$AQ$22,1)</f>
        <v>300</v>
      </c>
      <c r="E63" s="149"/>
      <c r="F63" s="149"/>
      <c r="G63" s="40"/>
      <c r="H63" s="40"/>
      <c r="I63" s="40"/>
      <c r="J63" s="40"/>
      <c r="K63" s="40"/>
      <c r="L63" s="40"/>
    </row>
    <row r="64" customFormat="false" ht="15" hidden="true" customHeight="true" outlineLevel="0" collapsed="false">
      <c r="A64" s="12"/>
      <c r="B64" s="12"/>
      <c r="C64" s="149" t="s">
        <v>307</v>
      </c>
      <c r="D64" s="150" t="n">
        <f aca="false">INDEX(Projektion!$D$24:$AQ$24,1)</f>
        <v>750</v>
      </c>
      <c r="E64" s="149"/>
      <c r="F64" s="149"/>
      <c r="G64" s="40"/>
      <c r="H64" s="40"/>
      <c r="I64" s="40"/>
      <c r="J64" s="40"/>
      <c r="K64" s="40"/>
      <c r="L64" s="40"/>
    </row>
    <row r="65" customFormat="false" ht="15" hidden="true" customHeight="true" outlineLevel="0" collapsed="false">
      <c r="A65" s="12"/>
      <c r="B65" s="12"/>
      <c r="C65" s="149" t="s">
        <v>329</v>
      </c>
      <c r="D65" s="150" t="n">
        <f aca="false">INDEX(Projektion!$D$14:$AQ$14,1)</f>
        <v>342</v>
      </c>
      <c r="E65" s="149"/>
      <c r="F65" s="149"/>
      <c r="G65" s="40"/>
      <c r="H65" s="40"/>
      <c r="I65" s="40"/>
      <c r="J65" s="40"/>
      <c r="K65" s="40"/>
      <c r="L65" s="40"/>
    </row>
    <row r="66" customFormat="false" ht="15" hidden="true" customHeight="true" outlineLevel="0" collapsed="false">
      <c r="A66" s="12"/>
      <c r="B66" s="12"/>
      <c r="C66" s="149" t="s">
        <v>316</v>
      </c>
      <c r="D66" s="150" t="n">
        <f aca="false">INDEX(Projektion!$D$23:$AQ$23,1)</f>
        <v>300</v>
      </c>
      <c r="E66" s="149"/>
      <c r="F66" s="149"/>
      <c r="G66" s="40"/>
      <c r="H66" s="40"/>
      <c r="I66" s="40"/>
      <c r="J66" s="40"/>
      <c r="K66" s="40"/>
      <c r="L66" s="40"/>
    </row>
    <row r="67" customFormat="false" ht="15" hidden="false" customHeight="tru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tru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tru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tru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tru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tru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tru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tru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tru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tru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tru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tru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tru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tru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tru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tru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tru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tru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tru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tru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tru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tru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tru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tru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1">
    <mergeCell ref="H6:I6"/>
    <mergeCell ref="C7:F7"/>
    <mergeCell ref="H7:I7"/>
    <mergeCell ref="H18:I20"/>
    <mergeCell ref="H22:I22"/>
    <mergeCell ref="H23:I23"/>
    <mergeCell ref="H24:I24"/>
    <mergeCell ref="H27:I27"/>
    <mergeCell ref="C30:D30"/>
    <mergeCell ref="E30:G30"/>
    <mergeCell ref="H30:I30"/>
  </mergeCells>
  <conditionalFormatting sqref="I14">
    <cfRule type="expression" priority="2" aboveAverage="0" equalAverage="0" bottom="0" percent="0" rank="0" text="" dxfId="4">
      <formula>AND(ISNUMBER(I14),I14&lt;0)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7">
    <cfRule type="expression" priority="6" aboveAverage="0" equalAverage="0" bottom="0" percent="0" rank="0" text="" dxfId="8">
      <formula>AND(ISNUMBER(S06_NMR),S06_NMR&lt;Ampel_NMR_gelb)</formula>
    </cfRule>
    <cfRule type="expression" priority="7" aboveAverage="0" equalAverage="0" bottom="0" percent="0" rank="0" text="" dxfId="9">
      <formula>AND(ISNUMBER(S06_NMR),S06_NMR&lt;Ampel_NMR_gruen)</formula>
    </cfRule>
    <cfRule type="expression" priority="8" aboveAverage="0" equalAverage="0" bottom="0" percent="0" rank="0" text="" dxfId="10">
      <formula>ISNUMBER(S06_NMR)</formula>
    </cfRule>
    <cfRule type="expression" priority="9" aboveAverage="0" equalAverage="0" bottom="0" percent="0" rank="0" text="" dxfId="3">
      <formula>1</formula>
    </cfRule>
  </conditionalFormatting>
  <conditionalFormatting sqref="H17:H20">
    <cfRule type="expression" priority="10" aboveAverage="0" equalAverage="0" bottom="0" percent="0" rank="0" text="" dxfId="11">
      <formula>AND(ISNUMBER(S06_NMR),S06_NMR&lt;Ampel_NMR_gelb)</formula>
    </cfRule>
    <cfRule type="expression" priority="11" aboveAverage="0" equalAverage="0" bottom="0" percent="0" rank="0" text="" dxfId="12">
      <formula>AND(ISNUMBER(S06_NMR),S06_NMR&lt;Ampel_NMR_gruen)</formula>
    </cfRule>
    <cfRule type="expression" priority="12" aboveAverage="0" equalAverage="0" bottom="0" percent="0" rank="0" text="" dxfId="13">
      <formula>ISNUMBER(S06_NMR)</formula>
    </cfRule>
    <cfRule type="expression" priority="13" aboveAverage="0" equalAverage="0" bottom="0" percent="0" rank="0" text="" dxfId="3">
      <formula>1</formula>
    </cfRule>
  </conditionalFormatting>
  <conditionalFormatting sqref="H23:I23">
    <cfRule type="expression" priority="14" aboveAverage="0" equalAverage="0" bottom="0" percent="0" rank="0" text="" dxfId="4">
      <formula>AND(ISNUMBER(H23),H23&lt;0)</formula>
    </cfRule>
    <cfRule type="expression" priority="15" aboveAverage="0" equalAverage="0" bottom="0" percent="0" rank="0" text="" dxfId="3">
      <formula>1</formula>
    </cfRule>
  </conditionalFormatting>
  <dataValidations count="1">
    <dataValidation allowBlank="true" error="Bitte einen Prozentwert zwischen 0 % und 100 % eingeben." errorStyle="stop" errorTitle="Ungültige Eingabe" operator="between" showDropDown="false" showErrorMessage="1" showInputMessage="false" sqref="D17" type="decimal">
      <formula1>0</formula1>
      <formula2>1</formula2>
    </dataValidation>
  </dataValidations>
  <hyperlinks>
    <hyperlink ref="C5" location="'Leitfaden'!A4" display="SCHRITT 06 / 12  ·  BEWIRTSCHAFTUNG"/>
    <hyperlink ref="I5" location="'Leitfaden'!A4" display="‹  Leitfaden"/>
    <hyperlink ref="C30" location="'S05 Maßnahmen &amp; Reserve'!A4" display="‹  Zurück: Maßnahmen &amp; Reserve"/>
    <hyperlink ref="E30" location="'Leitfaden'!A4" display="Übersicht: Leitfaden"/>
    <hyperlink ref="H30" location="'S07 Finanzierung'!A4" display="Weiter: Finanzier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330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331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332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333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334</v>
      </c>
      <c r="I11" s="129" t="n">
        <f aca="false">Darlehen_Summe</f>
        <v>250000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335</v>
      </c>
      <c r="D12" s="130" t="n">
        <v>250000</v>
      </c>
      <c r="E12" s="70"/>
      <c r="F12" s="113" t="s">
        <v>336</v>
      </c>
      <c r="G12" s="40"/>
      <c r="H12" s="72" t="s">
        <v>337</v>
      </c>
      <c r="I12" s="129" t="n">
        <f aca="false">FinNK_Summe</f>
        <v>1750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338</v>
      </c>
      <c r="D13" s="140" t="n">
        <v>0.036</v>
      </c>
      <c r="E13" s="70"/>
      <c r="F13" s="113"/>
      <c r="G13" s="40"/>
      <c r="H13" s="141" t="s">
        <v>339</v>
      </c>
      <c r="I13" s="142" t="n">
        <f aca="false">Eigenkapital</f>
        <v>78974.5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340</v>
      </c>
      <c r="D14" s="140" t="n">
        <v>0.02</v>
      </c>
      <c r="E14" s="70"/>
      <c r="F14" s="113" t="s">
        <v>341</v>
      </c>
      <c r="G14" s="40"/>
      <c r="H14" s="72" t="s">
        <v>342</v>
      </c>
      <c r="I14" s="110" t="n">
        <f aca="false">EK_Quote</f>
        <v>0.240062679630184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343</v>
      </c>
      <c r="D15" s="133" t="n">
        <v>10</v>
      </c>
      <c r="E15" s="70"/>
      <c r="F15" s="113"/>
      <c r="G15" s="40"/>
      <c r="H15" s="72" t="s">
        <v>344</v>
      </c>
      <c r="I15" s="110" t="n">
        <f aca="false">Beleihung</f>
        <v>0.87719298245614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345</v>
      </c>
      <c r="D16" s="140" t="n">
        <v>0.045</v>
      </c>
      <c r="E16" s="70"/>
      <c r="F16" s="113" t="s">
        <v>346</v>
      </c>
      <c r="G16" s="40"/>
      <c r="H16" s="72" t="s">
        <v>347</v>
      </c>
      <c r="I16" s="129" t="n">
        <f aca="false">Restschuld_ZB_I</f>
        <v>191071.230070512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348</v>
      </c>
      <c r="D17" s="130" t="n">
        <v>0</v>
      </c>
      <c r="E17" s="70" t="s">
        <v>317</v>
      </c>
      <c r="F17" s="113"/>
      <c r="G17" s="40"/>
      <c r="H17" s="72" t="s">
        <v>349</v>
      </c>
      <c r="I17" s="116" t="str">
        <f aca="false">Volltilgung_Txt</f>
        <v>Jahr 32 (2057)</v>
      </c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11" t="s">
        <v>350</v>
      </c>
      <c r="D18" s="133" t="n">
        <v>0</v>
      </c>
      <c r="E18" s="70"/>
      <c r="F18" s="113"/>
      <c r="G18" s="40"/>
      <c r="H18" s="73" t="s">
        <v>351</v>
      </c>
      <c r="I18" s="147" t="n">
        <f aca="false">Kapitaldienst_Monat_J1</f>
        <v>1166.66666666667</v>
      </c>
      <c r="J18" s="40"/>
      <c r="K18" s="40"/>
      <c r="L18" s="40"/>
    </row>
    <row r="19" customFormat="false" ht="21.75" hidden="false" customHeight="true" outlineLevel="0" collapsed="false">
      <c r="A19" s="12"/>
      <c r="B19" s="12"/>
      <c r="C19" s="111" t="s">
        <v>352</v>
      </c>
      <c r="D19" s="140" t="n">
        <v>0.005</v>
      </c>
      <c r="E19" s="70"/>
      <c r="F19" s="113" t="s">
        <v>353</v>
      </c>
      <c r="G19" s="40"/>
      <c r="H19" s="125"/>
      <c r="I19" s="40"/>
      <c r="J19" s="40"/>
      <c r="K19" s="40"/>
      <c r="L19" s="40"/>
    </row>
    <row r="20" customFormat="false" ht="21.75" hidden="false" customHeight="true" outlineLevel="0" collapsed="false">
      <c r="A20" s="12"/>
      <c r="B20" s="12"/>
      <c r="C20" s="111" t="s">
        <v>354</v>
      </c>
      <c r="D20" s="130" t="n">
        <v>500</v>
      </c>
      <c r="E20" s="70"/>
      <c r="F20" s="113" t="s">
        <v>355</v>
      </c>
      <c r="G20" s="40"/>
      <c r="H20" s="118" t="s">
        <v>356</v>
      </c>
      <c r="I20" s="138" t="str">
        <f aca="false">IF(AND(ISNUMBER(DSCR_J1),DSCR_J1&lt;Ampel_DSCR_gelb),"●  kritisch"&amp;"  ·  "&amp;FIXED(DSCR_J1,2)&amp;"×",IF(AND(ISNUMBER(DSCR_J1),DSCR_J1&lt;Ampel_DSCR_gruen),"●  prüfen"&amp;"  ·  "&amp;FIXED(DSCR_J1,2)&amp;"×",IF(ISNUMBER(DSCR_J1),"●  erfüllt"&amp;"  ·  "&amp;FIXED(DSCR_J1,2)&amp;"×","")))</f>
        <v>●  kritisch  ·  0.61×</v>
      </c>
      <c r="J20" s="40"/>
      <c r="K20" s="40"/>
      <c r="L20" s="40"/>
    </row>
    <row r="21" customFormat="false" ht="21.75" hidden="false" customHeight="true" outlineLevel="0" collapsed="false">
      <c r="A21" s="12"/>
      <c r="B21" s="12"/>
      <c r="C21" s="111" t="s">
        <v>357</v>
      </c>
      <c r="D21" s="140" t="n">
        <v>0</v>
      </c>
      <c r="E21" s="70"/>
      <c r="F21" s="113" t="s">
        <v>358</v>
      </c>
      <c r="G21" s="40"/>
      <c r="H21" s="120" t="str">
        <f aca="false">IF(NOT(ISNUMBER(DSCR_J1)),"Ohne Darlehen entfällt die Kapitaldienstdeckung.",IF(DSCR_J1&gt;=Ampel_DSCR_gruen,"Der Einnahmenüberschuss deckt die Rate an die Bank mit Reserve – Banken erwarten mindestens "&amp;FIXED(Ampel_DSCR_gruen,2)&amp;"×.",IF(DSCR_J1&gt;=Ampel_DSCR_gelb,"Knapp: Banken erwarten meist mindestens "&amp;FIXED(Ampel_DSCR_gruen,2)&amp;"× – mehr Eigenkapital oder Sicherheiten einplanen.","Der Einnahmenüberschuss deckt nur "&amp;FIXED(DSCR_J1*100,0)&amp;" % der Rate. Banken erwarten mindestens "&amp;FIXED(Ampel_DSCR_gruen,2)&amp;"× – den Rest tragen Sie aus Ihrem Einkommen.")))</f>
        <v>Der Einnahmenüberschuss deckt nur 61 % der Rate. Banken erwarten mindestens 1.20× – den Rest tragen Sie aus Ihrem Einkommen.</v>
      </c>
      <c r="I21" s="120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125"/>
      <c r="D22" s="40"/>
      <c r="E22" s="40"/>
      <c r="F22" s="40"/>
      <c r="G22" s="40"/>
      <c r="H22" s="120"/>
      <c r="I22" s="120"/>
      <c r="J22" s="40"/>
      <c r="K22" s="40"/>
      <c r="L22" s="40"/>
    </row>
    <row r="23" customFormat="false" ht="21" hidden="false" customHeight="true" outlineLevel="0" collapsed="false">
      <c r="A23" s="12"/>
      <c r="B23" s="12"/>
      <c r="C23" s="88" t="s">
        <v>359</v>
      </c>
      <c r="D23" s="88"/>
      <c r="E23" s="88"/>
      <c r="F23" s="89" t="s">
        <v>360</v>
      </c>
      <c r="G23" s="40"/>
      <c r="H23" s="40"/>
      <c r="I23" s="40"/>
      <c r="J23" s="40"/>
      <c r="K23" s="40"/>
      <c r="L23" s="40"/>
    </row>
    <row r="24" customFormat="false" ht="19.5" hidden="false" customHeight="true" outlineLevel="0" collapsed="false">
      <c r="A24" s="12"/>
      <c r="B24" s="12"/>
      <c r="C24" s="40"/>
      <c r="D24" s="40"/>
      <c r="E24" s="40"/>
      <c r="F24" s="40"/>
      <c r="G24" s="40"/>
      <c r="H24" s="118" t="s">
        <v>361</v>
      </c>
      <c r="I24" s="118"/>
      <c r="J24" s="40"/>
      <c r="K24" s="40"/>
      <c r="L24" s="40"/>
    </row>
    <row r="25" customFormat="false" ht="19.5" hidden="false" customHeight="true" outlineLevel="0" collapsed="false">
      <c r="A25" s="12"/>
      <c r="B25" s="12"/>
      <c r="C25" s="145" t="s">
        <v>362</v>
      </c>
      <c r="D25" s="145"/>
      <c r="E25" s="145"/>
      <c r="F25" s="146" t="s">
        <v>363</v>
      </c>
      <c r="G25" s="40"/>
      <c r="H25" s="120" t="str">
        <f aca="false">"Nach "&amp;Zinsbindung_I&amp;" Jahren stehen noch "&amp;FIXED(Restschuld_ZB_I,0)&amp;" € Restschuld. Jeder Prozentpunkt mehr Anschlusszins kostet "&amp;FIXED(Restschuld_ZB_I*0.01,0)&amp;" € pro Jahr ("&amp;FIXED(Restschuld_ZB_I*0.01/12,0)&amp;" € pro Monat). Angenommen sind "&amp;FIXED(Anschlusszins_I*100,2)&amp;" % ab Jahr "&amp;(Zinsbindung_I+1)&amp;". Sondertilgungen und eine höhere Anfangstilgung reduzieren dieses Risiko."</f>
        <v>Nach 10 Jahren stehen noch 191,071 € Restschuld. Jeder Prozentpunkt mehr Anschlusszins kostet 1,911 € pro Jahr (159 € pro Monat). Angenommen sind 4.50 % ab Jahr 11. Sondertilgungen und eine höhere Anfangstilgung reduzieren dieses Risiko.</v>
      </c>
      <c r="I25" s="120"/>
      <c r="J25" s="40"/>
      <c r="K25" s="40"/>
      <c r="L25" s="40"/>
    </row>
    <row r="26" customFormat="false" ht="34.5" hidden="false" customHeight="true" outlineLevel="0" collapsed="false">
      <c r="A26" s="12"/>
      <c r="B26" s="12"/>
      <c r="C26" s="40"/>
      <c r="D26" s="40"/>
      <c r="E26" s="40"/>
      <c r="F26" s="40"/>
      <c r="G26" s="40"/>
      <c r="H26" s="120"/>
      <c r="I26" s="120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customFormat="false" ht="19.5" hidden="false" customHeight="true" outlineLevel="0" collapsed="false">
      <c r="A28" s="12"/>
      <c r="B28" s="12"/>
      <c r="C28" s="40"/>
      <c r="D28" s="40"/>
      <c r="E28" s="40"/>
      <c r="F28" s="40"/>
      <c r="G28" s="40"/>
      <c r="H28" s="145" t="s">
        <v>364</v>
      </c>
      <c r="I28" s="146" t="s">
        <v>224</v>
      </c>
      <c r="J28" s="40"/>
      <c r="K28" s="40"/>
      <c r="L28" s="40"/>
    </row>
    <row r="29" customFormat="false" ht="15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tru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tru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tru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tru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tru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tru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tru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2" hidden="false" customHeight="tru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2" hidden="false" customHeight="tru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25.5" hidden="false" customHeight="true" outlineLevel="0" collapsed="false">
      <c r="A41" s="12"/>
      <c r="B41" s="12"/>
      <c r="C41" s="126" t="s">
        <v>365</v>
      </c>
      <c r="D41" s="126"/>
      <c r="E41" s="100" t="s">
        <v>175</v>
      </c>
      <c r="F41" s="100"/>
      <c r="G41" s="100"/>
      <c r="H41" s="101" t="s">
        <v>366</v>
      </c>
      <c r="I41" s="101"/>
      <c r="J41" s="40"/>
      <c r="K41" s="40"/>
      <c r="L41" s="40"/>
    </row>
    <row r="42" customFormat="false" ht="12" hidden="false" customHeight="tru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8" hidden="false" customHeight="true" outlineLevel="0" collapsed="false">
      <c r="A43" s="12"/>
      <c r="B43" s="12"/>
      <c r="C43" s="127" t="s">
        <v>91</v>
      </c>
      <c r="D43" s="128"/>
      <c r="E43" s="128"/>
      <c r="F43" s="128"/>
      <c r="G43" s="128"/>
      <c r="H43" s="128"/>
      <c r="I43" s="128"/>
      <c r="J43" s="40"/>
      <c r="K43" s="40"/>
      <c r="L43" s="40"/>
    </row>
    <row r="44" customFormat="false" ht="13.5" hidden="false" customHeight="true" outlineLevel="0" collapsed="false">
      <c r="A44" s="12"/>
      <c r="B44" s="12"/>
      <c r="C44" s="81" t="s">
        <v>92</v>
      </c>
      <c r="D44" s="40"/>
      <c r="E44" s="125"/>
      <c r="F44" s="40"/>
      <c r="G44" s="40"/>
      <c r="H44" s="125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125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25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0">
    <mergeCell ref="H6:I6"/>
    <mergeCell ref="C7:F7"/>
    <mergeCell ref="H7:I7"/>
    <mergeCell ref="H21:I22"/>
    <mergeCell ref="C23:E23"/>
    <mergeCell ref="H24:I24"/>
    <mergeCell ref="H25:I26"/>
    <mergeCell ref="C41:D41"/>
    <mergeCell ref="E41:G41"/>
    <mergeCell ref="H41:I41"/>
  </mergeCells>
  <conditionalFormatting sqref="I13">
    <cfRule type="expression" priority="2" aboveAverage="0" equalAverage="0" bottom="0" percent="0" rank="0" text="" dxfId="4">
      <formula>AND(ISNUMBER(I13),I13&lt;0)</formula>
    </cfRule>
    <cfRule type="expression" priority="3" aboveAverage="0" equalAverage="0" bottom="0" percent="0" rank="0" text="" dxfId="3">
      <formula>1</formula>
    </cfRule>
  </conditionalFormatting>
  <conditionalFormatting sqref="I18">
    <cfRule type="expression" priority="4" aboveAverage="0" equalAverage="0" bottom="0" percent="0" rank="0" text="" dxfId="4">
      <formula>AND(ISNUMBER(I18),I18&lt;0)</formula>
    </cfRule>
    <cfRule type="expression" priority="5" aboveAverage="0" equalAverage="0" bottom="0" percent="0" rank="0" text="" dxfId="3">
      <formula>1</formula>
    </cfRule>
  </conditionalFormatting>
  <conditionalFormatting sqref="I20">
    <cfRule type="expression" priority="6" aboveAverage="0" equalAverage="0" bottom="0" percent="0" rank="0" text="" dxfId="8">
      <formula>AND(ISNUMBER(DSCR_J1),DSCR_J1&lt;Ampel_DSCR_gelb)</formula>
    </cfRule>
    <cfRule type="expression" priority="7" aboveAverage="0" equalAverage="0" bottom="0" percent="0" rank="0" text="" dxfId="9">
      <formula>AND(ISNUMBER(DSCR_J1),DSCR_J1&lt;Ampel_DSCR_gruen)</formula>
    </cfRule>
    <cfRule type="expression" priority="8" aboveAverage="0" equalAverage="0" bottom="0" percent="0" rank="0" text="" dxfId="10">
      <formula>ISNUMBER(DSCR_J1)</formula>
    </cfRule>
    <cfRule type="expression" priority="9" aboveAverage="0" equalAverage="0" bottom="0" percent="0" rank="0" text="" dxfId="3">
      <formula>1</formula>
    </cfRule>
  </conditionalFormatting>
  <conditionalFormatting sqref="H20:H22">
    <cfRule type="expression" priority="10" aboveAverage="0" equalAverage="0" bottom="0" percent="0" rank="0" text="" dxfId="11">
      <formula>AND(ISNUMBER(DSCR_J1),DSCR_J1&lt;Ampel_DSCR_gelb)</formula>
    </cfRule>
    <cfRule type="expression" priority="11" aboveAverage="0" equalAverage="0" bottom="0" percent="0" rank="0" text="" dxfId="12">
      <formula>AND(ISNUMBER(DSCR_J1),DSCR_J1&lt;Ampel_DSCR_gruen)</formula>
    </cfRule>
    <cfRule type="expression" priority="12" aboveAverage="0" equalAverage="0" bottom="0" percent="0" rank="0" text="" dxfId="13">
      <formula>ISNUMBER(DSCR_J1)</formula>
    </cfRule>
    <cfRule type="expression" priority="13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showDropDown="false" showErrorMessage="1" showInputMessage="false" sqref="D13:D14 D16 D19 D21" type="decimal">
      <formula1>0</formula1>
      <formula2>1</formula2>
    </dataValidation>
    <dataValidation allowBlank="true" error="Bitte eine Zahl im zulässigen Bereich eingeben (siehe Hinweis in derselben Zeile)." errorStyle="stop" errorTitle="Ungültige Eingabe" operator="between" showDropDown="false" showErrorMessage="1" showInputMessage="false" sqref="D15" type="whole">
      <formula1>1</formula1>
      <formula2>40</formula2>
    </dataValidation>
  </dataValidations>
  <hyperlinks>
    <hyperlink ref="C5" location="'Leitfaden'!A4" display="SCHRITT 07 / 12  ·  FINANZIERUNG"/>
    <hyperlink ref="I5" location="'Leitfaden'!A4" display="‹  Leitfaden"/>
    <hyperlink ref="F23" location="'Eingaben'!C104" display="Darlehen II erfassen  ›"/>
    <hyperlink ref="C41" location="'S06 Bewirtschaftung'!A4" display="‹  Zurück: Bewirtschaftung"/>
    <hyperlink ref="E41" location="'Leitfaden'!A4" display="Übersicht: Leitfaden"/>
    <hyperlink ref="H41" location="'S08 Zwischenergebnis'!A4" display="Weiter: Zwischenergebnis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3"/>
    <col collapsed="false" customWidth="true" hidden="false" outlineLevel="0" max="4" min="4" style="1" width="32"/>
    <col collapsed="false" customWidth="true" hidden="false" outlineLevel="0" max="5" min="5" style="1" width="33"/>
    <col collapsed="false" customWidth="true" hidden="false" outlineLevel="0" max="6" min="6" style="1" width="32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367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368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124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369</v>
      </c>
      <c r="D10" s="60"/>
      <c r="E10" s="60"/>
      <c r="F10" s="60"/>
      <c r="G10" s="40"/>
      <c r="H10" s="118" t="s">
        <v>370</v>
      </c>
      <c r="I10" s="138" t="str">
        <f aca="false">IF(CF_vSt_J1&lt;0,"●  kritisch"&amp;"  ·  "&amp;IF(CF_vSt_J1&lt;0,"−","")&amp;FIXED(ABS(CF_vSt_J1/12),0)&amp;" €",IF(ISNUMBER(CF_vSt_J1),"●  erfüllt"&amp;"  ·  "&amp;IF(CF_vSt_J1&lt;0,"−","")&amp;FIXED(ABS(CF_vSt_J1/12),0)&amp;" €",""))</f>
        <v>●  kritisch  ·  −453 €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43" t="s">
        <v>371</v>
      </c>
      <c r="D11" s="43"/>
      <c r="E11" s="43" t="s">
        <v>321</v>
      </c>
      <c r="F11" s="43"/>
      <c r="G11" s="40"/>
      <c r="H11" s="120" t="str">
        <f aca="false">IF(CF_vSt_J1&gt;=0,"Die Miete deckt Bewirtschaftung, Zinsen und Tilgung: Es bleiben "&amp;FIXED(CF_vSt_J1/12,0)&amp;" € pro Monat vor Steuern für Rücklagen oder Sondertilgungen.","Es fehlen "&amp;FIXED(-CF_vSt_J1/12,0)&amp;" € pro Monat, die aus anderen Einkünften zugeschossen werden. Ob sich das Objekt trotzdem lohnt, zeigen Steuereffekt (Schritte 9–10) und Wertentwicklung (Schritt 11).")</f>
        <v>Es fehlen 453 € pro Monat, die aus anderen Einkünften zugeschossen werden. Ob sich das Objekt trotzdem lohnt, zeigen Steuereffekt (Schritte 9–10) und Wertentwicklung (Schritt 11).</v>
      </c>
      <c r="I11" s="120"/>
      <c r="J11" s="40"/>
      <c r="K11" s="40"/>
      <c r="L11" s="40"/>
    </row>
    <row r="12" customFormat="false" ht="30" hidden="false" customHeight="true" outlineLevel="0" collapsed="false">
      <c r="A12" s="12"/>
      <c r="B12" s="12"/>
      <c r="C12" s="46" t="n">
        <f aca="false">INDEX(Projektion!$D$15:$AQ$15,1)/12</f>
        <v>921.5</v>
      </c>
      <c r="D12" s="46"/>
      <c r="E12" s="46" t="n">
        <f aca="false">INDEX(Projektion!$D$29:$AQ$29,1)/12</f>
        <v>714</v>
      </c>
      <c r="F12" s="46"/>
      <c r="G12" s="40"/>
      <c r="H12" s="120"/>
      <c r="I12" s="120"/>
      <c r="J12" s="40"/>
      <c r="K12" s="40"/>
      <c r="L12" s="40"/>
    </row>
    <row r="13" customFormat="false" ht="19.5" hidden="false" customHeight="true" outlineLevel="0" collapsed="false">
      <c r="A13" s="12"/>
      <c r="B13" s="12"/>
      <c r="C13" s="52" t="s">
        <v>372</v>
      </c>
      <c r="D13" s="52"/>
      <c r="E13" s="52" t="s">
        <v>373</v>
      </c>
      <c r="F13" s="52"/>
      <c r="G13" s="40"/>
      <c r="H13" s="40"/>
      <c r="I13" s="40"/>
      <c r="J13" s="40"/>
      <c r="K13" s="40"/>
      <c r="L13" s="40"/>
    </row>
    <row r="14" customFormat="false" ht="19.5" hidden="false" customHeight="true" outlineLevel="0" collapsed="false">
      <c r="A14" s="12"/>
      <c r="B14" s="12"/>
      <c r="C14" s="155" t="s">
        <v>100</v>
      </c>
      <c r="D14" s="155"/>
      <c r="E14" s="155" t="s">
        <v>374</v>
      </c>
      <c r="F14" s="155"/>
      <c r="G14" s="40"/>
      <c r="H14" s="118" t="s">
        <v>356</v>
      </c>
      <c r="I14" s="138" t="str">
        <f aca="false">IF(AND(ISNUMBER(DSCR_J1),DSCR_J1&lt;Ampel_DSCR_gelb),"●  kritisch"&amp;"  ·  "&amp;FIXED(DSCR_J1,2)&amp;"×",IF(AND(ISNUMBER(DSCR_J1),DSCR_J1&lt;Ampel_DSCR_gruen),"●  prüfen"&amp;"  ·  "&amp;FIXED(DSCR_J1,2)&amp;"×",IF(ISNUMBER(DSCR_J1),"●  erfüllt"&amp;"  ·  "&amp;FIXED(DSCR_J1,2)&amp;"×","")))</f>
        <v>●  kritisch  ·  0.61×</v>
      </c>
      <c r="J14" s="40"/>
      <c r="K14" s="40"/>
      <c r="L14" s="40"/>
    </row>
    <row r="15" customFormat="false" ht="30" hidden="false" customHeight="true" outlineLevel="0" collapsed="false">
      <c r="A15" s="12"/>
      <c r="B15" s="12"/>
      <c r="C15" s="46" t="n">
        <f aca="false">Kapitaldienst_Monat_J1</f>
        <v>1166.66666666667</v>
      </c>
      <c r="D15" s="46"/>
      <c r="E15" s="46" t="n">
        <f aca="false">CF_vSt_J1/12</f>
        <v>-452.666666666667</v>
      </c>
      <c r="F15" s="46"/>
      <c r="G15" s="40"/>
      <c r="H15" s="120" t="str">
        <f aca="false">"Banken erwarten meist eine Kapitaldienstdeckung von mindestens "&amp;FIXED(Ampel_DSCR_gruen,2)&amp;"× (Einnahmenüberschuss ÷ Rate). Darunter trägt der Investor einen Teil der Rate aus seinem Einkommen."</f>
        <v>Banken erwarten meist eine Kapitaldienstdeckung von mindestens 1.20× (Einnahmenüberschuss ÷ Rate). Darunter trägt der Investor einen Teil der Rate aus seinem Einkommen.</v>
      </c>
      <c r="I15" s="120"/>
      <c r="J15" s="40"/>
      <c r="K15" s="40"/>
      <c r="L15" s="40"/>
    </row>
    <row r="16" customFormat="false" ht="19.5" hidden="false" customHeight="true" outlineLevel="0" collapsed="false">
      <c r="A16" s="12"/>
      <c r="B16" s="12"/>
      <c r="C16" s="52" t="s">
        <v>375</v>
      </c>
      <c r="D16" s="52"/>
      <c r="E16" s="50" t="s">
        <v>376</v>
      </c>
      <c r="F16" s="51" t="str">
        <f aca="false">IF($E$15&lt;0,"●  kritisch",IF(ISNUMBER($E$15),"●  erfüllt",""))</f>
        <v>●  kritisch</v>
      </c>
      <c r="G16" s="40"/>
      <c r="H16" s="120"/>
      <c r="I16" s="120"/>
      <c r="J16" s="40"/>
      <c r="K16" s="40"/>
      <c r="L16" s="40"/>
    </row>
    <row r="17" customFormat="false" ht="31.5" hidden="false" customHeight="true" outlineLevel="0" collapsed="false">
      <c r="A17" s="12"/>
      <c r="B17" s="12"/>
      <c r="C17" s="145" t="s">
        <v>377</v>
      </c>
      <c r="D17" s="146" t="s">
        <v>378</v>
      </c>
      <c r="E17" s="145" t="s">
        <v>379</v>
      </c>
      <c r="F17" s="146" t="s">
        <v>380</v>
      </c>
      <c r="G17" s="156"/>
      <c r="H17" s="145" t="s">
        <v>381</v>
      </c>
      <c r="I17" s="146" t="s">
        <v>382</v>
      </c>
      <c r="J17" s="40"/>
      <c r="K17" s="40"/>
      <c r="L17" s="40"/>
    </row>
    <row r="18" customFormat="false" ht="21" hidden="false" customHeight="true" outlineLevel="0" collapsed="false">
      <c r="A18" s="12"/>
      <c r="B18" s="12"/>
      <c r="C18" s="72" t="s">
        <v>383</v>
      </c>
      <c r="D18" s="129" t="n">
        <f aca="false">INDEX(Projektion!$D$15:$AQ$15,1)/12</f>
        <v>921.5</v>
      </c>
      <c r="E18" s="40"/>
      <c r="F18" s="40"/>
      <c r="G18" s="40"/>
      <c r="H18" s="61" t="s">
        <v>384</v>
      </c>
      <c r="I18" s="157"/>
      <c r="J18" s="40"/>
      <c r="K18" s="40"/>
      <c r="L18" s="40"/>
    </row>
    <row r="19" customFormat="false" ht="21" hidden="false" customHeight="true" outlineLevel="0" collapsed="false">
      <c r="A19" s="12"/>
      <c r="B19" s="12"/>
      <c r="C19" s="72" t="s">
        <v>297</v>
      </c>
      <c r="D19" s="129" t="n">
        <f aca="false">INDEX(Projektion!$D$26:$AQ$26,1)/12</f>
        <v>207.5</v>
      </c>
      <c r="E19" s="40"/>
      <c r="F19" s="40"/>
      <c r="G19" s="40"/>
      <c r="H19" s="61" t="s">
        <v>385</v>
      </c>
      <c r="I19" s="157"/>
      <c r="J19" s="40"/>
      <c r="K19" s="40"/>
      <c r="L19" s="40"/>
    </row>
    <row r="20" customFormat="false" ht="21" hidden="false" customHeight="true" outlineLevel="0" collapsed="false">
      <c r="A20" s="12"/>
      <c r="B20" s="12"/>
      <c r="C20" s="72" t="s">
        <v>386</v>
      </c>
      <c r="D20" s="129" t="n">
        <f aca="false">INDEX(Projektion!$D$30:$AQ$30,1)/12</f>
        <v>750</v>
      </c>
      <c r="E20" s="40"/>
      <c r="F20" s="40"/>
      <c r="G20" s="40"/>
      <c r="H20" s="61" t="s">
        <v>387</v>
      </c>
      <c r="I20" s="157"/>
      <c r="J20" s="40"/>
      <c r="K20" s="40"/>
      <c r="L20" s="40"/>
    </row>
    <row r="21" customFormat="false" ht="21" hidden="false" customHeight="true" outlineLevel="0" collapsed="false">
      <c r="A21" s="12"/>
      <c r="B21" s="12"/>
      <c r="C21" s="72" t="s">
        <v>388</v>
      </c>
      <c r="D21" s="129" t="n">
        <f aca="false">INDEX(Projektion!$D$31:$AQ$31,1)/12</f>
        <v>416.666666666667</v>
      </c>
      <c r="E21" s="40"/>
      <c r="F21" s="40"/>
      <c r="G21" s="40"/>
      <c r="H21" s="61" t="s">
        <v>389</v>
      </c>
      <c r="I21" s="157"/>
      <c r="J21" s="40"/>
      <c r="K21" s="40"/>
      <c r="L21" s="40"/>
    </row>
    <row r="22" customFormat="false" ht="21" hidden="false" customHeight="true" outlineLevel="0" collapsed="false">
      <c r="A22" s="12"/>
      <c r="B22" s="12"/>
      <c r="C22" s="73" t="s">
        <v>390</v>
      </c>
      <c r="D22" s="147" t="n">
        <f aca="false">INDEX(Projektion!$D$33:$AQ$33,1)/12</f>
        <v>-452.666666666667</v>
      </c>
      <c r="E22" s="40"/>
      <c r="F22" s="40"/>
      <c r="G22" s="40"/>
      <c r="H22" s="61" t="s">
        <v>391</v>
      </c>
      <c r="I22" s="157"/>
      <c r="J22" s="40"/>
      <c r="K22" s="40"/>
      <c r="L22" s="40"/>
    </row>
    <row r="23" customFormat="false" ht="21" hidden="false" customHeight="true" outlineLevel="0" collapsed="false">
      <c r="A23" s="12"/>
      <c r="B23" s="12"/>
      <c r="C23" s="72" t="s">
        <v>356</v>
      </c>
      <c r="D23" s="158" t="n">
        <f aca="false">DSCR_J1</f>
        <v>0.612</v>
      </c>
      <c r="E23" s="40"/>
      <c r="F23" s="40"/>
      <c r="G23" s="40"/>
      <c r="H23" s="61" t="s">
        <v>392</v>
      </c>
      <c r="I23" s="157"/>
      <c r="J23" s="40"/>
      <c r="K23" s="40"/>
      <c r="L23" s="40"/>
    </row>
    <row r="24" customFormat="false" ht="12" hidden="false" customHeight="true" outlineLevel="0" collapsed="false">
      <c r="A24" s="12"/>
      <c r="B24" s="12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25.5" hidden="false" customHeight="true" outlineLevel="0" collapsed="false">
      <c r="A26" s="12"/>
      <c r="B26" s="12"/>
      <c r="C26" s="126" t="s">
        <v>393</v>
      </c>
      <c r="D26" s="126"/>
      <c r="E26" s="100" t="s">
        <v>175</v>
      </c>
      <c r="F26" s="100"/>
      <c r="G26" s="100"/>
      <c r="H26" s="101" t="s">
        <v>394</v>
      </c>
      <c r="I26" s="101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125"/>
      <c r="I27" s="40"/>
      <c r="J27" s="40"/>
      <c r="K27" s="40"/>
      <c r="L27" s="40"/>
    </row>
    <row r="28" customFormat="false" ht="18" hidden="false" customHeight="true" outlineLevel="0" collapsed="false">
      <c r="A28" s="12"/>
      <c r="B28" s="12"/>
      <c r="C28" s="127" t="s">
        <v>91</v>
      </c>
      <c r="D28" s="128"/>
      <c r="E28" s="128"/>
      <c r="F28" s="128"/>
      <c r="G28" s="128"/>
      <c r="H28" s="159"/>
      <c r="I28" s="128"/>
      <c r="J28" s="40"/>
      <c r="K28" s="40"/>
      <c r="L28" s="40"/>
    </row>
    <row r="29" customFormat="false" ht="13.5" hidden="false" customHeight="true" outlineLevel="0" collapsed="false">
      <c r="A29" s="12"/>
      <c r="B29" s="12"/>
      <c r="C29" s="81" t="s">
        <v>92</v>
      </c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5" hidden="false" customHeight="fals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5" hidden="false" customHeight="fals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5" hidden="false" customHeight="fals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125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125"/>
      <c r="D57" s="40"/>
      <c r="E57" s="125"/>
      <c r="F57" s="40"/>
      <c r="G57" s="40"/>
      <c r="H57" s="125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125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125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9">
    <mergeCell ref="H6:I6"/>
    <mergeCell ref="C7:F7"/>
    <mergeCell ref="H7:I7"/>
    <mergeCell ref="C11:D11"/>
    <mergeCell ref="E11:F11"/>
    <mergeCell ref="H11:I12"/>
    <mergeCell ref="C12:D12"/>
    <mergeCell ref="E12:F12"/>
    <mergeCell ref="C13:D13"/>
    <mergeCell ref="E13:F13"/>
    <mergeCell ref="C14:D14"/>
    <mergeCell ref="E14:F14"/>
    <mergeCell ref="C15:D15"/>
    <mergeCell ref="E15:F15"/>
    <mergeCell ref="H15:I16"/>
    <mergeCell ref="C16:D16"/>
    <mergeCell ref="C26:D26"/>
    <mergeCell ref="E26:G26"/>
    <mergeCell ref="H26:I26"/>
  </mergeCells>
  <conditionalFormatting sqref="C12:D12">
    <cfRule type="expression" priority="2" aboveAverage="0" equalAverage="0" bottom="0" percent="0" rank="0" text="" dxfId="4">
      <formula>AND(ISNUMBER(C12),C12&lt;0)</formula>
    </cfRule>
    <cfRule type="expression" priority="3" aboveAverage="0" equalAverage="0" bottom="0" percent="0" rank="0" text="" dxfId="3">
      <formula>1</formula>
    </cfRule>
  </conditionalFormatting>
  <conditionalFormatting sqref="E12:F12">
    <cfRule type="expression" priority="4" aboveAverage="0" equalAverage="0" bottom="0" percent="0" rank="0" text="" dxfId="4">
      <formula>AND(ISNUMBER(E12),E12&lt;0)</formula>
    </cfRule>
    <cfRule type="expression" priority="5" aboveAverage="0" equalAverage="0" bottom="0" percent="0" rank="0" text="" dxfId="3">
      <formula>1</formula>
    </cfRule>
  </conditionalFormatting>
  <conditionalFormatting sqref="C15:D15">
    <cfRule type="expression" priority="6" aboveAverage="0" equalAverage="0" bottom="0" percent="0" rank="0" text="" dxfId="4">
      <formula>AND(ISNUMBER(C15),C15&lt;0)</formula>
    </cfRule>
    <cfRule type="expression" priority="7" aboveAverage="0" equalAverage="0" bottom="0" percent="0" rank="0" text="" dxfId="3">
      <formula>1</formula>
    </cfRule>
  </conditionalFormatting>
  <conditionalFormatting sqref="F16">
    <cfRule type="expression" priority="8" aboveAverage="0" equalAverage="0" bottom="0" percent="0" rank="0" text="" dxfId="0">
      <formula>$E$15&lt;0</formula>
    </cfRule>
    <cfRule type="expression" priority="9" aboveAverage="0" equalAverage="0" bottom="0" percent="0" rank="0" text="" dxfId="2">
      <formula>ISNUMBER($E$15)</formula>
    </cfRule>
    <cfRule type="expression" priority="10" aboveAverage="0" equalAverage="0" bottom="0" percent="0" rank="0" text="" dxfId="3">
      <formula>1</formula>
    </cfRule>
  </conditionalFormatting>
  <conditionalFormatting sqref="E15:F15">
    <cfRule type="expression" priority="11" aboveAverage="0" equalAverage="0" bottom="0" percent="0" rank="0" text="" dxfId="0">
      <formula>$E$15&lt;0</formula>
    </cfRule>
    <cfRule type="expression" priority="12" aboveAverage="0" equalAverage="0" bottom="0" percent="0" rank="0" text="" dxfId="2">
      <formula>ISNUMBER($E$15)</formula>
    </cfRule>
    <cfRule type="expression" priority="13" aboveAverage="0" equalAverage="0" bottom="0" percent="0" rank="0" text="" dxfId="4">
      <formula>AND(ISNUMBER(E15),E15&lt;0)</formula>
    </cfRule>
    <cfRule type="expression" priority="14" aboveAverage="0" equalAverage="0" bottom="0" percent="0" rank="0" text="" dxfId="3">
      <formula>1</formula>
    </cfRule>
  </conditionalFormatting>
  <conditionalFormatting sqref="I10">
    <cfRule type="expression" priority="15" aboveAverage="0" equalAverage="0" bottom="0" percent="0" rank="0" text="" dxfId="8">
      <formula>CF_vSt_J1&lt;0</formula>
    </cfRule>
    <cfRule type="expression" priority="16" aboveAverage="0" equalAverage="0" bottom="0" percent="0" rank="0" text="" dxfId="10">
      <formula>ISNUMBER(CF_vSt_J1)</formula>
    </cfRule>
    <cfRule type="expression" priority="17" aboveAverage="0" equalAverage="0" bottom="0" percent="0" rank="0" text="" dxfId="3">
      <formula>1</formula>
    </cfRule>
  </conditionalFormatting>
  <conditionalFormatting sqref="H10:H12">
    <cfRule type="expression" priority="18" aboveAverage="0" equalAverage="0" bottom="0" percent="0" rank="0" text="" dxfId="11">
      <formula>CF_vSt_J1&lt;0</formula>
    </cfRule>
    <cfRule type="expression" priority="19" aboveAverage="0" equalAverage="0" bottom="0" percent="0" rank="0" text="" dxfId="13">
      <formula>ISNUMBER(CF_vSt_J1)</formula>
    </cfRule>
    <cfRule type="expression" priority="20" aboveAverage="0" equalAverage="0" bottom="0" percent="0" rank="0" text="" dxfId="3">
      <formula>1</formula>
    </cfRule>
  </conditionalFormatting>
  <conditionalFormatting sqref="I14">
    <cfRule type="expression" priority="21" aboveAverage="0" equalAverage="0" bottom="0" percent="0" rank="0" text="" dxfId="8">
      <formula>AND(ISNUMBER(DSCR_J1),DSCR_J1&lt;Ampel_DSCR_gelb)</formula>
    </cfRule>
    <cfRule type="expression" priority="22" aboveAverage="0" equalAverage="0" bottom="0" percent="0" rank="0" text="" dxfId="9">
      <formula>AND(ISNUMBER(DSCR_J1),DSCR_J1&lt;Ampel_DSCR_gruen)</formula>
    </cfRule>
    <cfRule type="expression" priority="23" aboveAverage="0" equalAverage="0" bottom="0" percent="0" rank="0" text="" dxfId="10">
      <formula>ISNUMBER(DSCR_J1)</formula>
    </cfRule>
    <cfRule type="expression" priority="24" aboveAverage="0" equalAverage="0" bottom="0" percent="0" rank="0" text="" dxfId="3">
      <formula>1</formula>
    </cfRule>
  </conditionalFormatting>
  <conditionalFormatting sqref="H14:H16">
    <cfRule type="expression" priority="25" aboveAverage="0" equalAverage="0" bottom="0" percent="0" rank="0" text="" dxfId="11">
      <formula>AND(ISNUMBER(DSCR_J1),DSCR_J1&lt;Ampel_DSCR_gelb)</formula>
    </cfRule>
    <cfRule type="expression" priority="26" aboveAverage="0" equalAverage="0" bottom="0" percent="0" rank="0" text="" dxfId="12">
      <formula>AND(ISNUMBER(DSCR_J1),DSCR_J1&lt;Ampel_DSCR_gruen)</formula>
    </cfRule>
    <cfRule type="expression" priority="27" aboveAverage="0" equalAverage="0" bottom="0" percent="0" rank="0" text="" dxfId="13">
      <formula>ISNUMBER(DSCR_J1)</formula>
    </cfRule>
    <cfRule type="expression" priority="28" aboveAverage="0" equalAverage="0" bottom="0" percent="0" rank="0" text="" dxfId="3">
      <formula>1</formula>
    </cfRule>
  </conditionalFormatting>
  <conditionalFormatting sqref="D22">
    <cfRule type="expression" priority="29" aboveAverage="0" equalAverage="0" bottom="0" percent="0" rank="0" text="" dxfId="4">
      <formula>AND(ISNUMBER(D22),D22&lt;0)</formula>
    </cfRule>
    <cfRule type="expression" priority="30" aboveAverage="0" equalAverage="0" bottom="0" percent="0" rank="0" text="" dxfId="3">
      <formula>1</formula>
    </cfRule>
  </conditionalFormatting>
  <hyperlinks>
    <hyperlink ref="C5" location="'Leitfaden'!A4" display="SCHRITT 08 / 12  ·  ZWISCHENERGEBNIS"/>
    <hyperlink ref="I5" location="'Leitfaden'!A4" display="‹  Leitfaden"/>
    <hyperlink ref="H18" location="'S02 Kaufpreis &amp; Miete'!A4" display="Kaufpreis &amp; Miete – Miete und Kaufpreis  ›"/>
    <hyperlink ref="H19" location="'S06 Bewirtschaftung'!A4" display="Bewirtschaftung – nicht umlagefähige Kosten  ›"/>
    <hyperlink ref="H20" location="'S07 Finanzierung'!A4" display="Finanzierung – Eigenkapital, Zins und Tilgung  ›"/>
    <hyperlink ref="H21" location="'S09 Steuern'!A4" display="Steuern – Rechtsform und Steuersatz  ›"/>
    <hyperlink ref="H22" location="'Sensitivität'!A4" display="Sensitivität – Break-even-Miete und Zinsänderung  ›"/>
    <hyperlink ref="H23" location="'Cockpit'!A4" display="Cockpit – alle Kennzahlen im Detail  ›"/>
    <hyperlink ref="C26" location="'S07 Finanzierung'!A4" display="‹  Zurück: Finanzierung"/>
    <hyperlink ref="E26" location="'Leitfaden'!A4" display="Übersicht: Leitfaden"/>
    <hyperlink ref="H26" location="'S09 Steuern'!A4" display="Weiter: Steuern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395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396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397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378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398</v>
      </c>
      <c r="I11" s="114" t="n">
        <f aca="false">Grenzsteuersatz_Tarif</f>
        <v>0.42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399</v>
      </c>
      <c r="D12" s="160" t="str">
        <f aca="false">CHOOSE(Rechtsform_Idx,"Privatperson","vv-GmbH","GmbH / Holding")</f>
        <v>Privatperson</v>
      </c>
      <c r="E12" s="70"/>
      <c r="F12" s="161" t="s">
        <v>400</v>
      </c>
      <c r="G12" s="40"/>
      <c r="H12" s="72" t="s">
        <v>401</v>
      </c>
      <c r="I12" s="114" t="n">
        <f aca="false">Steuersatz_Privat</f>
        <v>0.462588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402</v>
      </c>
      <c r="D13" s="112" t="s">
        <v>403</v>
      </c>
      <c r="E13" s="70"/>
      <c r="F13" s="113" t="s">
        <v>404</v>
      </c>
      <c r="G13" s="40"/>
      <c r="H13" s="72" t="s">
        <v>405</v>
      </c>
      <c r="I13" s="114" t="n">
        <f aca="false">Steuersatz_GmbH_J1</f>
        <v>0.15825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406</v>
      </c>
      <c r="D14" s="130" t="n">
        <v>75000</v>
      </c>
      <c r="E14" s="70" t="s">
        <v>317</v>
      </c>
      <c r="F14" s="113" t="s">
        <v>407</v>
      </c>
      <c r="G14" s="40"/>
      <c r="H14" s="141" t="s">
        <v>408</v>
      </c>
      <c r="I14" s="162" t="n">
        <f aca="false">Steuersatz_J1</f>
        <v>0.462588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409</v>
      </c>
      <c r="D15" s="139"/>
      <c r="E15" s="70"/>
      <c r="F15" s="113" t="s">
        <v>410</v>
      </c>
      <c r="G15" s="40"/>
      <c r="H15" s="72" t="s">
        <v>411</v>
      </c>
      <c r="I15" s="129" t="n">
        <f aca="false">Ergebnis_J1</f>
        <v>-18397.3569343066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412</v>
      </c>
      <c r="D16" s="112" t="s">
        <v>413</v>
      </c>
      <c r="E16" s="70"/>
      <c r="F16" s="113" t="s">
        <v>414</v>
      </c>
      <c r="G16" s="40"/>
      <c r="H16" s="73" t="s">
        <v>415</v>
      </c>
      <c r="I16" s="163" t="n">
        <f aca="false">INDEX(Steuern!$D$73:$AQ$73,1)</f>
        <v>-8510.39654952701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416</v>
      </c>
      <c r="D17" s="112" t="s">
        <v>417</v>
      </c>
      <c r="E17" s="70"/>
      <c r="F17" s="113" t="s">
        <v>418</v>
      </c>
      <c r="G17" s="40"/>
      <c r="H17" s="40"/>
      <c r="I17" s="40"/>
      <c r="J17" s="40"/>
      <c r="K17" s="40"/>
      <c r="L17" s="40"/>
    </row>
    <row r="18" customFormat="false" ht="21.75" hidden="false" customHeight="true" outlineLevel="0" collapsed="false">
      <c r="A18" s="12"/>
      <c r="B18" s="12"/>
      <c r="C18" s="111" t="s">
        <v>419</v>
      </c>
      <c r="D18" s="164" t="n">
        <v>4</v>
      </c>
      <c r="E18" s="70"/>
      <c r="F18" s="113" t="s">
        <v>420</v>
      </c>
      <c r="G18" s="40"/>
      <c r="H18" s="118" t="s">
        <v>421</v>
      </c>
      <c r="I18" s="118"/>
      <c r="J18" s="40"/>
      <c r="K18" s="40"/>
      <c r="L18" s="40"/>
    </row>
    <row r="19" customFormat="false" ht="12" hidden="false" customHeight="true" outlineLevel="0" collapsed="false">
      <c r="A19" s="12"/>
      <c r="B19" s="12"/>
      <c r="C19" s="40"/>
      <c r="D19" s="40"/>
      <c r="E19" s="40"/>
      <c r="F19" s="40"/>
      <c r="G19" s="40"/>
      <c r="H19" s="120" t="str">
        <f aca="false">IF(Rechtsform_Idx=1,"Privatperson: Das steuerliche Ergebnis (Miete abzüglich Werbungskosten, Zinsen und AfA) wird mit dem Grenzsteuersatz belastet – ein Verlust im Jahr 1 mindert die übrige Einkommensteuer (Erstattung). Nach zehn Jahren ist der Verkauf steuerfrei (§ 23 EStG).",IF(Rechtsform_Idx=2,"Vermögensverwaltende GmbH: Körperschaftsteuer 15 % (ab 2028 jährlich sinkend auf 10 % ab 2032) zuzüglich Soli; mit erweiterter Kürzung keine Gewerbesteuer auf Mieterträge. Verluste werden vorgetragen, der Verkauf ist immer steuerpflichtig. Ausschüttungen an Gesellschafter werden zusätzlich besteuert.","Gewerbliche GmbH: Körperschaftsteuer zuzüglich Soli und Gewerbesteuer ("&amp;FIXED(GewSt_Satz*100,2)&amp;" % bei Hebesatz "&amp;FIXED(Hebesatz*100,0)&amp;" %). Verluste werden vorgetragen; der Verkauf ist immer steuerpflichtig."))</f>
        <v>Privatperson: Das steuerliche Ergebnis (Miete abzüglich Werbungskosten, Zinsen und AfA) wird mit dem Grenzsteuersatz belastet – ein Verlust im Jahr 1 mindert die übrige Einkommensteuer (Erstattung). Nach zehn Jahren ist der Verkauf steuerfrei (§ 23 EStG).</v>
      </c>
      <c r="I19" s="120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145" t="s">
        <v>422</v>
      </c>
      <c r="D20" s="145"/>
      <c r="E20" s="145"/>
      <c r="F20" s="146" t="s">
        <v>423</v>
      </c>
      <c r="G20" s="40"/>
      <c r="H20" s="120"/>
      <c r="I20" s="120"/>
      <c r="J20" s="40"/>
      <c r="K20" s="40"/>
      <c r="L20" s="40"/>
    </row>
    <row r="21" customFormat="false" ht="22.5" hidden="false" customHeight="true" outlineLevel="0" collapsed="false">
      <c r="A21" s="12"/>
      <c r="B21" s="12"/>
      <c r="C21" s="40"/>
      <c r="D21" s="40"/>
      <c r="E21" s="40"/>
      <c r="F21" s="40"/>
      <c r="G21" s="40"/>
      <c r="H21" s="120"/>
      <c r="I21" s="120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48" t="s">
        <v>424</v>
      </c>
      <c r="I23" s="148"/>
      <c r="J23" s="40"/>
      <c r="K23" s="40"/>
      <c r="L23" s="40"/>
    </row>
    <row r="24" customFormat="false" ht="60" hidden="false" customHeight="true" outlineLevel="0" collapsed="false">
      <c r="A24" s="12"/>
      <c r="B24" s="12"/>
      <c r="C24" s="40"/>
      <c r="D24" s="40"/>
      <c r="E24" s="40"/>
      <c r="F24" s="40"/>
      <c r="G24" s="40"/>
      <c r="H24" s="165" t="n">
        <f aca="false">Steuer_J1/12</f>
        <v>-709.199712460584</v>
      </c>
      <c r="I24" s="165"/>
      <c r="J24" s="40"/>
      <c r="K24" s="40"/>
      <c r="L24" s="40"/>
    </row>
    <row r="25" customFormat="false" ht="19.5" hidden="false" customHeight="true" outlineLevel="0" collapsed="false">
      <c r="A25" s="12"/>
      <c r="B25" s="12"/>
      <c r="C25" s="40"/>
      <c r="D25" s="40"/>
      <c r="E25" s="40"/>
      <c r="F25" s="40"/>
      <c r="G25" s="40"/>
      <c r="H25" s="52" t="str">
        <f aca="false">IF(Steuer_J1&lt;0,"Erstattung","Zahlung")&amp;"  ·  Cash-Sicht wie Schritt 12"</f>
        <v>Erstattung  ·  Cash-Sicht wie Schritt 12</v>
      </c>
      <c r="I25" s="52"/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9.5" hidden="false" customHeight="true" outlineLevel="0" collapsed="false">
      <c r="A27" s="12"/>
      <c r="B27" s="12"/>
      <c r="C27" s="125"/>
      <c r="D27" s="40"/>
      <c r="E27" s="125"/>
      <c r="F27" s="40"/>
      <c r="G27" s="40"/>
      <c r="H27" s="122" t="s">
        <v>169</v>
      </c>
      <c r="I27" s="123" t="s">
        <v>425</v>
      </c>
      <c r="J27" s="40"/>
      <c r="K27" s="40"/>
      <c r="L27" s="40"/>
    </row>
    <row r="28" customFormat="false" ht="30" hidden="false" customHeight="true" outlineLevel="0" collapsed="false">
      <c r="A28" s="12"/>
      <c r="B28" s="12"/>
      <c r="C28" s="40"/>
      <c r="D28" s="40"/>
      <c r="E28" s="40"/>
      <c r="F28" s="40"/>
      <c r="G28" s="40"/>
      <c r="H28" s="124" t="s">
        <v>426</v>
      </c>
      <c r="I28" s="124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125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125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25.5" hidden="false" customHeight="true" outlineLevel="0" collapsed="false">
      <c r="A31" s="12"/>
      <c r="B31" s="12"/>
      <c r="C31" s="126" t="s">
        <v>427</v>
      </c>
      <c r="D31" s="126"/>
      <c r="E31" s="100" t="s">
        <v>175</v>
      </c>
      <c r="F31" s="100"/>
      <c r="G31" s="100"/>
      <c r="H31" s="101" t="s">
        <v>428</v>
      </c>
      <c r="I31" s="101"/>
      <c r="J31" s="40"/>
      <c r="K31" s="40"/>
      <c r="L31" s="40"/>
    </row>
    <row r="32" customFormat="false" ht="12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8" hidden="false" customHeight="true" outlineLevel="0" collapsed="false">
      <c r="A33" s="12"/>
      <c r="B33" s="12"/>
      <c r="C33" s="127" t="s">
        <v>91</v>
      </c>
      <c r="D33" s="128"/>
      <c r="E33" s="128"/>
      <c r="F33" s="128"/>
      <c r="G33" s="128"/>
      <c r="H33" s="128"/>
      <c r="I33" s="128"/>
      <c r="J33" s="40"/>
      <c r="K33" s="40"/>
      <c r="L33" s="40"/>
    </row>
    <row r="34" customFormat="false" ht="13.5" hidden="false" customHeight="true" outlineLevel="0" collapsed="false">
      <c r="A34" s="12"/>
      <c r="B34" s="12"/>
      <c r="C34" s="81" t="s">
        <v>92</v>
      </c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2">
    <mergeCell ref="H6:I6"/>
    <mergeCell ref="C7:F7"/>
    <mergeCell ref="H7:I7"/>
    <mergeCell ref="H18:I18"/>
    <mergeCell ref="H19:I21"/>
    <mergeCell ref="H23:I23"/>
    <mergeCell ref="H24:I24"/>
    <mergeCell ref="H25:I25"/>
    <mergeCell ref="H28:I28"/>
    <mergeCell ref="C31:D31"/>
    <mergeCell ref="E31:G31"/>
    <mergeCell ref="H31:I31"/>
  </mergeCells>
  <conditionalFormatting sqref="D13">
    <cfRule type="expression" priority="2" aboveAverage="0" equalAverage="0" bottom="0" percent="0" rank="0" text="" dxfId="14">
      <formula>Rechtsform_Idx&gt;=2</formula>
    </cfRule>
    <cfRule type="expression" priority="3" aboveAverage="0" equalAverage="0" bottom="0" percent="0" rank="0" text="" dxfId="3">
      <formula>1</formula>
    </cfRule>
  </conditionalFormatting>
  <conditionalFormatting sqref="D14">
    <cfRule type="expression" priority="4" aboveAverage="0" equalAverage="0" bottom="0" percent="0" rank="0" text="" dxfId="14">
      <formula>Rechtsform_Idx&gt;=2</formula>
    </cfRule>
    <cfRule type="expression" priority="5" aboveAverage="0" equalAverage="0" bottom="0" percent="0" rank="0" text="" dxfId="3">
      <formula>1</formula>
    </cfRule>
  </conditionalFormatting>
  <conditionalFormatting sqref="D15">
    <cfRule type="expression" priority="6" aboveAverage="0" equalAverage="0" bottom="0" percent="0" rank="0" text="" dxfId="14">
      <formula>Rechtsform_Idx&gt;=2</formula>
    </cfRule>
    <cfRule type="expression" priority="7" aboveAverage="0" equalAverage="0" bottom="0" percent="0" rank="0" text="" dxfId="3">
      <formula>1</formula>
    </cfRule>
  </conditionalFormatting>
  <conditionalFormatting sqref="D16">
    <cfRule type="expression" priority="8" aboveAverage="0" equalAverage="0" bottom="0" percent="0" rank="0" text="" dxfId="14">
      <formula>Rechtsform_Idx&gt;=2</formula>
    </cfRule>
    <cfRule type="expression" priority="9" aboveAverage="0" equalAverage="0" bottom="0" percent="0" rank="0" text="" dxfId="3">
      <formula>1</formula>
    </cfRule>
  </conditionalFormatting>
  <conditionalFormatting sqref="D17">
    <cfRule type="expression" priority="10" aboveAverage="0" equalAverage="0" bottom="0" percent="0" rank="0" text="" dxfId="14">
      <formula>Rechtsform_Idx&gt;=2</formula>
    </cfRule>
    <cfRule type="expression" priority="11" aboveAverage="0" equalAverage="0" bottom="0" percent="0" rank="0" text="" dxfId="3">
      <formula>1</formula>
    </cfRule>
  </conditionalFormatting>
  <conditionalFormatting sqref="D18">
    <cfRule type="expression" priority="12" aboveAverage="0" equalAverage="0" bottom="0" percent="0" rank="0" text="" dxfId="14">
      <formula>Rechtsform_Idx=1</formula>
    </cfRule>
    <cfRule type="expression" priority="13" aboveAverage="0" equalAverage="0" bottom="0" percent="0" rank="0" text="" dxfId="3">
      <formula>1</formula>
    </cfRule>
  </conditionalFormatting>
  <conditionalFormatting sqref="I14">
    <cfRule type="expression" priority="14" aboveAverage="0" equalAverage="0" bottom="0" percent="0" rank="0" text="" dxfId="4">
      <formula>AND(ISNUMBER(I14),I14&lt;0)</formula>
    </cfRule>
    <cfRule type="expression" priority="15" aboveAverage="0" equalAverage="0" bottom="0" percent="0" rank="0" text="" dxfId="3">
      <formula>1</formula>
    </cfRule>
  </conditionalFormatting>
  <conditionalFormatting sqref="I15">
    <cfRule type="expression" priority="16" aboveAverage="0" equalAverage="0" bottom="0" percent="0" rank="0" text="" dxfId="4">
      <formula>AND(ISNUMBER(I15),I15&lt;0)</formula>
    </cfRule>
    <cfRule type="expression" priority="17" aboveAverage="0" equalAverage="0" bottom="0" percent="0" rank="0" text="" dxfId="3">
      <formula>1</formula>
    </cfRule>
  </conditionalFormatting>
  <dataValidations count="4">
    <dataValidation allowBlank="true" error="Bitte einen Prozentwert zwischen 0 % und 100 % eingeben." errorStyle="stop" errorTitle="Ungültige Eingabe" operator="between" showDropDown="false" showErrorMessage="1" showInputMessage="false" sqref="D15" type="decimal">
      <formula1>0</formula1>
      <formula2>1</formula2>
    </dataValidation>
    <dataValidation allowBlank="true" error="Bitte einen Wert aus der Liste ▾ wählen." errorStyle="stop" errorTitle="Bitte aus der Liste wählen" operator="between" showDropDown="false" showErrorMessage="1" showInputMessage="1" sqref="D13" type="list" promptTitle="Veranlagung" prompt="Einzel- oder Zusammenveranlagung – nur für Privatpersonen. Auswahl über ▾.">
      <formula1>Konfiguration!$G$31:$G$32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1" sqref="D16" type="list" promptTitle="Solidaritätszuschlag" prompt="Ja oder Nein – nur für Privatpersonen. Auswahl über ▾.">
      <formula1>Konfiguration!$G$35:$G$36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1" sqref="D17" type="list" promptTitle="Kirchensteuer" prompt="Satz nach Bundesland – nur für Privatpersonen. Auswahl über ▾.">
      <formula1>Konfiguration!$G$39:$G$41</formula1>
      <formula2>0</formula2>
    </dataValidation>
  </dataValidations>
  <hyperlinks>
    <hyperlink ref="C5" location="'Leitfaden'!A4" display="SCHRITT 09 / 12  ·  STEUERN"/>
    <hyperlink ref="I5" location="'Leitfaden'!A4" display="‹  Leitfaden"/>
    <hyperlink ref="D12" location="'Start'!D23" display="#'Start'.D23"/>
    <hyperlink ref="F12" location="'Start'!D23" display="Kauf als auf der Startseite ändern  ›"/>
    <hyperlink ref="C31" location="'S08 Zwischenergebnis'!A4" display="‹  Zurück: Zwischenergebnis"/>
    <hyperlink ref="E31" location="'Leitfaden'!A4" display="Übersicht: Leitfaden"/>
    <hyperlink ref="H31" location="'S10 Abschreibung'!A4" display="Weiter: Abschreib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429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430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431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378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432</v>
      </c>
      <c r="I11" s="116" t="str">
        <f aca="false">IF(Methode_eff=5,"Degressiv 5 %",IF(Methode_eff=6,"Gutachten (RND)","Linear "&amp;FIXED(CHOOSE(Methode_eff,AfA_Satz_auto,0.02,0.025,0.03)*100,1)&amp;" %"))</f>
        <v>Linear 2.0 %</v>
      </c>
      <c r="J11" s="40"/>
      <c r="K11" s="40"/>
      <c r="L11" s="40"/>
    </row>
    <row r="12" customFormat="false" ht="31.5" hidden="false" customHeight="true" outlineLevel="0" collapsed="false">
      <c r="A12" s="12"/>
      <c r="B12" s="12"/>
      <c r="C12" s="111" t="s">
        <v>433</v>
      </c>
      <c r="D12" s="112" t="s">
        <v>434</v>
      </c>
      <c r="E12" s="70"/>
      <c r="F12" s="113" t="s">
        <v>435</v>
      </c>
      <c r="G12" s="40"/>
      <c r="H12" s="72" t="s">
        <v>436</v>
      </c>
      <c r="I12" s="129" t="n">
        <f aca="false">INDEX(Steuern!$D$49:$AQ$49,1)</f>
        <v>4885.35693430657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437</v>
      </c>
      <c r="D13" s="133" t="n">
        <v>0</v>
      </c>
      <c r="E13" s="70"/>
      <c r="F13" s="113" t="s">
        <v>438</v>
      </c>
      <c r="G13" s="40"/>
      <c r="H13" s="72" t="s">
        <v>439</v>
      </c>
      <c r="I13" s="129" t="n">
        <f aca="false">INDEX(Steuern!$D$50:$AQ$50,1)</f>
        <v>0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440</v>
      </c>
      <c r="D14" s="112" t="s">
        <v>413</v>
      </c>
      <c r="E14" s="70"/>
      <c r="F14" s="113" t="s">
        <v>441</v>
      </c>
      <c r="G14" s="40"/>
      <c r="H14" s="72" t="s">
        <v>442</v>
      </c>
      <c r="I14" s="129" t="n">
        <f aca="false">INDEX(Steuern!$D$54:$AQ$54,1)</f>
        <v>0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443</v>
      </c>
      <c r="D15" s="112" t="s">
        <v>444</v>
      </c>
      <c r="E15" s="70"/>
      <c r="F15" s="113" t="s">
        <v>445</v>
      </c>
      <c r="G15" s="40"/>
      <c r="H15" s="72" t="s">
        <v>446</v>
      </c>
      <c r="I15" s="129" t="n">
        <f aca="false">INDEX(Steuern!$D$55:$AQ$55,1)</f>
        <v>800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447</v>
      </c>
      <c r="D16" s="112" t="s">
        <v>444</v>
      </c>
      <c r="E16" s="70"/>
      <c r="F16" s="113" t="s">
        <v>448</v>
      </c>
      <c r="G16" s="40"/>
      <c r="H16" s="73" t="s">
        <v>449</v>
      </c>
      <c r="I16" s="147" t="n">
        <f aca="false">INDEX(Steuern!$D$56:$AQ$56,1)</f>
        <v>5685.35693430657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450</v>
      </c>
      <c r="D17" s="130" t="n">
        <v>0</v>
      </c>
      <c r="E17" s="70"/>
      <c r="F17" s="113" t="s">
        <v>451</v>
      </c>
      <c r="G17" s="40"/>
      <c r="H17" s="136" t="s">
        <v>452</v>
      </c>
      <c r="I17" s="137" t="n">
        <f aca="false">Steuereffekt_10J</f>
        <v>0</v>
      </c>
      <c r="J17" s="40"/>
      <c r="K17" s="40"/>
      <c r="L17" s="40"/>
    </row>
    <row r="18" customFormat="false" ht="12" hidden="false" customHeight="true" outlineLevel="0" collapsed="false">
      <c r="A18" s="12"/>
      <c r="B18" s="12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customFormat="false" ht="19.5" hidden="false" customHeight="true" outlineLevel="0" collapsed="false">
      <c r="A19" s="12"/>
      <c r="B19" s="12"/>
      <c r="C19" s="145" t="s">
        <v>453</v>
      </c>
      <c r="D19" s="145"/>
      <c r="E19" s="145"/>
      <c r="F19" s="146" t="s">
        <v>454</v>
      </c>
      <c r="G19" s="40"/>
      <c r="H19" s="118" t="s">
        <v>455</v>
      </c>
      <c r="I19" s="118"/>
      <c r="J19" s="40"/>
      <c r="K19" s="40"/>
      <c r="L19" s="40"/>
    </row>
    <row r="20" customFormat="false" ht="54" hidden="false" customHeight="true" outlineLevel="0" collapsed="false">
      <c r="A20" s="12"/>
      <c r="B20" s="12"/>
      <c r="C20" s="40"/>
      <c r="D20" s="40"/>
      <c r="E20" s="40"/>
      <c r="F20" s="40"/>
      <c r="G20" s="40"/>
      <c r="H20" s="120" t="str">
        <f aca="false">IF(AND(AfA_Idx=5,Methode_eff&lt;&gt;5),"Die degressive AfA ist für dieses Objekt nicht anwendbar (Fertigstellung vor 2023 oder Gewerbeeinheit) – es wird linear nach Baujahr abgeschrieben.",IF(AND(SonderAfA_7b="Ja",SonderAfA_aktiv=0),"Die Sonder-AfA § 7b greift nicht: Fertigstellung vor 2023, Gewerbeeinheit oder Anschaffungskosten über "&amp;FIXED(Grenze_7b_Baukosten,0)&amp;" €/m² (aktuell "&amp;FIXED(Baukosten_qm,0)&amp;" €/m²).",IF(SonderAfA_aktiv=1,"Sonder-AfA § 7b aktiv: 5 % p. a. auf "&amp;FIXED(SonderAfA_BMG,0)&amp;" € in den Jahren 1–4 zusätzlich zur regulären AfA; ab Jahr 5 Restwert-AfA. Voraussetzung: Effizienzhaus 40 mit QNG-Siegel.","Eine höhere AfA in den ersten Jahren ist ein Liquiditäts- und Zinsvorteil (Steuerstundung): Bei einem Verkauf innerhalb der Zehnjahresfrist (Privat) oder in der GmbH erhöht die kumulierte AfA den steuerpflichtigen Veräußerungsgewinn. Den vollständigen Variantenvergleich zeigt das Blatt „AfA-Vergleich“.")))</f>
        <v>Eine höhere AfA in den ersten Jahren ist ein Liquiditäts- und Zinsvorteil (Steuerstundung): Bei einem Verkauf innerhalb der Zehnjahresfrist (Privat) oder in der GmbH erhöht die kumulierte AfA den steuerpflichtigen Veräußerungsgewinn. Den vollständigen Variantenvergleich zeigt das Blatt „AfA-Vergleich“.</v>
      </c>
      <c r="I20" s="120"/>
      <c r="J20" s="40"/>
      <c r="K20" s="40"/>
      <c r="L20" s="40"/>
    </row>
    <row r="21" customFormat="false" ht="12" hidden="false" customHeight="true" outlineLevel="0" collapsed="false">
      <c r="A21" s="12"/>
      <c r="B21" s="12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customFormat="false" ht="19.5" hidden="false" customHeight="true" outlineLevel="0" collapsed="false">
      <c r="A22" s="12"/>
      <c r="B22" s="12"/>
      <c r="C22" s="40"/>
      <c r="D22" s="40"/>
      <c r="E22" s="40"/>
      <c r="F22" s="40"/>
      <c r="G22" s="40"/>
      <c r="H22" s="148" t="s">
        <v>456</v>
      </c>
      <c r="I22" s="148"/>
      <c r="J22" s="40"/>
      <c r="K22" s="40"/>
      <c r="L22" s="40"/>
    </row>
    <row r="23" customFormat="false" ht="30" hidden="false" customHeight="true" outlineLevel="0" collapsed="false">
      <c r="A23" s="12"/>
      <c r="B23" s="12"/>
      <c r="C23" s="40"/>
      <c r="D23" s="40"/>
      <c r="E23" s="40"/>
      <c r="F23" s="40"/>
      <c r="G23" s="40"/>
      <c r="H23" s="46" t="n">
        <f aca="false">INDEX(Steuern!$D$56:$AQ$56,1)/12</f>
        <v>473.779744525547</v>
      </c>
      <c r="I23" s="46"/>
      <c r="J23" s="40"/>
      <c r="K23" s="40"/>
      <c r="L23" s="40"/>
    </row>
    <row r="24" customFormat="false" ht="19.5" hidden="false" customHeight="true" outlineLevel="0" collapsed="false">
      <c r="A24" s="12"/>
      <c r="B24" s="12"/>
      <c r="C24" s="40"/>
      <c r="D24" s="40"/>
      <c r="E24" s="40"/>
      <c r="F24" s="40"/>
      <c r="G24" s="40"/>
      <c r="H24" s="52" t="str">
        <f aca="false">"Jahr 1 gesamt: "&amp;FIXED(INDEX(Steuern!$D$56:$AQ$56,1),0)&amp;" € p. a."</f>
        <v>Jahr 1 gesamt: 5,685 € p. a.</v>
      </c>
      <c r="I24" s="52"/>
      <c r="J24" s="40"/>
      <c r="K24" s="40"/>
      <c r="L24" s="40"/>
    </row>
    <row r="25" customFormat="false" ht="12" hidden="false" customHeight="true" outlineLevel="0" collapsed="false">
      <c r="A25" s="12"/>
      <c r="B25" s="12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9.5" hidden="false" customHeight="true" outlineLevel="0" collapsed="false">
      <c r="A26" s="12"/>
      <c r="B26" s="12"/>
      <c r="C26" s="40"/>
      <c r="D26" s="40"/>
      <c r="E26" s="40"/>
      <c r="F26" s="40"/>
      <c r="G26" s="40"/>
      <c r="H26" s="122" t="s">
        <v>169</v>
      </c>
      <c r="I26" s="123" t="s">
        <v>457</v>
      </c>
      <c r="J26" s="40"/>
      <c r="K26" s="40"/>
      <c r="L26" s="40"/>
    </row>
    <row r="27" customFormat="false" ht="30" hidden="false" customHeight="true" outlineLevel="0" collapsed="false">
      <c r="A27" s="12"/>
      <c r="B27" s="12"/>
      <c r="C27" s="40"/>
      <c r="D27" s="40"/>
      <c r="E27" s="40"/>
      <c r="F27" s="40"/>
      <c r="G27" s="40"/>
      <c r="H27" s="124" t="s">
        <v>458</v>
      </c>
      <c r="I27" s="124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25.5" hidden="false" customHeight="true" outlineLevel="0" collapsed="false">
      <c r="A30" s="12"/>
      <c r="B30" s="12"/>
      <c r="C30" s="126" t="s">
        <v>459</v>
      </c>
      <c r="D30" s="126"/>
      <c r="E30" s="100" t="s">
        <v>175</v>
      </c>
      <c r="F30" s="100"/>
      <c r="G30" s="100"/>
      <c r="H30" s="101" t="s">
        <v>460</v>
      </c>
      <c r="I30" s="101"/>
      <c r="J30" s="40"/>
      <c r="K30" s="40"/>
      <c r="L30" s="40"/>
    </row>
    <row r="31" customFormat="false" ht="12" hidden="false" customHeight="true" outlineLevel="0" collapsed="false">
      <c r="A31" s="12"/>
      <c r="B31" s="12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18" hidden="false" customHeight="true" outlineLevel="0" collapsed="false">
      <c r="A32" s="12"/>
      <c r="B32" s="12"/>
      <c r="C32" s="127" t="s">
        <v>91</v>
      </c>
      <c r="D32" s="128"/>
      <c r="E32" s="128"/>
      <c r="F32" s="128"/>
      <c r="G32" s="128"/>
      <c r="H32" s="128"/>
      <c r="I32" s="128"/>
      <c r="J32" s="40"/>
      <c r="K32" s="40"/>
      <c r="L32" s="40"/>
    </row>
    <row r="33" customFormat="false" ht="13.5" hidden="false" customHeight="true" outlineLevel="0" collapsed="false">
      <c r="A33" s="12"/>
      <c r="B33" s="12"/>
      <c r="C33" s="81" t="s">
        <v>92</v>
      </c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125"/>
      <c r="D45" s="40"/>
      <c r="E45" s="125"/>
      <c r="F45" s="40"/>
      <c r="G45" s="40"/>
      <c r="H45" s="125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25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125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2">
    <mergeCell ref="H6:I6"/>
    <mergeCell ref="C7:F7"/>
    <mergeCell ref="H7:I7"/>
    <mergeCell ref="H19:I19"/>
    <mergeCell ref="H20:I20"/>
    <mergeCell ref="H22:I22"/>
    <mergeCell ref="H23:I23"/>
    <mergeCell ref="H24:I24"/>
    <mergeCell ref="H27:I27"/>
    <mergeCell ref="C30:D30"/>
    <mergeCell ref="E30:G30"/>
    <mergeCell ref="H30:I30"/>
  </mergeCells>
  <conditionalFormatting sqref="D13">
    <cfRule type="expression" priority="2" aboveAverage="0" equalAverage="0" bottom="0" percent="0" rank="0" text="" dxfId="14">
      <formula>AfA_Idx&lt;&gt;6</formula>
    </cfRule>
    <cfRule type="expression" priority="3" aboveAverage="0" equalAverage="0" bottom="0" percent="0" rank="0" text="" dxfId="3">
      <formula>1</formula>
    </cfRule>
  </conditionalFormatting>
  <conditionalFormatting sqref="D14">
    <cfRule type="expression" priority="4" aboveAverage="0" equalAverage="0" bottom="0" percent="0" rank="0" text="" dxfId="14">
      <formula>AfA_Idx&lt;&gt;5</formula>
    </cfRule>
    <cfRule type="expression" priority="5" aboveAverage="0" equalAverage="0" bottom="0" percent="0" rank="0" text="" dxfId="3">
      <formula>1</formula>
    </cfRule>
  </conditionalFormatting>
  <conditionalFormatting sqref="D17">
    <cfRule type="expression" priority="6" aboveAverage="0" equalAverage="0" bottom="0" percent="0" rank="0" text="" dxfId="14">
      <formula>Denkmal&lt;&gt;"Ja"</formula>
    </cfRule>
    <cfRule type="expression" priority="7" aboveAverage="0" equalAverage="0" bottom="0" percent="0" rank="0" text="" dxfId="3">
      <formula>1</formula>
    </cfRule>
  </conditionalFormatting>
  <conditionalFormatting sqref="I16">
    <cfRule type="expression" priority="8" aboveAverage="0" equalAverage="0" bottom="0" percent="0" rank="0" text="" dxfId="4">
      <formula>AND(ISNUMBER(I16),I16&lt;0)</formula>
    </cfRule>
    <cfRule type="expression" priority="9" aboveAverage="0" equalAverage="0" bottom="0" percent="0" rank="0" text="" dxfId="3">
      <formula>1</formula>
    </cfRule>
  </conditionalFormatting>
  <conditionalFormatting sqref="H23:I23">
    <cfRule type="expression" priority="10" aboveAverage="0" equalAverage="0" bottom="0" percent="0" rank="0" text="" dxfId="4">
      <formula>AND(ISNUMBER(H23),H23&lt;0)</formula>
    </cfRule>
    <cfRule type="expression" priority="11" aboveAverage="0" equalAverage="0" bottom="0" percent="0" rank="0" text="" dxfId="3">
      <formula>1</formula>
    </cfRule>
  </conditionalFormatting>
  <dataValidations count="2">
    <dataValidation allowBlank="true" error="Bitte einen Wert aus der Liste ▾ wählen." errorStyle="stop" errorTitle="Bitte aus der Liste wählen" operator="between" showDropDown="false" showErrorMessage="1" showInputMessage="1" sqref="D12" type="list" promptTitle="AfA-Methode" prompt="„Automatisch nach Baujahr“ wählt den gesetzlichen Satz. Auswahl über ▾.">
      <formula1>Konfiguration!$G$44:$G$49</formula1>
      <formula2>0</formula2>
    </dataValidation>
    <dataValidation allowBlank="true" error="Bitte einen Wert aus der Liste ▾ wählen." errorStyle="stop" errorTitle="Bitte aus der Liste wählen" operator="between" showDropDown="false" showErrorMessage="1" showInputMessage="false" sqref="D14:D16" type="list">
      <formula1>Konfiguration!$G$35:$G$36</formula1>
      <formula2>0</formula2>
    </dataValidation>
  </dataValidations>
  <hyperlinks>
    <hyperlink ref="C5" location="'Leitfaden'!A4" display="SCHRITT 10 / 12  ·  ABSCHREIBUNG"/>
    <hyperlink ref="I5" location="'Leitfaden'!A4" display="‹  Leitfaden"/>
    <hyperlink ref="C30" location="'S09 Steuern'!A4" display="‹  Zurück: Steuern"/>
    <hyperlink ref="E30" location="'Leitfaden'!A4" display="Übersicht: Leitfaden"/>
    <hyperlink ref="H30" location="'S11 Prognose &amp; Exit'!A4" display="Weiter: Prognose &amp; Exit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1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461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462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130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138</v>
      </c>
      <c r="D10" s="60"/>
      <c r="E10" s="60"/>
      <c r="F10" s="60"/>
      <c r="G10" s="40"/>
      <c r="H10" s="33" t="s">
        <v>139</v>
      </c>
      <c r="I10" s="35" t="s">
        <v>463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96" t="s">
        <v>141</v>
      </c>
      <c r="D11" s="109" t="s">
        <v>142</v>
      </c>
      <c r="E11" s="96" t="s">
        <v>143</v>
      </c>
      <c r="F11" s="96" t="s">
        <v>144</v>
      </c>
      <c r="G11" s="40"/>
      <c r="H11" s="72" t="s">
        <v>464</v>
      </c>
      <c r="I11" s="129" t="n">
        <f aca="false">Exit_VP</f>
        <v>376667.812985076</v>
      </c>
      <c r="J11" s="40"/>
      <c r="K11" s="40"/>
      <c r="L11" s="40"/>
    </row>
    <row r="12" customFormat="false" ht="21.75" hidden="false" customHeight="true" outlineLevel="0" collapsed="false">
      <c r="A12" s="12"/>
      <c r="B12" s="12"/>
      <c r="C12" s="111" t="s">
        <v>465</v>
      </c>
      <c r="D12" s="151" t="n">
        <v>0.02</v>
      </c>
      <c r="E12" s="70"/>
      <c r="F12" s="113" t="s">
        <v>466</v>
      </c>
      <c r="G12" s="40"/>
      <c r="H12" s="72" t="s">
        <v>467</v>
      </c>
      <c r="I12" s="129" t="n">
        <f aca="false">Exit_Gewinn</f>
        <v>120534.239937053</v>
      </c>
      <c r="J12" s="40"/>
      <c r="K12" s="40"/>
      <c r="L12" s="40"/>
    </row>
    <row r="13" customFormat="false" ht="21.75" hidden="false" customHeight="true" outlineLevel="0" collapsed="false">
      <c r="A13" s="12"/>
      <c r="B13" s="12"/>
      <c r="C13" s="111" t="s">
        <v>468</v>
      </c>
      <c r="D13" s="151" t="n">
        <v>0.02</v>
      </c>
      <c r="E13" s="70"/>
      <c r="F13" s="113" t="s">
        <v>469</v>
      </c>
      <c r="G13" s="40"/>
      <c r="H13" s="72" t="s">
        <v>470</v>
      </c>
      <c r="I13" s="116" t="str">
        <f aca="false">IF(Exit_steuerpflichtig=1,"Ja","Nein")</f>
        <v>Nein</v>
      </c>
      <c r="J13" s="40"/>
      <c r="K13" s="40"/>
      <c r="L13" s="40"/>
    </row>
    <row r="14" customFormat="false" ht="21.75" hidden="false" customHeight="true" outlineLevel="0" collapsed="false">
      <c r="A14" s="12"/>
      <c r="B14" s="12"/>
      <c r="C14" s="111" t="s">
        <v>471</v>
      </c>
      <c r="D14" s="151" t="n">
        <v>0.02</v>
      </c>
      <c r="E14" s="70"/>
      <c r="F14" s="113" t="s">
        <v>472</v>
      </c>
      <c r="G14" s="40"/>
      <c r="H14" s="72" t="s">
        <v>473</v>
      </c>
      <c r="I14" s="129" t="n">
        <f aca="false">Exit_Steuer</f>
        <v>0</v>
      </c>
      <c r="J14" s="40"/>
      <c r="K14" s="40"/>
      <c r="L14" s="40"/>
    </row>
    <row r="15" customFormat="false" ht="21.75" hidden="false" customHeight="true" outlineLevel="0" collapsed="false">
      <c r="A15" s="12"/>
      <c r="B15" s="12"/>
      <c r="C15" s="111" t="s">
        <v>474</v>
      </c>
      <c r="D15" s="133" t="n">
        <v>12</v>
      </c>
      <c r="E15" s="70"/>
      <c r="F15" s="113" t="s">
        <v>475</v>
      </c>
      <c r="G15" s="40"/>
      <c r="H15" s="141" t="s">
        <v>476</v>
      </c>
      <c r="I15" s="142" t="n">
        <f aca="false">Exit_Netto</f>
        <v>189109.896707623</v>
      </c>
      <c r="J15" s="40"/>
      <c r="K15" s="40"/>
      <c r="L15" s="40"/>
    </row>
    <row r="16" customFormat="false" ht="21.75" hidden="false" customHeight="true" outlineLevel="0" collapsed="false">
      <c r="A16" s="12"/>
      <c r="B16" s="12"/>
      <c r="C16" s="111" t="s">
        <v>477</v>
      </c>
      <c r="D16" s="151" t="n">
        <v>0.02</v>
      </c>
      <c r="E16" s="70"/>
      <c r="F16" s="113" t="s">
        <v>478</v>
      </c>
      <c r="G16" s="40"/>
      <c r="H16" s="72" t="s">
        <v>479</v>
      </c>
      <c r="I16" s="129" t="n">
        <f aca="false">Gesamtertrag</f>
        <v>77296.8656314841</v>
      </c>
      <c r="J16" s="40"/>
      <c r="K16" s="40"/>
      <c r="L16" s="40"/>
    </row>
    <row r="17" customFormat="false" ht="21.75" hidden="false" customHeight="true" outlineLevel="0" collapsed="false">
      <c r="A17" s="12"/>
      <c r="B17" s="12"/>
      <c r="C17" s="111" t="s">
        <v>480</v>
      </c>
      <c r="D17" s="166"/>
      <c r="E17" s="70"/>
      <c r="F17" s="113" t="s">
        <v>481</v>
      </c>
      <c r="G17" s="40"/>
      <c r="H17" s="73" t="s">
        <v>482</v>
      </c>
      <c r="I17" s="135" t="n">
        <f aca="false">EK_IRR</f>
        <v>0.0532739559084637</v>
      </c>
      <c r="J17" s="40"/>
      <c r="K17" s="40"/>
      <c r="L17" s="40"/>
    </row>
    <row r="18" customFormat="false" ht="31.5" hidden="false" customHeight="true" outlineLevel="0" collapsed="false">
      <c r="A18" s="12"/>
      <c r="B18" s="12"/>
      <c r="C18" s="111" t="s">
        <v>483</v>
      </c>
      <c r="D18" s="112" t="s">
        <v>484</v>
      </c>
      <c r="E18" s="70"/>
      <c r="F18" s="113" t="s">
        <v>485</v>
      </c>
      <c r="G18" s="40"/>
      <c r="H18" s="40"/>
      <c r="I18" s="40"/>
      <c r="J18" s="40"/>
      <c r="K18" s="40"/>
      <c r="L18" s="40"/>
    </row>
    <row r="19" customFormat="false" ht="19.5" hidden="false" customHeight="true" outlineLevel="0" collapsed="false">
      <c r="A19" s="12"/>
      <c r="B19" s="12"/>
      <c r="C19" s="40"/>
      <c r="D19" s="40"/>
      <c r="E19" s="40"/>
      <c r="F19" s="40"/>
      <c r="G19" s="40"/>
      <c r="H19" s="118" t="s">
        <v>486</v>
      </c>
      <c r="I19" s="118"/>
      <c r="J19" s="40"/>
      <c r="K19" s="40"/>
      <c r="L19" s="40"/>
    </row>
    <row r="20" customFormat="false" ht="19.5" hidden="false" customHeight="true" outlineLevel="0" collapsed="false">
      <c r="A20" s="12"/>
      <c r="B20" s="12"/>
      <c r="C20" s="145" t="s">
        <v>487</v>
      </c>
      <c r="D20" s="145"/>
      <c r="E20" s="145"/>
      <c r="F20" s="146" t="s">
        <v>363</v>
      </c>
      <c r="G20" s="40"/>
      <c r="H20" s="120" t="str">
        <f aca="false">IF(AND(Rechtsform_Idx=1,Haltedauer&lt;=Frist_23),"Verkauf innerhalb der Zehnjahresfrist: Der Veräußerungsgewinn von "&amp;FIXED(Exit_Gewinn,0)&amp;" € ist steuerpflichtig (§ 23 EStG) – die bis dahin genutzte AfA wird über den Buchwert nachversteuert. Eine Haltedauer von mehr als zehn Jahren stellt den Gewinn steuerfrei.",IF(Rechtsform_Idx=1,"Verkauf nach mehr als zehn Jahren: Der Veräußerungsgewinn bleibt im Privatvermögen steuerfrei (§ 23 EStG). Prognosewerte für Miete, Kosten und Wert sind Annahmen – konservative Sätze schützen vor Fehlentscheidungen.","In der GmbH ist der Verkauf unabhängig von der Haltedauer steuerpflichtig; ein Verlustvortrag wird gegengerechnet. Ausschüttungen an die Gesellschafter lösen zusätzlich Abgeltungsteuer bzw. Teileinkünfteverfahren aus."))</f>
        <v>Verkauf nach mehr als zehn Jahren: Der Veräußerungsgewinn bleibt im Privatvermögen steuerfrei (§ 23 EStG). Prognosewerte für Miete, Kosten und Wert sind Annahmen – konservative Sätze schützen vor Fehlentscheidungen.</v>
      </c>
      <c r="I20" s="120"/>
      <c r="J20" s="40"/>
      <c r="K20" s="40"/>
      <c r="L20" s="40"/>
    </row>
    <row r="21" customFormat="false" ht="23.25" hidden="false" customHeight="true" outlineLevel="0" collapsed="false">
      <c r="A21" s="12"/>
      <c r="B21" s="12"/>
      <c r="C21" s="40"/>
      <c r="D21" s="40"/>
      <c r="E21" s="40"/>
      <c r="F21" s="40"/>
      <c r="G21" s="40"/>
      <c r="H21" s="120"/>
      <c r="I21" s="120"/>
      <c r="J21" s="40"/>
      <c r="K21" s="40"/>
      <c r="L21" s="40"/>
    </row>
    <row r="22" customFormat="false" ht="12" hidden="false" customHeight="true" outlineLevel="0" collapsed="false">
      <c r="A22" s="12"/>
      <c r="B22" s="12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19.5" hidden="false" customHeight="true" outlineLevel="0" collapsed="false">
      <c r="A23" s="12"/>
      <c r="B23" s="12"/>
      <c r="C23" s="40"/>
      <c r="D23" s="40"/>
      <c r="E23" s="40"/>
      <c r="F23" s="40"/>
      <c r="G23" s="40"/>
      <c r="H23" s="148" t="str">
        <f aca="false">UPPER("IRR n. St. ("&amp;Haltedauer&amp;" J.)")</f>
        <v>IRR N. ST. (12 J.)</v>
      </c>
      <c r="I23" s="148"/>
      <c r="J23" s="40"/>
      <c r="K23" s="40"/>
      <c r="L23" s="40"/>
    </row>
    <row r="24" customFormat="false" ht="60" hidden="false" customHeight="true" outlineLevel="0" collapsed="false">
      <c r="A24" s="12"/>
      <c r="B24" s="12"/>
      <c r="C24" s="40"/>
      <c r="D24" s="40"/>
      <c r="E24" s="40"/>
      <c r="F24" s="40"/>
      <c r="G24" s="40"/>
      <c r="H24" s="167" t="n">
        <f aca="false">EK_IRR</f>
        <v>0.0532739559084637</v>
      </c>
      <c r="I24" s="167"/>
      <c r="J24" s="40"/>
      <c r="K24" s="40"/>
      <c r="L24" s="40"/>
    </row>
    <row r="25" customFormat="false" ht="19.5" hidden="false" customHeight="true" outlineLevel="0" collapsed="false">
      <c r="A25" s="12"/>
      <c r="B25" s="12"/>
      <c r="C25" s="40"/>
      <c r="D25" s="40"/>
      <c r="E25" s="40"/>
      <c r="F25" s="40"/>
      <c r="G25" s="40"/>
      <c r="H25" s="50" t="str">
        <f aca="false">"Ziel ≥ "&amp;FIXED(Ampel_IRR_gruen*100,1)&amp;" %"</f>
        <v>Ziel ≥ 6.0 %</v>
      </c>
      <c r="I25" s="51" t="str">
        <f aca="false">IF(AND(ISNUMBER($H$24),$H$24&lt;Ampel_IRR_gelb),"●  kritisch",IF(AND(ISNUMBER($H$24),$H$24&lt;Ampel_IRR_gruen),"●  prüfen",IF(ISNUMBER($H$24),"●  erfüllt","")))</f>
        <v>●  prüfen</v>
      </c>
      <c r="J25" s="40"/>
      <c r="K25" s="40"/>
      <c r="L25" s="40"/>
    </row>
    <row r="26" customFormat="false" ht="12" hidden="false" customHeight="true" outlineLevel="0" collapsed="false">
      <c r="A26" s="12"/>
      <c r="B26" s="12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19.5" hidden="false" customHeight="true" outlineLevel="0" collapsed="false">
      <c r="A27" s="12"/>
      <c r="B27" s="12"/>
      <c r="C27" s="40"/>
      <c r="D27" s="40"/>
      <c r="E27" s="40"/>
      <c r="F27" s="40"/>
      <c r="G27" s="40"/>
      <c r="H27" s="122" t="s">
        <v>169</v>
      </c>
      <c r="I27" s="123" t="s">
        <v>488</v>
      </c>
      <c r="J27" s="40"/>
      <c r="K27" s="40"/>
      <c r="L27" s="40"/>
    </row>
    <row r="28" customFormat="false" ht="30" hidden="false" customHeight="true" outlineLevel="0" collapsed="false">
      <c r="A28" s="12"/>
      <c r="B28" s="12"/>
      <c r="C28" s="40"/>
      <c r="D28" s="40"/>
      <c r="E28" s="40"/>
      <c r="F28" s="40"/>
      <c r="G28" s="40"/>
      <c r="H28" s="124" t="s">
        <v>489</v>
      </c>
      <c r="I28" s="124"/>
      <c r="J28" s="40"/>
      <c r="K28" s="40"/>
      <c r="L28" s="40"/>
    </row>
    <row r="29" customFormat="false" ht="12" hidden="false" customHeight="true" outlineLevel="0" collapsed="false">
      <c r="A29" s="12"/>
      <c r="B29" s="12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25.5" hidden="false" customHeight="true" outlineLevel="0" collapsed="false">
      <c r="A31" s="12"/>
      <c r="B31" s="12"/>
      <c r="C31" s="126" t="s">
        <v>490</v>
      </c>
      <c r="D31" s="126"/>
      <c r="E31" s="100" t="s">
        <v>175</v>
      </c>
      <c r="F31" s="100"/>
      <c r="G31" s="100"/>
      <c r="H31" s="101" t="s">
        <v>491</v>
      </c>
      <c r="I31" s="101"/>
      <c r="J31" s="40"/>
      <c r="K31" s="40"/>
      <c r="L31" s="40"/>
    </row>
    <row r="32" customFormat="false" ht="12" hidden="false" customHeight="true" outlineLevel="0" collapsed="false">
      <c r="A32" s="12"/>
      <c r="B32" s="12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8" hidden="false" customHeight="true" outlineLevel="0" collapsed="false">
      <c r="A33" s="12"/>
      <c r="B33" s="12"/>
      <c r="C33" s="127" t="s">
        <v>91</v>
      </c>
      <c r="D33" s="128"/>
      <c r="E33" s="128"/>
      <c r="F33" s="128"/>
      <c r="G33" s="128"/>
      <c r="H33" s="128"/>
      <c r="I33" s="128"/>
      <c r="J33" s="40"/>
      <c r="K33" s="40"/>
      <c r="L33" s="40"/>
    </row>
    <row r="34" customFormat="false" ht="13.5" hidden="false" customHeight="true" outlineLevel="0" collapsed="false">
      <c r="A34" s="12"/>
      <c r="B34" s="12"/>
      <c r="C34" s="81" t="s">
        <v>92</v>
      </c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125"/>
      <c r="D45" s="40"/>
      <c r="E45" s="125"/>
      <c r="F45" s="40"/>
      <c r="G45" s="40"/>
      <c r="H45" s="125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125"/>
      <c r="D47" s="40"/>
      <c r="E47" s="40"/>
      <c r="F47" s="40"/>
      <c r="G47" s="40"/>
      <c r="H47" s="40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125"/>
      <c r="D48" s="40"/>
      <c r="E48" s="40"/>
      <c r="F48" s="40"/>
      <c r="G48" s="40"/>
      <c r="H48" s="40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11">
    <mergeCell ref="H6:I6"/>
    <mergeCell ref="C7:F7"/>
    <mergeCell ref="H7:I7"/>
    <mergeCell ref="H19:I19"/>
    <mergeCell ref="H20:I21"/>
    <mergeCell ref="H23:I23"/>
    <mergeCell ref="H24:I24"/>
    <mergeCell ref="H28:I28"/>
    <mergeCell ref="C31:D31"/>
    <mergeCell ref="E31:G31"/>
    <mergeCell ref="H31:I31"/>
  </mergeCells>
  <conditionalFormatting sqref="D18">
    <cfRule type="expression" priority="2" aboveAverage="0" equalAverage="0" bottom="0" percent="0" rank="0" text="" dxfId="14">
      <formula>Rechtsform_Idx&gt;=2</formula>
    </cfRule>
    <cfRule type="expression" priority="3" aboveAverage="0" equalAverage="0" bottom="0" percent="0" rank="0" text="" dxfId="3">
      <formula>1</formula>
    </cfRule>
  </conditionalFormatting>
  <conditionalFormatting sqref="I15">
    <cfRule type="expression" priority="4" aboveAverage="0" equalAverage="0" bottom="0" percent="0" rank="0" text="" dxfId="4">
      <formula>AND(ISNUMBER(I15),I15&lt;0)</formula>
    </cfRule>
    <cfRule type="expression" priority="5" aboveAverage="0" equalAverage="0" bottom="0" percent="0" rank="0" text="" dxfId="3">
      <formula>1</formula>
    </cfRule>
  </conditionalFormatting>
  <conditionalFormatting sqref="I17">
    <cfRule type="expression" priority="6" aboveAverage="0" equalAverage="0" bottom="0" percent="0" rank="0" text="" dxfId="4">
      <formula>AND(ISNUMBER(I17),I17&lt;0)</formula>
    </cfRule>
    <cfRule type="expression" priority="7" aboveAverage="0" equalAverage="0" bottom="0" percent="0" rank="0" text="" dxfId="3">
      <formula>1</formula>
    </cfRule>
  </conditionalFormatting>
  <conditionalFormatting sqref="I25">
    <cfRule type="expression" priority="8" aboveAverage="0" equalAverage="0" bottom="0" percent="0" rank="0" text="" dxfId="0">
      <formula>AND(ISNUMBER($H$24),$H$24&lt;Ampel_IRR_gelb)</formula>
    </cfRule>
    <cfRule type="expression" priority="9" aboveAverage="0" equalAverage="0" bottom="0" percent="0" rank="0" text="" dxfId="1">
      <formula>AND(ISNUMBER($H$24),$H$24&lt;Ampel_IRR_gruen)</formula>
    </cfRule>
    <cfRule type="expression" priority="10" aboveAverage="0" equalAverage="0" bottom="0" percent="0" rank="0" text="" dxfId="2">
      <formula>ISNUMBER($H$24)</formula>
    </cfRule>
    <cfRule type="expression" priority="11" aboveAverage="0" equalAverage="0" bottom="0" percent="0" rank="0" text="" dxfId="3">
      <formula>1</formula>
    </cfRule>
  </conditionalFormatting>
  <conditionalFormatting sqref="H24:I24">
    <cfRule type="expression" priority="12" aboveAverage="0" equalAverage="0" bottom="0" percent="0" rank="0" text="" dxfId="0">
      <formula>AND(ISNUMBER($H$24),$H$24&lt;Ampel_IRR_gelb)</formula>
    </cfRule>
    <cfRule type="expression" priority="13" aboveAverage="0" equalAverage="0" bottom="0" percent="0" rank="0" text="" dxfId="1">
      <formula>AND(ISNUMBER($H$24),$H$24&lt;Ampel_IRR_gruen)</formula>
    </cfRule>
    <cfRule type="expression" priority="14" aboveAverage="0" equalAverage="0" bottom="0" percent="0" rank="0" text="" dxfId="2">
      <formula>ISNUMBER($H$24)</formula>
    </cfRule>
    <cfRule type="expression" priority="15" aboveAverage="0" equalAverage="0" bottom="0" percent="0" rank="0" text="" dxfId="3">
      <formula>1</formula>
    </cfRule>
  </conditionalFormatting>
  <dataValidations count="3">
    <dataValidation allowBlank="true" error="Bitte einen Prozentwert zwischen 0 % und 100 % eingeben." errorStyle="stop" errorTitle="Ungültige Eingabe" operator="between" showDropDown="false" showErrorMessage="1" showInputMessage="false" sqref="D12:D14 D16" type="decimal">
      <formula1>0</formula1>
      <formula2>1</formula2>
    </dataValidation>
    <dataValidation allowBlank="true" error="Bitte eine Zahl im zulässigen Bereich eingeben (siehe Hinweis in derselben Zeile)." errorStyle="stop" errorTitle="Ungültige Eingabe" operator="between" showDropDown="false" showErrorMessage="1" showInputMessage="false" sqref="D15" type="whole">
      <formula1>1</formula1>
      <formula2>40</formula2>
    </dataValidation>
    <dataValidation allowBlank="true" error="Bitte einen Wert aus der Liste ▾ wählen." errorStyle="stop" errorTitle="Bitte aus der Liste wählen" operator="between" showDropDown="false" showErrorMessage="1" showInputMessage="false" sqref="D18" type="list">
      <formula1>Konfiguration!$G$52:$G$53</formula1>
      <formula2>0</formula2>
    </dataValidation>
  </dataValidations>
  <hyperlinks>
    <hyperlink ref="C5" location="'Leitfaden'!A4" display="SCHRITT 11 / 12  ·  PROGNOSE &amp; EXIT"/>
    <hyperlink ref="I5" location="'Leitfaden'!A4" display="‹  Leitfaden"/>
    <hyperlink ref="C31" location="'S10 Abschreibung'!A4" display="‹  Zurück: Abschreibung"/>
    <hyperlink ref="E31" location="'Leitfaden'!A4" display="Übersicht: Leitfaden"/>
    <hyperlink ref="H31" location="'S12 Ergebnis'!A4" display="Weiter: Ergebnis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F8A"/>
    <pageSetUpPr fitToPage="true"/>
  </sheetPr>
  <dimension ref="A1:P9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"/>
    <col collapsed="false" customWidth="true" hidden="false" outlineLevel="0" max="3" min="3" style="1" width="33"/>
    <col collapsed="false" customWidth="true" hidden="false" outlineLevel="0" max="4" min="4" style="1" width="32"/>
    <col collapsed="false" customWidth="true" hidden="false" outlineLevel="0" max="5" min="5" style="1" width="33"/>
    <col collapsed="false" customWidth="true" hidden="false" outlineLevel="0" max="6" min="6" style="1" width="32"/>
    <col collapsed="false" customWidth="true" hidden="false" outlineLevel="0" max="7" min="7" style="1" width="3"/>
    <col collapsed="false" customWidth="true" hidden="false" outlineLevel="0" max="8" min="8" style="1" width="43"/>
    <col collapsed="false" customWidth="true" hidden="false" outlineLevel="0" max="9" min="9" style="1" width="22"/>
    <col collapsed="false" customWidth="true" hidden="false" outlineLevel="0" max="11" min="10" style="1" width="3"/>
    <col collapsed="false" customWidth="true" hidden="false" outlineLevel="0" max="13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0"/>
      <c r="K1" s="0"/>
      <c r="L1" s="0"/>
      <c r="M1" s="0"/>
      <c r="N1" s="0"/>
      <c r="O1" s="0"/>
      <c r="P1" s="0"/>
    </row>
    <row r="2" customFormat="false" ht="33" hidden="false" customHeight="true" outlineLevel="0" collapsed="false">
      <c r="A2" s="2"/>
      <c r="B2" s="6"/>
      <c r="C2" s="5"/>
      <c r="D2" s="4"/>
      <c r="E2" s="6"/>
      <c r="F2" s="5"/>
      <c r="G2" s="6"/>
      <c r="H2" s="5"/>
      <c r="I2" s="6"/>
      <c r="J2" s="0"/>
      <c r="K2" s="0"/>
      <c r="L2" s="0"/>
      <c r="M2" s="0"/>
      <c r="N2" s="0"/>
      <c r="O2" s="0"/>
      <c r="P2" s="0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0"/>
      <c r="K3" s="0"/>
      <c r="L3" s="0"/>
      <c r="M3" s="0"/>
      <c r="N3" s="0"/>
      <c r="O3" s="0"/>
      <c r="P3" s="0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15.75" hidden="false" customHeight="true" outlineLevel="0" collapsed="false">
      <c r="A5" s="12"/>
      <c r="B5" s="12"/>
      <c r="C5" s="102" t="s">
        <v>492</v>
      </c>
      <c r="D5" s="12"/>
      <c r="E5" s="12"/>
      <c r="F5" s="12"/>
      <c r="G5" s="12"/>
      <c r="H5" s="12"/>
      <c r="I5" s="103" t="s">
        <v>135</v>
      </c>
      <c r="J5" s="12"/>
      <c r="K5" s="12"/>
      <c r="L5" s="12"/>
    </row>
    <row r="6" customFormat="false" ht="30" hidden="false" customHeight="true" outlineLevel="0" collapsed="false">
      <c r="A6" s="12"/>
      <c r="B6" s="12"/>
      <c r="C6" s="104" t="s">
        <v>53</v>
      </c>
      <c r="D6" s="12"/>
      <c r="E6" s="12"/>
      <c r="F6" s="12"/>
      <c r="G6" s="12"/>
      <c r="H6" s="105" t="str">
        <f aca="false">Obj_Name</f>
        <v>Beispiel: 3-Zimmer-Eigentumswohnung</v>
      </c>
      <c r="I6" s="105"/>
      <c r="J6" s="12"/>
      <c r="K6" s="12"/>
      <c r="L6" s="12"/>
    </row>
    <row r="7" customFormat="false" ht="21.75" hidden="false" customHeight="true" outlineLevel="0" collapsed="false">
      <c r="A7" s="12"/>
      <c r="B7" s="12"/>
      <c r="C7" s="106" t="s">
        <v>493</v>
      </c>
      <c r="D7" s="106"/>
      <c r="E7" s="106"/>
      <c r="F7" s="106"/>
      <c r="G7" s="12"/>
      <c r="H7" s="107" t="str">
        <f aca="false">Obj_Adresse&amp;IFERROR(IF(Erstellt_fuer="","","  ·  Erstellt für "&amp;Erstellt_fuer),"")</f>
        <v>Musterstraße 1, 88250 Weingarten  ·  Erstellt für Max Mustermann</v>
      </c>
      <c r="I7" s="107"/>
      <c r="J7" s="12"/>
      <c r="K7" s="12"/>
      <c r="L7" s="12"/>
    </row>
    <row r="8" customFormat="false" ht="30" hidden="false" customHeight="true" outlineLevel="0" collapsed="false">
      <c r="A8" s="12"/>
      <c r="B8" s="12"/>
      <c r="C8" s="108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2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4" hidden="false" customHeight="true" outlineLevel="0" collapsed="false">
      <c r="A10" s="12"/>
      <c r="B10" s="12"/>
      <c r="C10" s="33" t="s">
        <v>494</v>
      </c>
      <c r="D10" s="60"/>
      <c r="E10" s="60"/>
      <c r="F10" s="60"/>
      <c r="G10" s="40"/>
      <c r="H10" s="118" t="s">
        <v>495</v>
      </c>
      <c r="I10" s="138" t="str">
        <f aca="false">IF(AND(ISNUMBER(EK_IRR),EK_IRR&lt;Ampel_IRR_gelb),"●  kritisch"&amp;"  ·  "&amp;FIXED(EK_IRR*100,1)&amp;" %",IF(AND(ISNUMBER(EK_IRR),EK_IRR&lt;Ampel_IRR_gruen),"●  prüfen"&amp;"  ·  "&amp;FIXED(EK_IRR*100,1)&amp;" %",IF(ISNUMBER(EK_IRR),"●  erfüllt"&amp;"  ·  "&amp;FIXED(EK_IRR*100,1)&amp;" %","")))</f>
        <v>●  prüfen  ·  5.3 %</v>
      </c>
      <c r="J10" s="40"/>
      <c r="K10" s="40"/>
      <c r="L10" s="40"/>
    </row>
    <row r="11" customFormat="false" ht="19.5" hidden="false" customHeight="true" outlineLevel="0" collapsed="false">
      <c r="A11" s="12"/>
      <c r="B11" s="12"/>
      <c r="C11" s="43" t="s">
        <v>18</v>
      </c>
      <c r="D11" s="43"/>
      <c r="E11" s="43" t="s">
        <v>424</v>
      </c>
      <c r="F11" s="43"/>
      <c r="G11" s="40"/>
      <c r="H11" s="120" t="str">
        <f aca="false">IFERROR(IF(EK_IRR&gt;=Ampel_IRR_gruen,"Über "&amp;Haltedauer&amp;" Jahre verzinst sich das Eigenkapital mit "&amp;FIXED(EK_IRR*100,1)&amp;" % p. a. nach Steuern – das Ziel von "&amp;FIXED(Ampel_IRR_gruen*100,1)&amp;" % ist erreicht.",IF(EK_IRR&gt;=Ampel_IRR_gelb,"Über "&amp;Haltedauer&amp;" Jahre verzinst sich das Eigenkapital mit "&amp;FIXED(EK_IRR*100,1)&amp;" % p. a. nach Steuern – solide, aber unter dem Ziel von "&amp;FIXED(Ampel_IRR_gruen*100,1)&amp;" %. Hebel: Kaufpreis, Miete, Finanzierung und Haltedauer.","Über "&amp;Haltedauer&amp;" Jahre verzinst sich das Eigenkapital nur mit "&amp;FIXED(EK_IRR*100,1)&amp;" % p. a. nach Steuern – unter der Mindestschwelle von "&amp;FIXED(Ampel_IRR_gelb*100,1)&amp;" %. Kaufpreis, Miete und Finanzierung prüfen.")),"Die Eigenkapitalrendite lässt sich mit diesen Annahmen nicht berechnen.")</f>
        <v>Über 12 Jahre verzinst sich das Eigenkapital mit 5.3 % p. a. nach Steuern – solide, aber unter dem Ziel von 6.0 %. Hebel: Kaufpreis, Miete, Finanzierung und Haltedauer.</v>
      </c>
      <c r="I11" s="120"/>
      <c r="J11" s="40"/>
      <c r="K11" s="40"/>
      <c r="L11" s="40"/>
    </row>
    <row r="12" customFormat="false" ht="30" hidden="false" customHeight="true" outlineLevel="0" collapsed="false">
      <c r="A12" s="12"/>
      <c r="B12" s="12"/>
      <c r="C12" s="46" t="n">
        <f aca="false">CF_nSt_Monat_J1</f>
        <v>256.533045793917</v>
      </c>
      <c r="D12" s="46"/>
      <c r="E12" s="168" t="n">
        <f aca="false">Steuer_J1/12</f>
        <v>-709.199712460584</v>
      </c>
      <c r="F12" s="168"/>
      <c r="G12" s="40"/>
      <c r="H12" s="120"/>
      <c r="I12" s="120"/>
      <c r="J12" s="40"/>
      <c r="K12" s="40"/>
      <c r="L12" s="40"/>
    </row>
    <row r="13" customFormat="false" ht="19.5" hidden="false" customHeight="true" outlineLevel="0" collapsed="false">
      <c r="A13" s="12"/>
      <c r="B13" s="12"/>
      <c r="C13" s="50" t="str">
        <f aca="false">"ab Jahr 2: "&amp;IF(INDEX(Projektion!$D$37:$AQ$37,2)&lt;0,"−","")&amp;FIXED(ABS(INDEX(Projektion!$D$37:$AQ$37,2)),0)&amp;" €"</f>
        <v>ab Jahr 2: −274 €</v>
      </c>
      <c r="D13" s="51" t="str">
        <f aca="false">IF($C$12&lt;0,"●  kritisch",IF(INDEX(Projektion!$D$37:$AQ$37,2)&lt;0,"●  prüfen",IF(ISNUMBER($C$12),"●  erfüllt","")))</f>
        <v>●  prüfen</v>
      </c>
      <c r="E13" s="52" t="str">
        <f aca="false">IF(Steuer_J1&lt;0,"Erstattung","Zahlung")&amp;"  ·  Cash-Sicht  ·  Steuersatz "&amp;FIXED(Steuersatz_J1*100,2)&amp;" %"</f>
        <v>Erstattung  ·  Cash-Sicht  ·  Steuersatz 46.26 %</v>
      </c>
      <c r="F13" s="52"/>
      <c r="G13" s="40"/>
      <c r="H13" s="40"/>
      <c r="I13" s="40"/>
      <c r="J13" s="40"/>
      <c r="K13" s="40"/>
      <c r="L13" s="40"/>
    </row>
    <row r="14" customFormat="false" ht="19.5" hidden="false" customHeight="true" outlineLevel="0" collapsed="false">
      <c r="A14" s="12"/>
      <c r="B14" s="12"/>
      <c r="C14" s="155" t="s">
        <v>496</v>
      </c>
      <c r="D14" s="155"/>
      <c r="E14" s="155" t="str">
        <f aca="false">UPPER("IRR n. St. ("&amp;Haltedauer&amp;" J.)")</f>
        <v>IRR N. ST. (12 J.)</v>
      </c>
      <c r="F14" s="155"/>
      <c r="G14" s="40"/>
      <c r="H14" s="118" t="s">
        <v>497</v>
      </c>
      <c r="I14" s="118"/>
      <c r="J14" s="40"/>
      <c r="K14" s="40"/>
      <c r="L14" s="40"/>
    </row>
    <row r="15" customFormat="false" ht="30" hidden="false" customHeight="true" outlineLevel="0" collapsed="false">
      <c r="A15" s="12"/>
      <c r="B15" s="12"/>
      <c r="C15" s="47" t="n">
        <f aca="false">INDEX(Projektion!$D$45:$AQ$45,1)</f>
        <v>0.177505353620814</v>
      </c>
      <c r="D15" s="47"/>
      <c r="E15" s="47" t="n">
        <f aca="false">EK_IRR</f>
        <v>0.0532739559084637</v>
      </c>
      <c r="F15" s="47"/>
      <c r="G15" s="40"/>
      <c r="H15" s="120" t="str">
        <f aca="false">IF(CF_nSt_J1&gt;=0,"Nach Steuern bleibt im ersten Jahr ein Überschuss von "&amp;FIXED(CF_nSt_J1/12,0)&amp;" € pro Monat.","Nach Steuern fehlen im ersten Jahr "&amp;FIXED(-CF_nSt_J1/12,0)&amp;" € pro Monat.")&amp;" Der Wert ergibt sich aus der Miete ("&amp;FIXED(INDEX(Projektion!$D$15:$AQ$15,1)/12,0)&amp;" €) abzüglich Rate ("&amp;FIXED(Kapitaldienst_Monat_J1,0)&amp;" €) und Bewirtschaftung ("&amp;FIXED(BWK_J1/12,0)&amp;" €), "&amp;IF(Steuer_J1&lt;0,"zuzüglich Steuererstattung (","abzüglich Steuerzahlung (")&amp;FIXED(ABS(Steuer_J1/12),0)&amp;" €). Über die Tilgung wächst das Nettovermögen jedes Jahr – zusammen mit der Wertentwicklung ergibt sich die Eigenkapitalrendite."&amp;CHAR(10)&amp;CHAR(10)&amp;"Ab "&amp;IF(Darlehen_Summe&gt;0,Volltilgung_Txt,"sofort")&amp;" entfällt die Rate an die Bank – der Cashflow nach Steuern steigt dann auf rund "&amp;FIXED(INDEX(Projektion!$D$37:$AQ$37,MIN(40,IFERROR(MATCH(0,Finanzierung!$D$38:$AQ$38,0),40)+1)),0)&amp;" € pro Monat: die Zusatzrente aus dem Objekt (Prognosewerte)."</f>
        <v>Nach Steuern bleibt im ersten Jahr ein Überschuss von 257 € pro Monat. Der Wert ergibt sich aus der Miete (922 €) abzüglich Rate (1,167 €) und Bewirtschaftung (208 €), zuzüglich Steuererstattung (709 €). Über die Tilgung wächst das Nettovermögen jedes Jahr – zusammen mit der Wertentwicklung ergibt sich die Eigenkapitalrendite.
Ab Jahr 32 (2057) entfällt die Rate an die Bank – der Cashflow nach Steuern steigt dann auf rund 805 € pro Monat: die Zusatzrente aus dem Objekt (Prognosewerte).</v>
      </c>
      <c r="I15" s="120"/>
      <c r="J15" s="40"/>
      <c r="K15" s="40"/>
      <c r="L15" s="40"/>
    </row>
    <row r="16" customFormat="false" ht="19.5" hidden="false" customHeight="true" outlineLevel="0" collapsed="false">
      <c r="A16" s="12"/>
      <c r="B16" s="12"/>
      <c r="C16" s="50" t="str">
        <f aca="false">"Ziel ≥ "&amp;FIXED(Ampel_EKR_gruen*100,1)&amp;" %"&amp;"  ·  Vermögenszuwachs / Eigenkapital"</f>
        <v>Ziel ≥ 10.0 %  ·  Vermögenszuwachs / Eigenkapital</v>
      </c>
      <c r="D16" s="51" t="str">
        <f aca="false">IF(AND(ISNUMBER($C$15),$C$15&lt;Ampel_EKR_gelb),"●  kritisch",IF(AND(ISNUMBER($C$15),$C$15&lt;Ampel_EKR_gruen),"●  prüfen",IF(ISNUMBER($C$15),"●  erfüllt","")))</f>
        <v>●  erfüllt</v>
      </c>
      <c r="E16" s="50" t="str">
        <f aca="false">"Ziel ≥ "&amp;FIXED(Ampel_IRR_gruen*100,1)&amp;" %"&amp;"  ·  Multiple "&amp;FIXED(EK_Multiple,2)&amp;"×"</f>
        <v>Ziel ≥ 6.0 %  ·  Multiple 1.98×</v>
      </c>
      <c r="F16" s="51" t="str">
        <f aca="false">IF(AND(ISNUMBER($E$15),$E$15&lt;Ampel_IRR_gelb),"●  kritisch",IF(AND(ISNUMBER($E$15),$E$15&lt;Ampel_IRR_gruen),"●  prüfen",IF(ISNUMBER($E$15),"●  erfüllt","")))</f>
        <v>●  prüfen</v>
      </c>
      <c r="G16" s="40"/>
      <c r="H16" s="120"/>
      <c r="I16" s="120"/>
      <c r="J16" s="40"/>
      <c r="K16" s="40"/>
      <c r="L16" s="40"/>
    </row>
    <row r="17" customFormat="false" ht="19.5" hidden="false" customHeight="true" outlineLevel="0" collapsed="false">
      <c r="A17" s="12"/>
      <c r="B17" s="12"/>
      <c r="C17" s="155" t="str">
        <f aca="false">"NETTOVERMÖGEN NACH "&amp;Haltedauer&amp;" JAHREN"</f>
        <v>NETTOVERMÖGEN NACH 12 JAHREN</v>
      </c>
      <c r="D17" s="155"/>
      <c r="E17" s="155" t="str">
        <f aca="false">"ZUSATZRENTE / MONAT AB "&amp;IF(Darlehen_Summe&gt;0,UPPER(Volltilgung_Txt),"SOFORT")</f>
        <v>ZUSATZRENTE / MONAT AB JAHR 32 (2057)</v>
      </c>
      <c r="F17" s="155"/>
      <c r="G17" s="40"/>
      <c r="H17" s="120"/>
      <c r="I17" s="120"/>
      <c r="J17" s="40"/>
      <c r="K17" s="40"/>
      <c r="L17" s="40"/>
    </row>
    <row r="18" customFormat="false" ht="30" hidden="false" customHeight="true" outlineLevel="0" collapsed="false">
      <c r="A18" s="12"/>
      <c r="B18" s="12"/>
      <c r="C18" s="46" t="n">
        <f aca="false">INDEX(Projektion!$D$43:$AQ$43,Haltedauer)</f>
        <v>196643.252967325</v>
      </c>
      <c r="D18" s="46"/>
      <c r="E18" s="46" t="n">
        <f aca="false">INDEX(Projektion!$D$37:$AQ$37,MIN(40,IFERROR(MATCH(0,Finanzierung!$D$38:$AQ$38,0),40)+1))</f>
        <v>804.6554624709</v>
      </c>
      <c r="F18" s="46"/>
      <c r="G18" s="40"/>
      <c r="H18" s="120"/>
      <c r="I18" s="120"/>
      <c r="J18" s="40"/>
      <c r="K18" s="40"/>
      <c r="L18" s="40"/>
    </row>
    <row r="19" customFormat="false" ht="19.5" hidden="false" customHeight="true" outlineLevel="0" collapsed="false">
      <c r="A19" s="12"/>
      <c r="B19" s="12"/>
      <c r="C19" s="52" t="s">
        <v>498</v>
      </c>
      <c r="D19" s="52"/>
      <c r="E19" s="52" t="s">
        <v>499</v>
      </c>
      <c r="F19" s="52"/>
      <c r="G19" s="40"/>
      <c r="H19" s="120"/>
      <c r="I19" s="120"/>
      <c r="J19" s="40"/>
      <c r="K19" s="40"/>
      <c r="L19" s="40"/>
    </row>
    <row r="20" customFormat="false" ht="31.5" hidden="false" customHeight="true" outlineLevel="0" collapsed="false">
      <c r="A20" s="12"/>
      <c r="B20" s="12"/>
      <c r="C20" s="145" t="s">
        <v>377</v>
      </c>
      <c r="D20" s="146" t="s">
        <v>378</v>
      </c>
      <c r="E20" s="145" t="s">
        <v>500</v>
      </c>
      <c r="F20" s="146" t="s">
        <v>501</v>
      </c>
      <c r="G20" s="156"/>
      <c r="H20" s="145" t="s">
        <v>502</v>
      </c>
      <c r="I20" s="145"/>
      <c r="J20" s="40"/>
      <c r="K20" s="40"/>
      <c r="L20" s="40"/>
    </row>
    <row r="21" customFormat="false" ht="21" hidden="false" customHeight="true" outlineLevel="0" collapsed="false">
      <c r="A21" s="12"/>
      <c r="B21" s="12"/>
      <c r="C21" s="72" t="s">
        <v>503</v>
      </c>
      <c r="D21" s="129" t="n">
        <f aca="false">CF_vSt_J1/12</f>
        <v>-452.666666666667</v>
      </c>
      <c r="E21" s="40"/>
      <c r="F21" s="40"/>
      <c r="G21" s="40"/>
      <c r="H21" s="61" t="s">
        <v>504</v>
      </c>
      <c r="I21" s="157"/>
      <c r="J21" s="40"/>
      <c r="K21" s="40"/>
      <c r="L21" s="40"/>
    </row>
    <row r="22" customFormat="false" ht="21" hidden="false" customHeight="true" outlineLevel="0" collapsed="false">
      <c r="A22" s="12"/>
      <c r="B22" s="12"/>
      <c r="C22" s="72" t="s">
        <v>505</v>
      </c>
      <c r="D22" s="169" t="n">
        <f aca="false">Steuer_J1/12</f>
        <v>-709.199712460584</v>
      </c>
      <c r="E22" s="40"/>
      <c r="F22" s="40"/>
      <c r="G22" s="40"/>
      <c r="H22" s="61" t="s">
        <v>392</v>
      </c>
      <c r="I22" s="157"/>
      <c r="J22" s="40"/>
      <c r="K22" s="40"/>
      <c r="L22" s="40"/>
    </row>
    <row r="23" customFormat="false" ht="21" hidden="false" customHeight="true" outlineLevel="0" collapsed="false">
      <c r="A23" s="12"/>
      <c r="B23" s="12"/>
      <c r="C23" s="73" t="s">
        <v>506</v>
      </c>
      <c r="D23" s="147" t="n">
        <f aca="false">CF_nSt_J1/12</f>
        <v>256.533045793917</v>
      </c>
      <c r="E23" s="40"/>
      <c r="F23" s="40"/>
      <c r="G23" s="40"/>
      <c r="H23" s="61" t="s">
        <v>507</v>
      </c>
      <c r="I23" s="157"/>
      <c r="J23" s="40"/>
      <c r="K23" s="40"/>
      <c r="L23" s="40"/>
    </row>
    <row r="24" customFormat="false" ht="21" hidden="false" customHeight="true" outlineLevel="0" collapsed="false">
      <c r="A24" s="12"/>
      <c r="B24" s="12"/>
      <c r="C24" s="72" t="s">
        <v>508</v>
      </c>
      <c r="D24" s="129" t="n">
        <f aca="false">EK_Bedarf_gesamt</f>
        <v>83974.5</v>
      </c>
      <c r="E24" s="40"/>
      <c r="F24" s="40"/>
      <c r="G24" s="40"/>
      <c r="H24" s="61" t="s">
        <v>509</v>
      </c>
      <c r="I24" s="157"/>
      <c r="J24" s="40"/>
      <c r="K24" s="40"/>
      <c r="L24" s="40"/>
    </row>
    <row r="25" customFormat="false" ht="21" hidden="false" customHeight="true" outlineLevel="0" collapsed="false">
      <c r="A25" s="12"/>
      <c r="B25" s="12"/>
      <c r="C25" s="72" t="s">
        <v>510</v>
      </c>
      <c r="D25" s="129" t="n">
        <f aca="false">Gesamtertrag</f>
        <v>77296.8656314841</v>
      </c>
      <c r="E25" s="40"/>
      <c r="F25" s="40"/>
      <c r="G25" s="40"/>
      <c r="H25" s="61" t="s">
        <v>511</v>
      </c>
      <c r="I25" s="157"/>
      <c r="J25" s="40"/>
      <c r="K25" s="40"/>
      <c r="L25" s="40"/>
    </row>
    <row r="26" customFormat="false" ht="21" hidden="false" customHeight="true" outlineLevel="0" collapsed="false">
      <c r="A26" s="12"/>
      <c r="B26" s="12"/>
      <c r="C26" s="72" t="s">
        <v>512</v>
      </c>
      <c r="D26" s="170" t="n">
        <f aca="false">EK_Multiple</f>
        <v>1.97875726508536</v>
      </c>
      <c r="E26" s="40"/>
      <c r="F26" s="40"/>
      <c r="G26" s="40"/>
      <c r="H26" s="61" t="s">
        <v>513</v>
      </c>
      <c r="I26" s="157"/>
      <c r="J26" s="40"/>
      <c r="K26" s="40"/>
      <c r="L26" s="40"/>
    </row>
    <row r="27" customFormat="false" ht="12" hidden="false" customHeight="true" outlineLevel="0" collapsed="false">
      <c r="A27" s="12"/>
      <c r="B27" s="12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customFormat="false" ht="12" hidden="false" customHeight="true" outlineLevel="0" collapsed="false">
      <c r="A28" s="12"/>
      <c r="B28" s="12"/>
      <c r="C28" s="40"/>
      <c r="D28" s="40"/>
      <c r="E28" s="40"/>
      <c r="F28" s="40"/>
      <c r="G28" s="40"/>
      <c r="H28" s="125"/>
      <c r="I28" s="40"/>
      <c r="J28" s="40"/>
      <c r="K28" s="40"/>
      <c r="L28" s="40"/>
    </row>
    <row r="29" customFormat="false" ht="25.5" hidden="false" customHeight="true" outlineLevel="0" collapsed="false">
      <c r="A29" s="12"/>
      <c r="B29" s="12"/>
      <c r="C29" s="126" t="s">
        <v>514</v>
      </c>
      <c r="D29" s="126"/>
      <c r="E29" s="100" t="s">
        <v>175</v>
      </c>
      <c r="F29" s="100"/>
      <c r="G29" s="100"/>
      <c r="H29" s="101" t="s">
        <v>515</v>
      </c>
      <c r="I29" s="101"/>
      <c r="J29" s="40"/>
      <c r="K29" s="40"/>
      <c r="L29" s="40"/>
    </row>
    <row r="30" customFormat="false" ht="12" hidden="false" customHeight="true" outlineLevel="0" collapsed="false">
      <c r="A30" s="12"/>
      <c r="B30" s="12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18" hidden="false" customHeight="true" outlineLevel="0" collapsed="false">
      <c r="A31" s="12"/>
      <c r="B31" s="12"/>
      <c r="C31" s="127" t="s">
        <v>91</v>
      </c>
      <c r="D31" s="128"/>
      <c r="E31" s="128"/>
      <c r="F31" s="128"/>
      <c r="G31" s="128"/>
      <c r="H31" s="128"/>
      <c r="I31" s="128"/>
      <c r="J31" s="40"/>
      <c r="K31" s="40"/>
      <c r="L31" s="40"/>
    </row>
    <row r="32" customFormat="false" ht="13.5" hidden="false" customHeight="true" outlineLevel="0" collapsed="false">
      <c r="A32" s="12"/>
      <c r="B32" s="12"/>
      <c r="C32" s="81" t="s">
        <v>92</v>
      </c>
      <c r="D32" s="40"/>
      <c r="E32" s="40"/>
      <c r="F32" s="40"/>
      <c r="G32" s="40"/>
      <c r="H32" s="40"/>
      <c r="I32" s="40"/>
      <c r="J32" s="40"/>
      <c r="K32" s="40"/>
      <c r="L32" s="40"/>
    </row>
    <row r="33" customFormat="false" ht="15" hidden="false" customHeight="false" outlineLevel="0" collapsed="false">
      <c r="A33" s="12"/>
      <c r="B33" s="12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customFormat="false" ht="15" hidden="false" customHeight="false" outlineLevel="0" collapsed="false">
      <c r="A34" s="12"/>
      <c r="B34" s="12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customFormat="false" ht="15" hidden="false" customHeight="false" outlineLevel="0" collapsed="false">
      <c r="A35" s="12"/>
      <c r="B35" s="12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15" hidden="false" customHeight="false" outlineLevel="0" collapsed="false">
      <c r="A36" s="12"/>
      <c r="B36" s="12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customFormat="false" ht="15" hidden="false" customHeight="false" outlineLevel="0" collapsed="false">
      <c r="A37" s="12"/>
      <c r="B37" s="12"/>
      <c r="C37" s="40"/>
      <c r="D37" s="40"/>
      <c r="E37" s="40"/>
      <c r="F37" s="40"/>
      <c r="G37" s="40"/>
      <c r="H37" s="125"/>
      <c r="I37" s="40"/>
      <c r="J37" s="40"/>
      <c r="K37" s="40"/>
      <c r="L37" s="40"/>
    </row>
    <row r="38" customFormat="false" ht="15" hidden="false" customHeight="false" outlineLevel="0" collapsed="false">
      <c r="A38" s="12"/>
      <c r="B38" s="12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customFormat="false" ht="15" hidden="false" customHeight="false" outlineLevel="0" collapsed="false">
      <c r="A39" s="12"/>
      <c r="B39" s="12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15" hidden="false" customHeight="false" outlineLevel="0" collapsed="false">
      <c r="A40" s="12"/>
      <c r="B40" s="12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5" hidden="false" customHeight="false" outlineLevel="0" collapsed="false">
      <c r="A41" s="12"/>
      <c r="B41" s="12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customFormat="false" ht="15" hidden="false" customHeight="false" outlineLevel="0" collapsed="false">
      <c r="A42" s="12"/>
      <c r="B42" s="12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5" hidden="false" customHeight="false" outlineLevel="0" collapsed="false">
      <c r="A43" s="12"/>
      <c r="B43" s="12"/>
      <c r="C43" s="40"/>
      <c r="D43" s="40"/>
      <c r="E43" s="40"/>
      <c r="F43" s="40"/>
      <c r="G43" s="40"/>
      <c r="H43" s="125"/>
      <c r="I43" s="40"/>
      <c r="J43" s="40"/>
      <c r="K43" s="40"/>
      <c r="L43" s="40"/>
    </row>
    <row r="44" customFormat="false" ht="15" hidden="false" customHeight="false" outlineLevel="0" collapsed="false">
      <c r="A44" s="12"/>
      <c r="B44" s="12"/>
      <c r="C44" s="40"/>
      <c r="D44" s="40"/>
      <c r="E44" s="40"/>
      <c r="F44" s="40"/>
      <c r="G44" s="40"/>
      <c r="H44" s="125"/>
      <c r="I44" s="40"/>
      <c r="J44" s="40"/>
      <c r="K44" s="40"/>
      <c r="L44" s="40"/>
    </row>
    <row r="45" customFormat="false" ht="15" hidden="false" customHeight="false" outlineLevel="0" collapsed="false">
      <c r="A45" s="12"/>
      <c r="B45" s="12"/>
      <c r="C45" s="40"/>
      <c r="D45" s="40"/>
      <c r="E45" s="40"/>
      <c r="F45" s="40"/>
      <c r="G45" s="40"/>
      <c r="H45" s="125"/>
      <c r="I45" s="40"/>
      <c r="J45" s="40"/>
      <c r="K45" s="40"/>
      <c r="L45" s="40"/>
    </row>
    <row r="46" customFormat="false" ht="15" hidden="false" customHeight="false" outlineLevel="0" collapsed="false">
      <c r="A46" s="12"/>
      <c r="B46" s="12"/>
      <c r="C46" s="40"/>
      <c r="D46" s="40"/>
      <c r="E46" s="40"/>
      <c r="F46" s="40"/>
      <c r="G46" s="40"/>
      <c r="H46" s="125"/>
      <c r="I46" s="40"/>
      <c r="J46" s="40"/>
      <c r="K46" s="40"/>
      <c r="L46" s="40"/>
    </row>
    <row r="47" customFormat="false" ht="15" hidden="false" customHeight="false" outlineLevel="0" collapsed="false">
      <c r="A47" s="12"/>
      <c r="B47" s="12"/>
      <c r="C47" s="40"/>
      <c r="D47" s="40"/>
      <c r="E47" s="40"/>
      <c r="F47" s="40"/>
      <c r="G47" s="40"/>
      <c r="H47" s="125"/>
      <c r="I47" s="40"/>
      <c r="J47" s="40"/>
      <c r="K47" s="40"/>
      <c r="L47" s="40"/>
    </row>
    <row r="48" customFormat="false" ht="15" hidden="false" customHeight="false" outlineLevel="0" collapsed="false">
      <c r="A48" s="12"/>
      <c r="B48" s="12"/>
      <c r="C48" s="40"/>
      <c r="D48" s="40"/>
      <c r="E48" s="40"/>
      <c r="F48" s="40"/>
      <c r="G48" s="40"/>
      <c r="H48" s="125"/>
      <c r="I48" s="40"/>
      <c r="J48" s="40"/>
      <c r="K48" s="40"/>
      <c r="L48" s="40"/>
    </row>
    <row r="49" customFormat="false" ht="15" hidden="false" customHeight="false" outlineLevel="0" collapsed="false">
      <c r="A49" s="12"/>
      <c r="B49" s="12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customFormat="false" ht="15" hidden="false" customHeight="false" outlineLevel="0" collapsed="false">
      <c r="A50" s="12"/>
      <c r="B50" s="12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5" hidden="false" customHeight="false" outlineLevel="0" collapsed="false">
      <c r="A51" s="12"/>
      <c r="B51" s="12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customFormat="false" ht="15" hidden="false" customHeight="false" outlineLevel="0" collapsed="false">
      <c r="A52" s="12"/>
      <c r="B52" s="12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5" hidden="false" customHeight="false" outlineLevel="0" collapsed="false">
      <c r="A53" s="12"/>
      <c r="B53" s="12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customFormat="false" ht="15" hidden="false" customHeight="false" outlineLevel="0" collapsed="false">
      <c r="A54" s="12"/>
      <c r="B54" s="12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5" hidden="false" customHeight="false" outlineLevel="0" collapsed="false">
      <c r="A55" s="12"/>
      <c r="B55" s="12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customFormat="false" ht="15" hidden="false" customHeight="false" outlineLevel="0" collapsed="false">
      <c r="A56" s="12"/>
      <c r="B56" s="12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customFormat="false" ht="15" hidden="false" customHeight="false" outlineLevel="0" collapsed="false">
      <c r="A57" s="12"/>
      <c r="B57" s="12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customFormat="false" ht="15" hidden="false" customHeight="false" outlineLevel="0" collapsed="false">
      <c r="A58" s="12"/>
      <c r="B58" s="12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customFormat="false" ht="15" hidden="false" customHeight="false" outlineLevel="0" collapsed="false">
      <c r="A59" s="12"/>
      <c r="B59" s="12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customFormat="false" ht="15" hidden="false" customHeight="false" outlineLevel="0" collapsed="false">
      <c r="A60" s="12"/>
      <c r="B60" s="12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customFormat="false" ht="15" hidden="false" customHeight="false" outlineLevel="0" collapsed="false">
      <c r="A61" s="12"/>
      <c r="B61" s="12"/>
      <c r="C61" s="125"/>
      <c r="D61" s="40"/>
      <c r="E61" s="125"/>
      <c r="F61" s="40"/>
      <c r="G61" s="40"/>
      <c r="H61" s="125"/>
      <c r="I61" s="40"/>
      <c r="J61" s="40"/>
      <c r="K61" s="40"/>
      <c r="L61" s="40"/>
    </row>
    <row r="62" customFormat="false" ht="15" hidden="false" customHeight="false" outlineLevel="0" collapsed="false">
      <c r="A62" s="12"/>
      <c r="B62" s="12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12"/>
      <c r="B63" s="12"/>
      <c r="C63" s="125"/>
      <c r="D63" s="40"/>
      <c r="E63" s="40"/>
      <c r="F63" s="40"/>
      <c r="G63" s="40"/>
      <c r="H63" s="40"/>
      <c r="I63" s="40"/>
      <c r="J63" s="40"/>
      <c r="K63" s="40"/>
      <c r="L63" s="40"/>
    </row>
    <row r="64" customFormat="false" ht="15" hidden="false" customHeight="false" outlineLevel="0" collapsed="false">
      <c r="A64" s="12"/>
      <c r="B64" s="12"/>
      <c r="C64" s="125"/>
      <c r="D64" s="40"/>
      <c r="E64" s="40"/>
      <c r="F64" s="40"/>
      <c r="G64" s="40"/>
      <c r="H64" s="40"/>
      <c r="I64" s="40"/>
      <c r="J64" s="40"/>
      <c r="K64" s="40"/>
      <c r="L64" s="40"/>
    </row>
    <row r="65" customFormat="false" ht="15" hidden="false" customHeight="false" outlineLevel="0" collapsed="false">
      <c r="A65" s="12"/>
      <c r="B65" s="12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customFormat="false" ht="15" hidden="false" customHeight="false" outlineLevel="0" collapsed="false">
      <c r="A66" s="12"/>
      <c r="B66" s="12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customFormat="false" ht="15" hidden="false" customHeight="false" outlineLevel="0" collapsed="false">
      <c r="A67" s="12"/>
      <c r="B67" s="12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customFormat="false" ht="15" hidden="false" customHeight="false" outlineLevel="0" collapsed="false">
      <c r="A68" s="12"/>
      <c r="B68" s="12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customFormat="false" ht="15" hidden="false" customHeight="false" outlineLevel="0" collapsed="false">
      <c r="A69" s="12"/>
      <c r="B69" s="12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customFormat="false" ht="15" hidden="false" customHeight="false" outlineLevel="0" collapsed="false">
      <c r="A70" s="12"/>
      <c r="B70" s="12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customFormat="false" ht="15" hidden="false" customHeight="false" outlineLevel="0" collapsed="false">
      <c r="A71" s="12"/>
      <c r="B71" s="12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customFormat="false" ht="15" hidden="false" customHeight="false" outlineLevel="0" collapsed="false">
      <c r="A72" s="12"/>
      <c r="B72" s="12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customFormat="false" ht="15" hidden="false" customHeight="false" outlineLevel="0" collapsed="false">
      <c r="A73" s="12"/>
      <c r="B73" s="12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customFormat="false" ht="15" hidden="false" customHeight="false" outlineLevel="0" collapsed="false">
      <c r="A74" s="12"/>
      <c r="B74" s="12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customFormat="false" ht="15" hidden="false" customHeight="false" outlineLevel="0" collapsed="false">
      <c r="A75" s="12"/>
      <c r="B75" s="12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customFormat="false" ht="15" hidden="false" customHeight="false" outlineLevel="0" collapsed="false">
      <c r="A76" s="12"/>
      <c r="B76" s="12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customFormat="false" ht="15" hidden="false" customHeight="false" outlineLevel="0" collapsed="false">
      <c r="A77" s="12"/>
      <c r="B77" s="12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customFormat="false" ht="15" hidden="false" customHeight="false" outlineLevel="0" collapsed="false">
      <c r="A78" s="12"/>
      <c r="B78" s="12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customFormat="false" ht="15" hidden="false" customHeight="false" outlineLevel="0" collapsed="false">
      <c r="A79" s="12"/>
      <c r="B79" s="12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customFormat="false" ht="15" hidden="false" customHeight="false" outlineLevel="0" collapsed="false">
      <c r="A80" s="12"/>
      <c r="B80" s="12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customFormat="false" ht="15" hidden="false" customHeight="false" outlineLevel="0" collapsed="false">
      <c r="A81" s="12"/>
      <c r="B81" s="12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5" hidden="false" customHeight="false" outlineLevel="0" collapsed="false">
      <c r="A82" s="12"/>
      <c r="B82" s="12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customFormat="false" ht="15" hidden="false" customHeight="false" outlineLevel="0" collapsed="false">
      <c r="A83" s="12"/>
      <c r="B83" s="12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5" hidden="false" customHeight="false" outlineLevel="0" collapsed="false">
      <c r="A84" s="12"/>
      <c r="B84" s="12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customFormat="false" ht="15" hidden="false" customHeight="false" outlineLevel="0" collapsed="false">
      <c r="A85" s="12"/>
      <c r="B85" s="12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5" hidden="false" customHeight="false" outlineLevel="0" collapsed="false">
      <c r="A86" s="12"/>
      <c r="B86" s="12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customFormat="false" ht="15" hidden="false" customHeight="false" outlineLevel="0" collapsed="false">
      <c r="A87" s="12"/>
      <c r="B87" s="12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5" hidden="false" customHeight="false" outlineLevel="0" collapsed="false">
      <c r="A88" s="12"/>
      <c r="B88" s="12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customFormat="false" ht="15" hidden="false" customHeight="false" outlineLevel="0" collapsed="false">
      <c r="A89" s="12"/>
      <c r="B89" s="12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customFormat="false" ht="15" hidden="false" customHeight="false" outlineLevel="0" collapsed="false">
      <c r="A90" s="12"/>
      <c r="B90" s="12"/>
      <c r="C90" s="40"/>
      <c r="D90" s="40"/>
      <c r="E90" s="40"/>
      <c r="F90" s="40"/>
      <c r="G90" s="40"/>
      <c r="H90" s="40"/>
      <c r="I90" s="40"/>
      <c r="J90" s="40"/>
      <c r="K90" s="40"/>
      <c r="L90" s="40"/>
    </row>
  </sheetData>
  <sheetProtection sheet="true" objects="1" formatColumns="false" formatRows="false"/>
  <mergeCells count="24">
    <mergeCell ref="H6:I6"/>
    <mergeCell ref="C7:F7"/>
    <mergeCell ref="H7:I7"/>
    <mergeCell ref="C11:D11"/>
    <mergeCell ref="E11:F11"/>
    <mergeCell ref="H11:I12"/>
    <mergeCell ref="C12:D12"/>
    <mergeCell ref="E12:F12"/>
    <mergeCell ref="E13:F13"/>
    <mergeCell ref="C14:D14"/>
    <mergeCell ref="E14:F14"/>
    <mergeCell ref="H14:I14"/>
    <mergeCell ref="C15:D15"/>
    <mergeCell ref="E15:F15"/>
    <mergeCell ref="H15:I19"/>
    <mergeCell ref="C17:D17"/>
    <mergeCell ref="E17:F17"/>
    <mergeCell ref="C18:D18"/>
    <mergeCell ref="E18:F18"/>
    <mergeCell ref="C19:D19"/>
    <mergeCell ref="E19:F19"/>
    <mergeCell ref="C29:D29"/>
    <mergeCell ref="E29:G29"/>
    <mergeCell ref="H29:I29"/>
  </mergeCells>
  <conditionalFormatting sqref="D13">
    <cfRule type="expression" priority="2" aboveAverage="0" equalAverage="0" bottom="0" percent="0" rank="0" text="" dxfId="0">
      <formula>$C$12&lt;0</formula>
    </cfRule>
    <cfRule type="expression" priority="3" aboveAverage="0" equalAverage="0" bottom="0" percent="0" rank="0" text="" dxfId="1">
      <formula>INDEX(Projektion!$D$37:$AQ$37,2)&lt;0</formula>
    </cfRule>
    <cfRule type="expression" priority="4" aboveAverage="0" equalAverage="0" bottom="0" percent="0" rank="0" text="" dxfId="2">
      <formula>ISNUMBER($C$12)</formula>
    </cfRule>
    <cfRule type="expression" priority="5" aboveAverage="0" equalAverage="0" bottom="0" percent="0" rank="0" text="" dxfId="3">
      <formula>1</formula>
    </cfRule>
  </conditionalFormatting>
  <conditionalFormatting sqref="C12:D12">
    <cfRule type="expression" priority="6" aboveAverage="0" equalAverage="0" bottom="0" percent="0" rank="0" text="" dxfId="0">
      <formula>$C$12&lt;0</formula>
    </cfRule>
    <cfRule type="expression" priority="7" aboveAverage="0" equalAverage="0" bottom="0" percent="0" rank="0" text="" dxfId="1">
      <formula>INDEX(Projektion!$D$37:$AQ$37,2)&lt;0</formula>
    </cfRule>
    <cfRule type="expression" priority="8" aboveAverage="0" equalAverage="0" bottom="0" percent="0" rank="0" text="" dxfId="2">
      <formula>ISNUMBER($C$12)</formula>
    </cfRule>
    <cfRule type="expression" priority="9" aboveAverage="0" equalAverage="0" bottom="0" percent="0" rank="0" text="" dxfId="4">
      <formula>AND(ISNUMBER(C12),C12&lt;0)</formula>
    </cfRule>
    <cfRule type="expression" priority="10" aboveAverage="0" equalAverage="0" bottom="0" percent="0" rank="0" text="" dxfId="3">
      <formula>1</formula>
    </cfRule>
  </conditionalFormatting>
  <conditionalFormatting sqref="D16">
    <cfRule type="expression" priority="11" aboveAverage="0" equalAverage="0" bottom="0" percent="0" rank="0" text="" dxfId="0">
      <formula>AND(ISNUMBER($C$15),$C$15&lt;Ampel_EKR_gelb)</formula>
    </cfRule>
    <cfRule type="expression" priority="12" aboveAverage="0" equalAverage="0" bottom="0" percent="0" rank="0" text="" dxfId="1">
      <formula>AND(ISNUMBER($C$15),$C$15&lt;Ampel_EKR_gruen)</formula>
    </cfRule>
    <cfRule type="expression" priority="13" aboveAverage="0" equalAverage="0" bottom="0" percent="0" rank="0" text="" dxfId="2">
      <formula>ISNUMBER($C$15)</formula>
    </cfRule>
    <cfRule type="expression" priority="14" aboveAverage="0" equalAverage="0" bottom="0" percent="0" rank="0" text="" dxfId="3">
      <formula>1</formula>
    </cfRule>
  </conditionalFormatting>
  <conditionalFormatting sqref="C15:D15">
    <cfRule type="expression" priority="15" aboveAverage="0" equalAverage="0" bottom="0" percent="0" rank="0" text="" dxfId="0">
      <formula>AND(ISNUMBER($C$15),$C$15&lt;Ampel_EKR_gelb)</formula>
    </cfRule>
    <cfRule type="expression" priority="16" aboveAverage="0" equalAverage="0" bottom="0" percent="0" rank="0" text="" dxfId="1">
      <formula>AND(ISNUMBER($C$15),$C$15&lt;Ampel_EKR_gruen)</formula>
    </cfRule>
    <cfRule type="expression" priority="17" aboveAverage="0" equalAverage="0" bottom="0" percent="0" rank="0" text="" dxfId="2">
      <formula>ISNUMBER($C$15)</formula>
    </cfRule>
    <cfRule type="expression" priority="18" aboveAverage="0" equalAverage="0" bottom="0" percent="0" rank="0" text="" dxfId="3">
      <formula>1</formula>
    </cfRule>
  </conditionalFormatting>
  <conditionalFormatting sqref="F16">
    <cfRule type="expression" priority="19" aboveAverage="0" equalAverage="0" bottom="0" percent="0" rank="0" text="" dxfId="0">
      <formula>AND(ISNUMBER($E$15),$E$15&lt;Ampel_IRR_gelb)</formula>
    </cfRule>
    <cfRule type="expression" priority="20" aboveAverage="0" equalAverage="0" bottom="0" percent="0" rank="0" text="" dxfId="1">
      <formula>AND(ISNUMBER($E$15),$E$15&lt;Ampel_IRR_gruen)</formula>
    </cfRule>
    <cfRule type="expression" priority="21" aboveAverage="0" equalAverage="0" bottom="0" percent="0" rank="0" text="" dxfId="2">
      <formula>ISNUMBER($E$15)</formula>
    </cfRule>
    <cfRule type="expression" priority="22" aboveAverage="0" equalAverage="0" bottom="0" percent="0" rank="0" text="" dxfId="3">
      <formula>1</formula>
    </cfRule>
  </conditionalFormatting>
  <conditionalFormatting sqref="E15:F15">
    <cfRule type="expression" priority="23" aboveAverage="0" equalAverage="0" bottom="0" percent="0" rank="0" text="" dxfId="0">
      <formula>AND(ISNUMBER($E$15),$E$15&lt;Ampel_IRR_gelb)</formula>
    </cfRule>
    <cfRule type="expression" priority="24" aboveAverage="0" equalAverage="0" bottom="0" percent="0" rank="0" text="" dxfId="1">
      <formula>AND(ISNUMBER($E$15),$E$15&lt;Ampel_IRR_gruen)</formula>
    </cfRule>
    <cfRule type="expression" priority="25" aboveAverage="0" equalAverage="0" bottom="0" percent="0" rank="0" text="" dxfId="2">
      <formula>ISNUMBER($E$15)</formula>
    </cfRule>
    <cfRule type="expression" priority="26" aboveAverage="0" equalAverage="0" bottom="0" percent="0" rank="0" text="" dxfId="3">
      <formula>1</formula>
    </cfRule>
  </conditionalFormatting>
  <conditionalFormatting sqref="C18:D18">
    <cfRule type="expression" priority="27" aboveAverage="0" equalAverage="0" bottom="0" percent="0" rank="0" text="" dxfId="4">
      <formula>AND(ISNUMBER(C18),C18&lt;0)</formula>
    </cfRule>
    <cfRule type="expression" priority="28" aboveAverage="0" equalAverage="0" bottom="0" percent="0" rank="0" text="" dxfId="3">
      <formula>1</formula>
    </cfRule>
  </conditionalFormatting>
  <conditionalFormatting sqref="E18:F18">
    <cfRule type="expression" priority="29" aboveAverage="0" equalAverage="0" bottom="0" percent="0" rank="0" text="" dxfId="4">
      <formula>AND(ISNUMBER(E18),E18&lt;0)</formula>
    </cfRule>
    <cfRule type="expression" priority="30" aboveAverage="0" equalAverage="0" bottom="0" percent="0" rank="0" text="" dxfId="3">
      <formula>1</formula>
    </cfRule>
  </conditionalFormatting>
  <conditionalFormatting sqref="I10">
    <cfRule type="expression" priority="31" aboveAverage="0" equalAverage="0" bottom="0" percent="0" rank="0" text="" dxfId="8">
      <formula>AND(ISNUMBER(EK_IRR),EK_IRR&lt;Ampel_IRR_gelb)</formula>
    </cfRule>
    <cfRule type="expression" priority="32" aboveAverage="0" equalAverage="0" bottom="0" percent="0" rank="0" text="" dxfId="9">
      <formula>AND(ISNUMBER(EK_IRR),EK_IRR&lt;Ampel_IRR_gruen)</formula>
    </cfRule>
    <cfRule type="expression" priority="33" aboveAverage="0" equalAverage="0" bottom="0" percent="0" rank="0" text="" dxfId="10">
      <formula>ISNUMBER(EK_IRR)</formula>
    </cfRule>
    <cfRule type="expression" priority="34" aboveAverage="0" equalAverage="0" bottom="0" percent="0" rank="0" text="" dxfId="3">
      <formula>1</formula>
    </cfRule>
  </conditionalFormatting>
  <conditionalFormatting sqref="H10:H12">
    <cfRule type="expression" priority="35" aboveAverage="0" equalAverage="0" bottom="0" percent="0" rank="0" text="" dxfId="11">
      <formula>AND(ISNUMBER(EK_IRR),EK_IRR&lt;Ampel_IRR_gelb)</formula>
    </cfRule>
    <cfRule type="expression" priority="36" aboveAverage="0" equalAverage="0" bottom="0" percent="0" rank="0" text="" dxfId="12">
      <formula>AND(ISNUMBER(EK_IRR),EK_IRR&lt;Ampel_IRR_gruen)</formula>
    </cfRule>
    <cfRule type="expression" priority="37" aboveAverage="0" equalAverage="0" bottom="0" percent="0" rank="0" text="" dxfId="13">
      <formula>ISNUMBER(EK_IRR)</formula>
    </cfRule>
    <cfRule type="expression" priority="38" aboveAverage="0" equalAverage="0" bottom="0" percent="0" rank="0" text="" dxfId="3">
      <formula>1</formula>
    </cfRule>
  </conditionalFormatting>
  <conditionalFormatting sqref="D21">
    <cfRule type="expression" priority="39" aboveAverage="0" equalAverage="0" bottom="0" percent="0" rank="0" text="" dxfId="4">
      <formula>AND(ISNUMBER(D21),D21&lt;0)</formula>
    </cfRule>
    <cfRule type="expression" priority="40" aboveAverage="0" equalAverage="0" bottom="0" percent="0" rank="0" text="" dxfId="3">
      <formula>1</formula>
    </cfRule>
  </conditionalFormatting>
  <conditionalFormatting sqref="D23">
    <cfRule type="expression" priority="41" aboveAverage="0" equalAverage="0" bottom="0" percent="0" rank="0" text="" dxfId="4">
      <formula>AND(ISNUMBER(D23),D23&lt;0)</formula>
    </cfRule>
    <cfRule type="expression" priority="42" aboveAverage="0" equalAverage="0" bottom="0" percent="0" rank="0" text="" dxfId="3">
      <formula>1</formula>
    </cfRule>
  </conditionalFormatting>
  <hyperlinks>
    <hyperlink ref="C5" location="'Leitfaden'!A4" display="SCHRITT 12 / 12  ·  ERGEBNIS"/>
    <hyperlink ref="I5" location="'Leitfaden'!A4" display="‹  Leitfaden"/>
    <hyperlink ref="H21" location="'Dashboard'!A4" display="Dashboard – Gesamtbewertung, Ampel, Zeitverlauf  ›"/>
    <hyperlink ref="H22" location="'Cockpit'!A4" display="Cockpit – alle Kennzahlen im Detail  ›"/>
    <hyperlink ref="H23" location="'Diagramme'!A4" display="Diagramme – Investition, Cashflow, Vermögen  ›"/>
    <hyperlink ref="H24" location="'AfA-Vergleich'!D4" display="AfA-Vergleich – Abschreibungsvarianten  ›"/>
    <hyperlink ref="H25" location="'Sensitivität'!A4" display="Sensitivität – Break-even und Was-wäre-wenn  ›"/>
    <hyperlink ref="H26" location="'Bankgespräch'!A4" display="Bankgespräch – druckfertige Übersicht  ›"/>
    <hyperlink ref="C29" location="'S11 Prognose &amp; Exit'!A4" display="‹  Zurück: Prognose &amp; Exit"/>
    <hyperlink ref="E29" location="'Leitfaden'!A4" display="Übersicht: Leitfaden"/>
    <hyperlink ref="H29" location="'Dashboard'!A4" display="Weiter: Dashboard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false"/>
  </sheetPr>
  <dimension ref="A1:AL89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71" width="4.5"/>
    <col collapsed="false" customWidth="true" hidden="false" outlineLevel="0" max="2" min="2" style="171" width="12"/>
    <col collapsed="false" customWidth="true" hidden="false" outlineLevel="0" max="3" min="3" style="171" width="13.71"/>
    <col collapsed="false" customWidth="true" hidden="false" outlineLevel="0" max="4" min="4" style="171" width="1.7"/>
    <col collapsed="false" customWidth="true" hidden="false" outlineLevel="0" max="5" min="5" style="171" width="12"/>
    <col collapsed="false" customWidth="true" hidden="false" outlineLevel="0" max="6" min="6" style="171" width="13.71"/>
    <col collapsed="false" customWidth="true" hidden="false" outlineLevel="0" max="7" min="7" style="171" width="1.7"/>
    <col collapsed="false" customWidth="true" hidden="false" outlineLevel="0" max="8" min="8" style="171" width="12"/>
    <col collapsed="false" customWidth="true" hidden="false" outlineLevel="0" max="9" min="9" style="171" width="13.71"/>
    <col collapsed="false" customWidth="true" hidden="false" outlineLevel="0" max="10" min="10" style="171" width="1.7"/>
    <col collapsed="false" customWidth="true" hidden="false" outlineLevel="0" max="11" min="11" style="171" width="12"/>
    <col collapsed="false" customWidth="true" hidden="false" outlineLevel="0" max="12" min="12" style="171" width="13.71"/>
    <col collapsed="false" customWidth="true" hidden="false" outlineLevel="0" max="13" min="13" style="171" width="1.7"/>
    <col collapsed="false" customWidth="true" hidden="false" outlineLevel="0" max="14" min="14" style="171" width="12"/>
    <col collapsed="false" customWidth="true" hidden="false" outlineLevel="0" max="15" min="15" style="171" width="13.71"/>
    <col collapsed="false" customWidth="true" hidden="false" outlineLevel="0" max="16" min="16" style="171" width="1.7"/>
    <col collapsed="false" customWidth="true" hidden="false" outlineLevel="0" max="17" min="17" style="171" width="12"/>
    <col collapsed="false" customWidth="true" hidden="false" outlineLevel="0" max="18" min="18" style="171" width="13.71"/>
    <col collapsed="false" customWidth="true" hidden="false" outlineLevel="0" max="19" min="19" style="171" width="4.5"/>
    <col collapsed="false" customWidth="true" hidden="true" outlineLevel="0" max="38" min="20" style="171" width="13"/>
  </cols>
  <sheetData>
    <row r="1" customFormat="false" ht="6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0"/>
    </row>
    <row r="2" customFormat="false" ht="33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0"/>
    </row>
    <row r="3" customFormat="false" ht="3" hidden="false" customHeight="true" outlineLevel="0" collapsed="false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0"/>
    </row>
    <row r="4" customFormat="false" ht="15" hidden="false" customHeight="true" outlineLevel="0" collapsed="false"/>
    <row r="5" customFormat="false" ht="15.75" hidden="false" customHeight="true" outlineLevel="0" collapsed="false">
      <c r="B5" s="102" t="s">
        <v>516</v>
      </c>
    </row>
    <row r="6" customFormat="false" ht="30" hidden="false" customHeight="true" outlineLevel="0" collapsed="false">
      <c r="B6" s="172" t="s">
        <v>517</v>
      </c>
      <c r="C6" s="172"/>
      <c r="D6" s="172"/>
      <c r="E6" s="172"/>
      <c r="F6" s="172"/>
      <c r="G6" s="172"/>
      <c r="H6" s="172"/>
      <c r="I6" s="172"/>
      <c r="K6" s="173" t="str">
        <f aca="false">Obj_Name</f>
        <v>Beispiel: 3-Zimmer-Eigentumswohnung</v>
      </c>
      <c r="L6" s="173"/>
      <c r="M6" s="173"/>
      <c r="N6" s="173"/>
      <c r="O6" s="173"/>
      <c r="P6" s="173"/>
      <c r="Q6" s="173"/>
      <c r="R6" s="173"/>
    </row>
    <row r="7" customFormat="false" ht="21.75" hidden="false" customHeight="true" outlineLevel="0" collapsed="false">
      <c r="B7" s="106" t="str">
        <f aca="false">"Kaufpreis "&amp;FIXED(Kaufpreis,0)&amp;" €  ·  Kauf am "&amp;IFERROR(TEXT(DAY(Kaufdatum),"00")&amp;"."&amp;TEXT(MONTH(Kaufdatum),"00")&amp;"."&amp;YEAR(Kaufdatum),"–")&amp;"  ·  Haltedauer "&amp;Haltedauer&amp;" Jahre  ·  "&amp;Bundesland</f>
        <v>Kaufpreis 285,000 €  ·  Kauf am 01.12.2026  ·  Haltedauer 12 Jahre  ·  Baden-Württemberg</v>
      </c>
      <c r="C7" s="106"/>
      <c r="D7" s="106"/>
      <c r="E7" s="106"/>
      <c r="F7" s="106"/>
      <c r="G7" s="106"/>
      <c r="H7" s="106"/>
      <c r="I7" s="106"/>
      <c r="K7" s="107" t="str">
        <f aca="false">Obj_Adresse&amp;IFERROR(IF(Erstellt_fuer="","","  ·  Erstellt für "&amp;Erstellt_fuer),"")</f>
        <v>Musterstraße 1, 88250 Weingarten  ·  Erstellt für Max Mustermann</v>
      </c>
      <c r="L7" s="107"/>
      <c r="M7" s="107"/>
      <c r="N7" s="107"/>
      <c r="O7" s="107"/>
      <c r="P7" s="107"/>
      <c r="Q7" s="107"/>
      <c r="R7" s="107"/>
    </row>
    <row r="8" customFormat="false" ht="7.5" hidden="false" customHeight="true" outlineLevel="0" collapsed="false"/>
    <row r="9" customFormat="false" ht="25.5" hidden="false" customHeight="true" outlineLevel="0" collapsed="false">
      <c r="B9" s="174" t="s">
        <v>518</v>
      </c>
      <c r="C9" s="174"/>
      <c r="E9" s="126" t="s">
        <v>51</v>
      </c>
      <c r="F9" s="126"/>
      <c r="H9" s="126" t="s">
        <v>55</v>
      </c>
      <c r="I9" s="126"/>
      <c r="K9" s="126" t="s">
        <v>77</v>
      </c>
      <c r="L9" s="126"/>
      <c r="N9" s="126" t="s">
        <v>80</v>
      </c>
      <c r="O9" s="126"/>
      <c r="Q9" s="175" t="str">
        <f aca="false">"KAUF ALS  ·  "&amp;CHOOSE(Rechtsform_Idx,"Privat","vv-GmbH","GmbH")&amp;"  ▾"</f>
        <v>KAUF ALS  ·  Privat  ▾</v>
      </c>
      <c r="R9" s="175"/>
    </row>
    <row r="10" customFormat="false" ht="12" hidden="false" customHeight="true" outlineLevel="0" collapsed="false"/>
    <row r="11" customFormat="false" ht="18" hidden="false" customHeight="true" outlineLevel="0" collapsed="false">
      <c r="B11" s="176" t="s">
        <v>519</v>
      </c>
      <c r="C11" s="176"/>
      <c r="D11" s="177"/>
      <c r="E11" s="178" t="str">
        <f aca="false">IF(ISNUMBER(SEARCH("kritisch",$B$12)),"●  kritisch"&amp;"  ·  "&amp;COUNTIF($H$20:$H$25,"erfüllt")&amp;" von 6 Kennzahlen erfüllt",IF(ISNUMBER(SEARCH("Prüfpunkten",$B$12)),"●  prüfen"&amp;"  ·  "&amp;COUNTIF($H$20:$H$25,"erfüllt")&amp;" von 6 Kennzahlen erfüllt",IF($B$12="Solide","●  erfüllt"&amp;"  ·  "&amp;COUNTIF($H$20:$H$25,"erfüllt")&amp;" von 6 Kennzahlen erfüllt","")))</f>
        <v>●  kritisch  ·  1 von 6 Kennzahlen erfüllt</v>
      </c>
      <c r="F11" s="178"/>
      <c r="G11" s="178"/>
      <c r="H11" s="178"/>
      <c r="I11" s="178"/>
      <c r="J11" s="177"/>
      <c r="K11" s="179" t="str">
        <f aca="false">"–  DSCR (Jahr 1) "&amp;FIXED(DSCR_J1,2)&amp;"×"&amp;IF(DSCR_J1&lt;Ampel_DSCR_gruen," statt mindestens "," bei Ziel ")&amp;FIXED(Ampel_DSCR_gruen,2)&amp;"×"&amp;CHAR(10)&amp;"–  IRR n. St. "&amp;FIXED(EK_IRR*100,1)&amp;" % über "&amp;Haltedauer&amp;" Jahre (Ziel "&amp;FIXED(Ampel_IRR_gruen*100,1)&amp;" %)"&amp;CHAR(10)&amp;"–  Cashflow n. St. "&amp;FIXED(CF_nSt_Monat_J1,0)&amp;" € / Monat im Jahr 1, ab Jahr 2 "&amp;FIXED(INDEX(Projektion!$D$37:$AQ$37,2),0)&amp;" € / Monat"</f>
        <v>–  DSCR (Jahr 1) 0.61× statt mindestens 1.20×
–  IRR n. St. 5.3 % über 12 Jahre (Ziel 6.0 %)
–  Cashflow n. St. 257 € / Monat im Jahr 1, ab Jahr 2 -274 € / Monat</v>
      </c>
      <c r="L11" s="179"/>
      <c r="M11" s="179"/>
      <c r="N11" s="179"/>
      <c r="O11" s="179"/>
      <c r="P11" s="179"/>
      <c r="Q11" s="179"/>
      <c r="R11" s="179"/>
    </row>
    <row r="12" customFormat="false" ht="42" hidden="false" customHeight="true" outlineLevel="0" collapsed="false">
      <c r="B12" s="180" t="str">
        <f aca="false">IF(OR($H$23="kritisch",$H$20="kritisch"),"Liquidität kritisch",IF(COUNTIF($H$20:$H$25,"kritisch")&gt;0,"Rendite kritisch",IF(COUNTIF($H$20:$H$25,"prüfen")&gt;0,"Solide mit Prüfpunkten","Solide")))</f>
        <v>Liquidität kritisch</v>
      </c>
      <c r="C12" s="180"/>
      <c r="D12" s="180"/>
      <c r="E12" s="180"/>
      <c r="F12" s="180"/>
      <c r="G12" s="180"/>
      <c r="H12" s="180"/>
      <c r="I12" s="180"/>
      <c r="J12" s="177"/>
      <c r="K12" s="179"/>
      <c r="L12" s="179"/>
      <c r="M12" s="179"/>
      <c r="N12" s="179"/>
      <c r="O12" s="179"/>
      <c r="P12" s="179"/>
      <c r="Q12" s="179"/>
      <c r="R12" s="179"/>
    </row>
    <row r="13" customFormat="false" ht="12" hidden="false" customHeight="true" outlineLevel="0" collapsed="false"/>
    <row r="14" customFormat="false" ht="18" hidden="false" customHeight="true" outlineLevel="0" collapsed="false">
      <c r="B14" s="90" t="s">
        <v>5</v>
      </c>
      <c r="C14" s="90"/>
      <c r="E14" s="181" t="s">
        <v>99</v>
      </c>
      <c r="F14" s="181"/>
      <c r="H14" s="181" t="s">
        <v>18</v>
      </c>
      <c r="I14" s="181"/>
      <c r="K14" s="90" t="s">
        <v>19</v>
      </c>
      <c r="L14" s="90"/>
      <c r="N14" s="90" t="s">
        <v>20</v>
      </c>
      <c r="O14" s="90"/>
      <c r="Q14" s="90" t="str">
        <f aca="false">UPPER("IRR n. St. ("&amp;Haltedauer&amp;" J.)")</f>
        <v>IRR N. ST. (12 J.)</v>
      </c>
      <c r="R14" s="90"/>
    </row>
    <row r="15" customFormat="false" ht="30" hidden="false" customHeight="true" outlineLevel="0" collapsed="false">
      <c r="B15" s="92" t="n">
        <f aca="false">Gesamtinvestition</f>
        <v>328974.5</v>
      </c>
      <c r="C15" s="92"/>
      <c r="E15" s="92" t="n">
        <f aca="false">EK_Bedarf_gesamt</f>
        <v>83974.5</v>
      </c>
      <c r="F15" s="92"/>
      <c r="H15" s="92" t="n">
        <f aca="false">CF_nSt_Monat_J1</f>
        <v>256.533045793917</v>
      </c>
      <c r="I15" s="92"/>
      <c r="K15" s="182" t="n">
        <f aca="false">Bruttomietrendite</f>
        <v>0.04</v>
      </c>
      <c r="L15" s="182"/>
      <c r="N15" s="183" t="n">
        <f aca="false">DSCR_J1</f>
        <v>0.612</v>
      </c>
      <c r="O15" s="183"/>
      <c r="Q15" s="182" t="n">
        <f aca="false">EK_IRR</f>
        <v>0.0532739559084637</v>
      </c>
      <c r="R15" s="182"/>
    </row>
    <row r="16" customFormat="false" ht="19.5" hidden="false" customHeight="true" outlineLevel="0" collapsed="false">
      <c r="B16" s="50" t="str">
        <f aca="false">"Kaufpreis "&amp;FIXED(Kaufpreis,0)&amp;" €  ·  NK "&amp;FIXED(NK_Quote*100,1)&amp;" %"</f>
        <v>Kaufpreis 285,000 €  ·  NK 10.6 %</v>
      </c>
      <c r="C16" s="50"/>
      <c r="E16" s="50" t="str">
        <f aca="false">"Quote "&amp;FIXED(EK_Quote*100,1)&amp;" %  ·  Beleihung "&amp;FIXED(Beleihung*100,1)&amp;" %"</f>
        <v>Quote 24.0 %  ·  Beleihung 87.7 %</v>
      </c>
      <c r="F16" s="50"/>
      <c r="H16" s="50" t="str">
        <f aca="false">"Jahr 2: "&amp;FIXED(INDEX(Projektion!$D$37:$AQ$37,2),0)&amp;" €"</f>
        <v>Jahr 2: -274 €</v>
      </c>
      <c r="I16" s="93" t="str">
        <f aca="false">IF(CF_nSt_Monat_J1&lt;0,"●  kritisch",IF(INDEX(Projektion!$D$37:$AQ$37,2)&lt;0,"●  prüfen",IF(ISNUMBER(CF_nSt_Monat_J1),"●  erfüllt","")))</f>
        <v>●  prüfen</v>
      </c>
      <c r="K16" s="50" t="str">
        <f aca="false">"Faktor "&amp;FIXED(Kaufpreisfaktor,1)&amp;"×"</f>
        <v>Faktor 25.0×</v>
      </c>
      <c r="L16" s="93" t="str">
        <f aca="false">IF(AND(ISNUMBER(Bruttomietrendite),Bruttomietrendite&lt;Ampel_BMR_gelb),"●  kritisch",IF(AND(ISNUMBER(Bruttomietrendite),Bruttomietrendite&lt;Ampel_BMR_gruen),"●  prüfen",IF(ISNUMBER(Bruttomietrendite),"●  erfüllt","")))</f>
        <v>●  prüfen</v>
      </c>
      <c r="N16" s="50" t="str">
        <f aca="false">"Rate "&amp;FIXED(Kapitaldienst_J1/12,0)&amp;" €"</f>
        <v>Rate 1,167 €</v>
      </c>
      <c r="O16" s="93" t="str">
        <f aca="false">IF(AND(ISNUMBER(DSCR_J1),DSCR_J1&lt;Ampel_DSCR_gelb),"●  kritisch",IF(AND(ISNUMBER(DSCR_J1),DSCR_J1&lt;Ampel_DSCR_gruen),"●  prüfen",IF(ISNUMBER(DSCR_J1),"●  erfüllt","")))</f>
        <v>●  kritisch</v>
      </c>
      <c r="Q16" s="50" t="str">
        <f aca="false">"Multiple "&amp;FIXED(EK_Multiple,2)&amp;"×"</f>
        <v>Multiple 1.98×</v>
      </c>
      <c r="R16" s="93" t="str">
        <f aca="false">IF(AND(ISNUMBER(EK_IRR),EK_IRR&lt;Ampel_IRR_gelb),"●  kritisch",IF(AND(ISNUMBER(EK_IRR),EK_IRR&lt;Ampel_IRR_gruen),"●  prüfen",IF(ISNUMBER(EK_IRR),"●  erfüllt","")))</f>
        <v>●  prüfen</v>
      </c>
    </row>
    <row r="17" customFormat="false" ht="19.5" hidden="false" customHeight="true" outlineLevel="0" collapsed="false"/>
    <row r="18" customFormat="false" ht="24" hidden="false" customHeight="true" outlineLevel="0" collapsed="false">
      <c r="B18" s="33" t="s">
        <v>520</v>
      </c>
      <c r="C18" s="42"/>
      <c r="D18" s="42"/>
      <c r="E18" s="42"/>
      <c r="F18" s="42"/>
      <c r="G18" s="42"/>
      <c r="H18" s="42"/>
      <c r="I18" s="35" t="s">
        <v>521</v>
      </c>
      <c r="K18" s="33" t="s">
        <v>522</v>
      </c>
      <c r="L18" s="42"/>
      <c r="M18" s="42"/>
      <c r="N18" s="42"/>
      <c r="O18" s="42"/>
      <c r="P18" s="42"/>
      <c r="Q18" s="42"/>
      <c r="R18" s="184" t="s">
        <v>523</v>
      </c>
    </row>
    <row r="19" customFormat="false" ht="19.5" hidden="false" customHeight="true" outlineLevel="0" collapsed="false">
      <c r="B19" s="96" t="s">
        <v>524</v>
      </c>
      <c r="C19" s="185"/>
      <c r="D19" s="185"/>
      <c r="E19" s="109" t="s">
        <v>525</v>
      </c>
      <c r="F19" s="109" t="s">
        <v>526</v>
      </c>
      <c r="G19" s="185"/>
      <c r="H19" s="96" t="s">
        <v>105</v>
      </c>
      <c r="I19" s="186" t="s">
        <v>527</v>
      </c>
      <c r="AK19" s="187" t="s">
        <v>528</v>
      </c>
      <c r="AL19" s="187" t="s">
        <v>529</v>
      </c>
    </row>
    <row r="20" customFormat="false" ht="21.75" hidden="false" customHeight="true" outlineLevel="0" collapsed="false">
      <c r="B20" s="72" t="s">
        <v>530</v>
      </c>
      <c r="C20" s="72"/>
      <c r="D20" s="188"/>
      <c r="E20" s="189" t="n">
        <f aca="false">CF_nSt_Monat_J1</f>
        <v>256.533045793917</v>
      </c>
      <c r="F20" s="190" t="str">
        <f aca="false">"≥ 0 €"</f>
        <v>≥ 0 €</v>
      </c>
      <c r="G20" s="188"/>
      <c r="H20" s="191" t="str">
        <f aca="false">IF(E20&lt;0,"kritisch",IF(INDEX(Projektion!$D$37:$AQ$37,2)&lt;0,"prüfen","erfüllt"))</f>
        <v>prüfen</v>
      </c>
      <c r="I20" s="192" t="n">
        <f aca="false">IF(E20&gt;=0,1,0)</f>
        <v>1</v>
      </c>
      <c r="T20" s="187" t="s">
        <v>531</v>
      </c>
      <c r="U20" s="187" t="n">
        <f aca="false">Miete_Ist_J1/12</f>
        <v>921.5</v>
      </c>
      <c r="V20" s="187" t="n">
        <v>0</v>
      </c>
      <c r="W20" s="187" t="n">
        <f aca="false">V20+U20</f>
        <v>921.5</v>
      </c>
      <c r="X20" s="187" t="n">
        <f aca="false">IF(MAX(V20,W20)&gt;=0,MAX(MIN(V20,W20),0),0)</f>
        <v>0</v>
      </c>
      <c r="Y20" s="187" t="n">
        <f aca="false">IF(MAX(V20,W20)&gt;=0,0,IF(MAX(V20,W20)+$U$29&gt;=0,MAX(V20,W20),MAX(V20,W20)+$U$29))</f>
        <v>0</v>
      </c>
      <c r="Z20" s="187" t="n">
        <f aca="false">IF(MAX(V20,W20)&gt;=0,MAX(V20,W20)-MAX(MIN(V20,W20),0),0)</f>
        <v>921.5</v>
      </c>
      <c r="AA20" s="187" t="n">
        <f aca="false">IF(MAX(V20,W20)+$U$29&gt;=0,$U$29,-$U$29)</f>
        <v>219.866666666667</v>
      </c>
      <c r="AB20" s="187" t="n">
        <v>0</v>
      </c>
      <c r="AC20" s="187" t="n">
        <v>0</v>
      </c>
      <c r="AD20" s="187" t="n">
        <v>0</v>
      </c>
      <c r="AE20" s="187" t="n">
        <v>0</v>
      </c>
      <c r="AF20" s="187" t="n">
        <v>0</v>
      </c>
      <c r="AG20" s="187" t="n">
        <v>0</v>
      </c>
      <c r="AH20" s="187" t="n">
        <f aca="false">IF(MAX(V20,W20)&gt;=0,MIN(MIN(V20,W20),0),MIN(V20,W20)-MAX(V20,W20))</f>
        <v>0</v>
      </c>
      <c r="AI20" s="187" t="str">
        <f aca="false">IF(U20&gt;=0.5,"+",IF(U20&lt;=-0.5,"−",""))&amp;FIXED(ABS(U20),0)</f>
        <v>+922</v>
      </c>
      <c r="AJ20" s="187" t="str">
        <f aca="false">IF(Cockpit!$AB$50="","",IF(LEFT(Cockpit!$AB$50,1)="⚠",0,100)+1)</f>
        <v/>
      </c>
      <c r="AK20" s="187" t="e">
        <f aca="false">IF(1=Haltedauer,MAX(INDEX(Projektion!$D$41:$AQ$41,1),INDEX(Projektion!$D$43:$AQ$43,1))*1.12,NA())</f>
        <v>#N/A</v>
      </c>
      <c r="AL20" s="187" t="e">
        <f aca="false">IF(1=Haltedauer,INDEX(Projektion!$D$43:$AQ$43,1),NA())</f>
        <v>#N/A</v>
      </c>
    </row>
    <row r="21" customFormat="false" ht="21.75" hidden="false" customHeight="true" outlineLevel="0" collapsed="false">
      <c r="B21" s="72" t="s">
        <v>102</v>
      </c>
      <c r="C21" s="72"/>
      <c r="D21" s="188"/>
      <c r="E21" s="193" t="n">
        <f aca="false">Bruttomietrendite</f>
        <v>0.04</v>
      </c>
      <c r="F21" s="190" t="str">
        <f aca="false">"≥ "&amp;FIXED(Ampel_BMR_gruen*100,1)&amp;" %"</f>
        <v>≥ 5.0 %</v>
      </c>
      <c r="G21" s="188"/>
      <c r="H21" s="191" t="str">
        <f aca="false">IF(E21&gt;=Ampel_BMR_gruen,"erfüllt",IF(E21&gt;=Ampel_BMR_gelb,"prüfen","kritisch"))</f>
        <v>prüfen</v>
      </c>
      <c r="I21" s="192" t="n">
        <f aca="false">IF(Ampel_BMR_gruen&gt;0,MIN(MAX(0,E21/Ampel_BMR_gruen),1),IF(E21&gt;=Ampel_BMR_gruen,1,0))</f>
        <v>0.8</v>
      </c>
      <c r="T21" s="194" t="s">
        <v>532</v>
      </c>
      <c r="U21" s="187" t="n">
        <f aca="false">-BWK_J1/12</f>
        <v>-207.5</v>
      </c>
      <c r="V21" s="187" t="n">
        <f aca="false">W20</f>
        <v>921.5</v>
      </c>
      <c r="W21" s="187" t="n">
        <f aca="false">V21+U21</f>
        <v>714</v>
      </c>
      <c r="X21" s="187" t="n">
        <f aca="false">IF(MAX(V21,W21)&gt;=0,MAX(MIN(V21,W21),0),0)</f>
        <v>714</v>
      </c>
      <c r="Y21" s="187" t="n">
        <f aca="false">IF(MAX(V21,W21)&gt;=0,0,IF(MAX(V21,W21)+$U$29&gt;=0,MAX(V21,W21),MAX(V21,W21)+$U$29))</f>
        <v>0</v>
      </c>
      <c r="Z21" s="187" t="n">
        <f aca="false">IF(MAX(V21,W21)&gt;=0,MAX(V21,W21)-MAX(MIN(V21,W21),0),0)</f>
        <v>207.5</v>
      </c>
      <c r="AA21" s="187" t="n">
        <v>0</v>
      </c>
      <c r="AB21" s="187" t="n">
        <f aca="false">IF(MAX(V21,W21)+$U$29&gt;=0,$U$29,-$U$29)</f>
        <v>219.866666666667</v>
      </c>
      <c r="AC21" s="187" t="n">
        <v>0</v>
      </c>
      <c r="AD21" s="187" t="n">
        <v>0</v>
      </c>
      <c r="AE21" s="187" t="n">
        <v>0</v>
      </c>
      <c r="AF21" s="187" t="n">
        <v>0</v>
      </c>
      <c r="AG21" s="187" t="n">
        <v>0</v>
      </c>
      <c r="AH21" s="187" t="n">
        <f aca="false">IF(MAX(V21,W21)&gt;=0,MIN(MIN(V21,W21),0),MIN(V21,W21)-MAX(V21,W21))</f>
        <v>0</v>
      </c>
      <c r="AI21" s="187" t="str">
        <f aca="false">IF(U21&gt;=0.5,"+",IF(U21&lt;=-0.5,"−",""))&amp;FIXED(ABS(U21),0)</f>
        <v>−208</v>
      </c>
      <c r="AJ21" s="187" t="str">
        <f aca="false">IF(Cockpit!$AB$51="","",IF(LEFT(Cockpit!$AB$51,1)="⚠",0,100)+2)</f>
        <v/>
      </c>
      <c r="AK21" s="187" t="e">
        <f aca="false">IF(2=Haltedauer,MAX(INDEX(Projektion!$D$41:$AQ$41,2),INDEX(Projektion!$D$43:$AQ$43,2))*1.12,NA())</f>
        <v>#N/A</v>
      </c>
      <c r="AL21" s="187" t="e">
        <f aca="false">IF(2=Haltedauer,INDEX(Projektion!$D$43:$AQ$43,2),NA())</f>
        <v>#N/A</v>
      </c>
    </row>
    <row r="22" customFormat="false" ht="21.75" hidden="false" customHeight="true" outlineLevel="0" collapsed="false">
      <c r="B22" s="72" t="s">
        <v>313</v>
      </c>
      <c r="C22" s="72"/>
      <c r="D22" s="188"/>
      <c r="E22" s="193" t="n">
        <f aca="false">Nettomietrendite</f>
        <v>0.0260445718437143</v>
      </c>
      <c r="F22" s="190" t="str">
        <f aca="false">"≥ "&amp;FIXED(Ampel_NMR_gruen*100,1)&amp;" %"</f>
        <v>≥ 3.5 %</v>
      </c>
      <c r="G22" s="188"/>
      <c r="H22" s="191" t="str">
        <f aca="false">IF(E22&gt;=Ampel_NMR_gruen,"erfüllt",IF(E22&gt;=Ampel_NMR_gelb,"prüfen","kritisch"))</f>
        <v>prüfen</v>
      </c>
      <c r="I22" s="192" t="n">
        <f aca="false">IF(Ampel_NMR_gruen&gt;0,MIN(MAX(0,E22/Ampel_NMR_gruen),1),IF(E22&gt;=Ampel_NMR_gruen,1,0))</f>
        <v>0.744130624106124</v>
      </c>
      <c r="T22" s="187" t="s">
        <v>533</v>
      </c>
      <c r="U22" s="187" t="n">
        <f aca="false">-Zins_J1/12</f>
        <v>-750</v>
      </c>
      <c r="V22" s="187" t="n">
        <f aca="false">W21</f>
        <v>714</v>
      </c>
      <c r="W22" s="187" t="n">
        <f aca="false">V22+U22</f>
        <v>-36</v>
      </c>
      <c r="X22" s="187" t="n">
        <f aca="false">IF(MAX(V22,W22)&gt;=0,MAX(MIN(V22,W22),0),0)</f>
        <v>0</v>
      </c>
      <c r="Y22" s="187" t="n">
        <f aca="false">IF(MAX(V22,W22)&gt;=0,0,IF(MAX(V22,W22)+$U$29&gt;=0,MAX(V22,W22),MAX(V22,W22)+$U$29))</f>
        <v>0</v>
      </c>
      <c r="Z22" s="187" t="n">
        <f aca="false">IF(MAX(V22,W22)&gt;=0,MAX(V22,W22)-MAX(MIN(V22,W22),0),0)</f>
        <v>714</v>
      </c>
      <c r="AA22" s="187" t="n">
        <v>0</v>
      </c>
      <c r="AB22" s="187" t="n">
        <v>0</v>
      </c>
      <c r="AC22" s="187" t="n">
        <f aca="false">IF(MAX(V22,W22)+$U$29&gt;=0,$U$29,-$U$29)</f>
        <v>219.866666666667</v>
      </c>
      <c r="AD22" s="187" t="n">
        <v>0</v>
      </c>
      <c r="AE22" s="187" t="n">
        <v>0</v>
      </c>
      <c r="AF22" s="187" t="n">
        <v>0</v>
      </c>
      <c r="AG22" s="187" t="n">
        <v>0</v>
      </c>
      <c r="AH22" s="187" t="n">
        <f aca="false">IF(MAX(V22,W22)&gt;=0,MIN(MIN(V22,W22),0),MIN(V22,W22)-MAX(V22,W22))</f>
        <v>-36</v>
      </c>
      <c r="AI22" s="187" t="str">
        <f aca="false">IF(U22&gt;=0.5,"+",IF(U22&lt;=-0.5,"−",""))&amp;FIXED(ABS(U22),0)</f>
        <v>−750</v>
      </c>
      <c r="AJ22" s="187" t="str">
        <f aca="false">IF(Cockpit!$AB$52="","",IF(LEFT(Cockpit!$AB$52,1)="⚠",0,100)+3)</f>
        <v/>
      </c>
      <c r="AK22" s="187" t="e">
        <f aca="false">IF(3=Haltedauer,MAX(INDEX(Projektion!$D$41:$AQ$41,3),INDEX(Projektion!$D$43:$AQ$43,3))*1.12,NA())</f>
        <v>#N/A</v>
      </c>
      <c r="AL22" s="187" t="e">
        <f aca="false">IF(3=Haltedauer,INDEX(Projektion!$D$43:$AQ$43,3),NA())</f>
        <v>#N/A</v>
      </c>
    </row>
    <row r="23" customFormat="false" ht="21.75" hidden="false" customHeight="true" outlineLevel="0" collapsed="false">
      <c r="B23" s="72" t="s">
        <v>20</v>
      </c>
      <c r="C23" s="72"/>
      <c r="D23" s="188"/>
      <c r="E23" s="195" t="n">
        <f aca="false">DSCR_J1</f>
        <v>0.612</v>
      </c>
      <c r="F23" s="190" t="str">
        <f aca="false">"≥ "&amp;FIXED(Ampel_DSCR_gruen,2)&amp;"×"</f>
        <v>≥ 1.20×</v>
      </c>
      <c r="G23" s="188"/>
      <c r="H23" s="191" t="str">
        <f aca="false">IF(E23&gt;=Ampel_DSCR_gruen,"erfüllt",IF(E23&gt;=Ampel_DSCR_gelb,"prüfen","kritisch"))</f>
        <v>kritisch</v>
      </c>
      <c r="I23" s="192" t="n">
        <f aca="false">IF(Ampel_DSCR_gruen&gt;0,MIN(MAX(0,E23/Ampel_DSCR_gruen),1),IF(E23&gt;=Ampel_DSCR_gruen,1,0))</f>
        <v>0.51</v>
      </c>
      <c r="T23" s="187" t="s">
        <v>534</v>
      </c>
      <c r="U23" s="187" t="n">
        <f aca="false">-Tilgung_J1/12</f>
        <v>-416.666666666667</v>
      </c>
      <c r="V23" s="187" t="n">
        <f aca="false">W22</f>
        <v>-36</v>
      </c>
      <c r="W23" s="187" t="n">
        <f aca="false">V23+U23</f>
        <v>-452.666666666667</v>
      </c>
      <c r="X23" s="187" t="n">
        <f aca="false">IF(MAX(V23,W23)&gt;=0,MAX(MIN(V23,W23),0),0)</f>
        <v>0</v>
      </c>
      <c r="Y23" s="187" t="n">
        <f aca="false">IF(MAX(V23,W23)&gt;=0,0,IF(MAX(V23,W23)+$U$29&gt;=0,MAX(V23,W23),MAX(V23,W23)+$U$29))</f>
        <v>-36</v>
      </c>
      <c r="Z23" s="187" t="n">
        <f aca="false">IF(MAX(V23,W23)&gt;=0,MAX(V23,W23)-MAX(MIN(V23,W23),0),0)</f>
        <v>0</v>
      </c>
      <c r="AA23" s="187" t="n">
        <v>0</v>
      </c>
      <c r="AB23" s="187" t="n">
        <v>0</v>
      </c>
      <c r="AC23" s="187" t="n">
        <v>0</v>
      </c>
      <c r="AD23" s="187" t="n">
        <f aca="false">IF(MAX(V23,W23)+$U$29&gt;=0,$U$29,-$U$29)</f>
        <v>219.866666666667</v>
      </c>
      <c r="AE23" s="187" t="n">
        <v>0</v>
      </c>
      <c r="AF23" s="187" t="n">
        <v>0</v>
      </c>
      <c r="AG23" s="187" t="n">
        <v>0</v>
      </c>
      <c r="AH23" s="187" t="n">
        <f aca="false">IF(MAX(V23,W23)&gt;=0,MIN(MIN(V23,W23),0),MIN(V23,W23)-MAX(V23,W23))</f>
        <v>-416.666666666667</v>
      </c>
      <c r="AI23" s="187" t="str">
        <f aca="false">IF(U23&gt;=0.5,"+",IF(U23&lt;=-0.5,"−",""))&amp;FIXED(ABS(U23),0)</f>
        <v>−417</v>
      </c>
      <c r="AJ23" s="187" t="str">
        <f aca="false">IF(Cockpit!$AB$53="","",IF(LEFT(Cockpit!$AB$53,1)="⚠",0,100)+4)</f>
        <v/>
      </c>
      <c r="AK23" s="187" t="e">
        <f aca="false">IF(4=Haltedauer,MAX(INDEX(Projektion!$D$41:$AQ$41,4),INDEX(Projektion!$D$43:$AQ$43,4))*1.12,NA())</f>
        <v>#N/A</v>
      </c>
      <c r="AL23" s="187" t="e">
        <f aca="false">IF(4=Haltedauer,INDEX(Projektion!$D$43:$AQ$43,4),NA())</f>
        <v>#N/A</v>
      </c>
    </row>
    <row r="24" customFormat="false" ht="21.75" hidden="false" customHeight="true" outlineLevel="0" collapsed="false">
      <c r="B24" s="72" t="s">
        <v>535</v>
      </c>
      <c r="C24" s="72"/>
      <c r="D24" s="188"/>
      <c r="E24" s="193" t="n">
        <f aca="false">EKR_Tile</f>
        <v>0.177505353620814</v>
      </c>
      <c r="F24" s="190" t="str">
        <f aca="false">"≥ "&amp;FIXED(Ampel_EKR_gruen*100,1)&amp;" %"</f>
        <v>≥ 10.0 %</v>
      </c>
      <c r="G24" s="188"/>
      <c r="H24" s="191" t="str">
        <f aca="false">IF(E24&gt;=Ampel_EKR_gruen,"erfüllt",IF(E24&gt;=Ampel_EKR_gelb,"prüfen","kritisch"))</f>
        <v>erfüllt</v>
      </c>
      <c r="I24" s="192" t="n">
        <f aca="false">IF(Ampel_EKR_gruen&gt;0,MIN(MAX(0,E24/Ampel_EKR_gruen),1),IF(E24&gt;=Ampel_EKR_gruen,1,0))</f>
        <v>1</v>
      </c>
      <c r="T24" s="187" t="s">
        <v>536</v>
      </c>
      <c r="U24" s="187" t="n">
        <f aca="false">CF_vSt_J1/12</f>
        <v>-452.666666666667</v>
      </c>
      <c r="V24" s="187" t="n">
        <v>0</v>
      </c>
      <c r="W24" s="187" t="n">
        <f aca="false">V24+U24</f>
        <v>-452.666666666667</v>
      </c>
      <c r="X24" s="187" t="n">
        <f aca="false">IF(MAX(V24,W24)&gt;=0,MAX(MIN(V24,W24),0),0)</f>
        <v>0</v>
      </c>
      <c r="Y24" s="187" t="n">
        <f aca="false">IF(MAX(V24,W24)&gt;=0,0,IF(MAX(V24,W24)+$U$29&gt;=0,MAX(V24,W24),MAX(V24,W24)+$U$29))</f>
        <v>0</v>
      </c>
      <c r="Z24" s="187" t="n">
        <f aca="false">IF(MAX(V24,W24)&gt;=0,MAX(V24,W24)-MAX(MIN(V24,W24),0),0)</f>
        <v>0</v>
      </c>
      <c r="AA24" s="187" t="n">
        <v>0</v>
      </c>
      <c r="AB24" s="187" t="n">
        <v>0</v>
      </c>
      <c r="AC24" s="187" t="n">
        <v>0</v>
      </c>
      <c r="AD24" s="187" t="n">
        <v>0</v>
      </c>
      <c r="AE24" s="187" t="n">
        <f aca="false">IF(MAX(V24,W24)+$U$29&gt;=0,$U$29,-$U$29)</f>
        <v>219.866666666667</v>
      </c>
      <c r="AF24" s="187" t="n">
        <v>0</v>
      </c>
      <c r="AG24" s="187" t="n">
        <v>0</v>
      </c>
      <c r="AH24" s="187" t="n">
        <f aca="false">IF(MAX(V24,W24)&gt;=0,MIN(MIN(V24,W24),0),MIN(V24,W24)-MAX(V24,W24))</f>
        <v>-452.666666666667</v>
      </c>
      <c r="AI24" s="187" t="str">
        <f aca="false">IF(U24&gt;=0.5,"+",IF(U24&lt;=-0.5,"−",""))&amp;FIXED(ABS(U24),0)</f>
        <v>−453</v>
      </c>
      <c r="AJ24" s="187" t="str">
        <f aca="false">IF(Cockpit!$AB$54="","",IF(LEFT(Cockpit!$AB$54,1)="⚠",0,100)+5)</f>
        <v/>
      </c>
      <c r="AK24" s="187" t="e">
        <f aca="false">IF(5=Haltedauer,MAX(INDEX(Projektion!$D$41:$AQ$41,5),INDEX(Projektion!$D$43:$AQ$43,5))*1.12,NA())</f>
        <v>#N/A</v>
      </c>
      <c r="AL24" s="187" t="e">
        <f aca="false">IF(5=Haltedauer,INDEX(Projektion!$D$43:$AQ$43,5),NA())</f>
        <v>#N/A</v>
      </c>
    </row>
    <row r="25" customFormat="false" ht="21.75" hidden="false" customHeight="true" outlineLevel="0" collapsed="false">
      <c r="B25" s="72" t="str">
        <f aca="false">"IRR n. St. ("&amp;Haltedauer&amp;" J.)"</f>
        <v>IRR n. St. (12 J.)</v>
      </c>
      <c r="C25" s="72"/>
      <c r="D25" s="188"/>
      <c r="E25" s="193" t="n">
        <f aca="false">EK_IRR</f>
        <v>0.0532739559084637</v>
      </c>
      <c r="F25" s="190" t="str">
        <f aca="false">"≥ "&amp;FIXED(Ampel_IRR_gruen*100,1)&amp;" %"</f>
        <v>≥ 6.0 %</v>
      </c>
      <c r="G25" s="188"/>
      <c r="H25" s="191" t="str">
        <f aca="false">IF(E25&gt;=Ampel_IRR_gruen,"erfüllt",IF(E25&gt;=Ampel_IRR_gelb,"prüfen","kritisch"))</f>
        <v>prüfen</v>
      </c>
      <c r="I25" s="192" t="n">
        <f aca="false">IF(Ampel_IRR_gruen&gt;0,MIN(MAX(0,E25/Ampel_IRR_gruen),1),IF(E25&gt;=Ampel_IRR_gruen,1,0))</f>
        <v>0.887899265141062</v>
      </c>
      <c r="T25" s="187" t="s">
        <v>537</v>
      </c>
      <c r="U25" s="187" t="n">
        <f aca="false">-Steuer_J1/12</f>
        <v>709.199712460584</v>
      </c>
      <c r="V25" s="187" t="n">
        <f aca="false">W24</f>
        <v>-452.666666666667</v>
      </c>
      <c r="W25" s="187" t="n">
        <f aca="false">V25+U25</f>
        <v>256.533045793917</v>
      </c>
      <c r="X25" s="187" t="n">
        <f aca="false">IF(MAX(V25,W25)&gt;=0,MAX(MIN(V25,W25),0),0)</f>
        <v>0</v>
      </c>
      <c r="Y25" s="187" t="n">
        <f aca="false">IF(MAX(V25,W25)&gt;=0,0,IF(MAX(V25,W25)+$U$29&gt;=0,MAX(V25,W25),MAX(V25,W25)+$U$29))</f>
        <v>0</v>
      </c>
      <c r="Z25" s="187" t="n">
        <f aca="false">IF(U25&lt;0,0,IF(MAX(V25,W25)&gt;=0,MAX(V25,W25)-MAX(MIN(V25,W25),0),0))</f>
        <v>256.533045793917</v>
      </c>
      <c r="AA25" s="187" t="n">
        <v>0</v>
      </c>
      <c r="AB25" s="187" t="n">
        <v>0</v>
      </c>
      <c r="AC25" s="187" t="n">
        <v>0</v>
      </c>
      <c r="AD25" s="187" t="n">
        <v>0</v>
      </c>
      <c r="AE25" s="187" t="n">
        <v>0</v>
      </c>
      <c r="AF25" s="187" t="n">
        <f aca="false">IF(MAX(V25,W25)+$U$29&gt;=0,$U$29,-$U$29)</f>
        <v>219.866666666667</v>
      </c>
      <c r="AG25" s="187" t="n">
        <v>0</v>
      </c>
      <c r="AH25" s="187" t="n">
        <f aca="false">IF(U25&lt;0,0,IF(MAX(V25,W25)&gt;=0,MIN(MIN(V25,W25),0),MIN(V25,W25)-MAX(V25,W25)))</f>
        <v>-452.666666666667</v>
      </c>
      <c r="AI25" s="187" t="str">
        <f aca="false">IF(U25&gt;=0.5,"+",IF(U25&lt;=-0.5,"−",""))&amp;FIXED(ABS(U25),0)</f>
        <v>+709</v>
      </c>
      <c r="AJ25" s="187" t="str">
        <f aca="false">IF(Cockpit!$AB$55="","",IF(LEFT(Cockpit!$AB$55,1)="⚠",0,100)+6)</f>
        <v/>
      </c>
      <c r="AK25" s="187" t="e">
        <f aca="false">IF(6=Haltedauer,MAX(INDEX(Projektion!$D$41:$AQ$41,6),INDEX(Projektion!$D$43:$AQ$43,6))*1.12,NA())</f>
        <v>#N/A</v>
      </c>
      <c r="AL25" s="187" t="e">
        <f aca="false">IF(6=Haltedauer,INDEX(Projektion!$D$43:$AQ$43,6),NA())</f>
        <v>#N/A</v>
      </c>
    </row>
    <row r="26" customFormat="false" ht="19.5" hidden="false" customHeight="true" outlineLevel="0" collapsed="false">
      <c r="B26" s="196" t="s">
        <v>538</v>
      </c>
      <c r="C26" s="196"/>
      <c r="D26" s="196"/>
      <c r="E26" s="196"/>
      <c r="F26" s="196"/>
      <c r="H26" s="197" t="s">
        <v>539</v>
      </c>
      <c r="I26" s="197"/>
      <c r="T26" s="187" t="s">
        <v>540</v>
      </c>
      <c r="U26" s="187" t="n">
        <f aca="false">CF_nSt_J1/12</f>
        <v>256.533045793917</v>
      </c>
      <c r="V26" s="187" t="n">
        <v>0</v>
      </c>
      <c r="W26" s="187" t="n">
        <f aca="false">V26+U26</f>
        <v>256.533045793917</v>
      </c>
      <c r="X26" s="187" t="n">
        <f aca="false">IF(MAX(V26,W26)&gt;=0,MAX(MIN(V26,W26),0),0)</f>
        <v>0</v>
      </c>
      <c r="Y26" s="187" t="n">
        <f aca="false">IF(MAX(V26,W26)&gt;=0,0,IF(MAX(V26,W26)+$U$29&gt;=0,MAX(V26,W26),MAX(V26,W26)+$U$29))</f>
        <v>0</v>
      </c>
      <c r="Z26" s="187" t="n">
        <f aca="false">IF(MAX(V26,W26)&gt;=0,MAX(V26,W26)-MAX(MIN(V26,W26),0),0)</f>
        <v>256.533045793917</v>
      </c>
      <c r="AA26" s="187" t="n">
        <v>0</v>
      </c>
      <c r="AB26" s="187" t="n">
        <v>0</v>
      </c>
      <c r="AC26" s="187" t="n">
        <v>0</v>
      </c>
      <c r="AD26" s="187" t="n">
        <v>0</v>
      </c>
      <c r="AE26" s="187" t="n">
        <v>0</v>
      </c>
      <c r="AF26" s="187" t="n">
        <v>0</v>
      </c>
      <c r="AG26" s="187" t="n">
        <f aca="false">IF(MAX(V26,W26)+$U$29&gt;=0,$U$29,-$U$29)</f>
        <v>219.866666666667</v>
      </c>
      <c r="AH26" s="187" t="n">
        <f aca="false">IF(MAX(V26,W26)&gt;=0,MIN(MIN(V26,W26),0),MIN(V26,W26)-MAX(V26,W26))</f>
        <v>0</v>
      </c>
      <c r="AI26" s="187" t="str">
        <f aca="false">IF(U26&gt;=0.5,"+",IF(U26&lt;=-0.5,"−",""))&amp;FIXED(ABS(U26),0)</f>
        <v>+257</v>
      </c>
      <c r="AJ26" s="187" t="str">
        <f aca="false">IF(Cockpit!$AB$56="","",IF(LEFT(Cockpit!$AB$56,1)="⚠",0,100)+7)</f>
        <v/>
      </c>
      <c r="AK26" s="187" t="e">
        <f aca="false">IF(7=Haltedauer,MAX(INDEX(Projektion!$D$41:$AQ$41,7),INDEX(Projektion!$D$43:$AQ$43,7))*1.12,NA())</f>
        <v>#N/A</v>
      </c>
      <c r="AL26" s="187" t="e">
        <f aca="false">IF(7=Haltedauer,INDEX(Projektion!$D$43:$AQ$43,7),NA())</f>
        <v>#N/A</v>
      </c>
    </row>
    <row r="27" customFormat="false" ht="19.5" hidden="false" customHeight="true" outlineLevel="0" collapsed="false">
      <c r="AJ27" s="187" t="str">
        <f aca="false">IF(Cockpit!$AB$57="","",IF(LEFT(Cockpit!$AB$57,1)="⚠",0,100)+8)</f>
        <v/>
      </c>
      <c r="AK27" s="187" t="e">
        <f aca="false">IF(8=Haltedauer,MAX(INDEX(Projektion!$D$41:$AQ$41,8),INDEX(Projektion!$D$43:$AQ$43,8))*1.12,NA())</f>
        <v>#N/A</v>
      </c>
      <c r="AL27" s="187" t="e">
        <f aca="false">IF(8=Haltedauer,INDEX(Projektion!$D$43:$AQ$43,8),NA())</f>
        <v>#N/A</v>
      </c>
    </row>
    <row r="28" customFormat="false" ht="24" hidden="false" customHeight="true" outlineLevel="0" collapsed="false">
      <c r="B28" s="33" t="s">
        <v>541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35" t="str">
        <f aca="false">"Verkauf nach "&amp;Haltedauer&amp;" J. ("&amp;INDEX(Projektion!$D$10:$AQ$10,Haltedauer)&amp;")   ·   T€ · jeweils Jahresende · 40 Jahre"</f>
        <v>Verkauf nach 12 J. (2037)   ·   T€ · jeweils Jahresende · 40 Jahre</v>
      </c>
      <c r="AJ28" s="187" t="str">
        <f aca="false">IF(Cockpit!$AB$58="","",IF(LEFT(Cockpit!$AB$58,1)="⚠",0,100)+9)</f>
        <v/>
      </c>
      <c r="AK28" s="187" t="e">
        <f aca="false">IF(9=Haltedauer,MAX(INDEX(Projektion!$D$41:$AQ$41,9),INDEX(Projektion!$D$43:$AQ$43,9))*1.12,NA())</f>
        <v>#N/A</v>
      </c>
      <c r="AL28" s="187" t="e">
        <f aca="false">IF(9=Haltedauer,INDEX(Projektion!$D$43:$AQ$43,9),NA())</f>
        <v>#N/A</v>
      </c>
    </row>
    <row r="29" customFormat="false" ht="19.5" hidden="false" customHeight="true" outlineLevel="0" collapsed="false">
      <c r="U29" s="187" t="n">
        <f aca="false">MAX(1,0.16*(MAX($V$20:$W$26,0)-MIN($V$20:$W$26,0)))</f>
        <v>219.866666666667</v>
      </c>
      <c r="AJ29" s="187" t="str">
        <f aca="false">IF(Cockpit!$AB$59="","",IF(LEFT(Cockpit!$AB$59,1)="⚠",0,100)+10)</f>
        <v/>
      </c>
      <c r="AK29" s="187" t="e">
        <f aca="false">IF(10=Haltedauer,MAX(INDEX(Projektion!$D$41:$AQ$41,10),INDEX(Projektion!$D$43:$AQ$43,10))*1.12,NA())</f>
        <v>#N/A</v>
      </c>
      <c r="AL29" s="187" t="e">
        <f aca="false">IF(10=Haltedauer,INDEX(Projektion!$D$43:$AQ$43,10),NA())</f>
        <v>#N/A</v>
      </c>
    </row>
    <row r="30" customFormat="false" ht="19.5" hidden="false" customHeight="true" outlineLevel="0" collapsed="false">
      <c r="AJ30" s="187" t="n">
        <f aca="false">IF(Cockpit!$AB$60="","",IF(LEFT(Cockpit!$AB$60,1)="⚠",0,100)+11)</f>
        <v>11</v>
      </c>
      <c r="AK30" s="187" t="e">
        <f aca="false">IF(11=Haltedauer,MAX(INDEX(Projektion!$D$41:$AQ$41,11),INDEX(Projektion!$D$43:$AQ$43,11))*1.12,NA())</f>
        <v>#N/A</v>
      </c>
      <c r="AL30" s="187" t="e">
        <f aca="false">IF(11=Haltedauer,INDEX(Projektion!$D$43:$AQ$43,11),NA())</f>
        <v>#N/A</v>
      </c>
    </row>
    <row r="31" customFormat="false" ht="19.5" hidden="false" customHeight="true" outlineLevel="0" collapsed="false">
      <c r="U31" s="187" t="s">
        <v>542</v>
      </c>
      <c r="V31" s="187" t="n">
        <v>0</v>
      </c>
      <c r="W31" s="187" t="n">
        <v>0</v>
      </c>
      <c r="X31" s="187" t="n">
        <v>0</v>
      </c>
      <c r="Y31" s="187" t="n">
        <v>0</v>
      </c>
      <c r="Z31" s="187" t="n">
        <v>0</v>
      </c>
      <c r="AA31" s="187" t="n">
        <f aca="false">IF(U25&lt;0,IF(MAX(V25,W25)&gt;=0,MAX(V25,W25)-MAX(MIN(V25,W25),0),0),0)</f>
        <v>0</v>
      </c>
      <c r="AB31" s="187" t="n">
        <v>0</v>
      </c>
      <c r="AJ31" s="187" t="n">
        <f aca="false">IF(Cockpit!$AB$61="","",IF(LEFT(Cockpit!$AB$61,1)="⚠",0,100)+12)</f>
        <v>112</v>
      </c>
      <c r="AK31" s="187" t="n">
        <f aca="false">IF(12=Haltedauer,MAX(INDEX(Projektion!$D$41:$AQ$41,12),INDEX(Projektion!$D$43:$AQ$43,12))*1.12,NA())</f>
        <v>421867.950543285</v>
      </c>
      <c r="AL31" s="198" t="n">
        <f aca="false">IF(12=Haltedauer,INDEX(Projektion!$D$43:$AQ$43,12),NA())</f>
        <v>196643.252967325</v>
      </c>
    </row>
    <row r="32" customFormat="false" ht="19.5" hidden="false" customHeight="true" outlineLevel="0" collapsed="false">
      <c r="U32" s="187" t="s">
        <v>543</v>
      </c>
      <c r="V32" s="187" t="n">
        <v>0</v>
      </c>
      <c r="W32" s="187" t="n">
        <v>0</v>
      </c>
      <c r="X32" s="187" t="n">
        <v>0</v>
      </c>
      <c r="Y32" s="187" t="n">
        <v>0</v>
      </c>
      <c r="Z32" s="187" t="n">
        <v>0</v>
      </c>
      <c r="AA32" s="187" t="n">
        <f aca="false">IF(U25&lt;0,IF(MAX(V25,W25)&gt;=0,MIN(MIN(V25,W25),0),MIN(V25,W25)-MAX(V25,W25)),0)</f>
        <v>0</v>
      </c>
      <c r="AB32" s="187" t="n">
        <v>0</v>
      </c>
      <c r="AJ32" s="187" t="str">
        <f aca="false">IF(Cockpit!$AB$62="","",IF(LEFT(Cockpit!$AB$62,1)="⚠",0,100)+13)</f>
        <v/>
      </c>
      <c r="AK32" s="187" t="e">
        <f aca="false">IF(13=Haltedauer,MAX(INDEX(Projektion!$D$41:$AQ$41,13),INDEX(Projektion!$D$43:$AQ$43,13))*1.12,NA())</f>
        <v>#N/A</v>
      </c>
      <c r="AL32" s="187" t="e">
        <f aca="false">IF(13=Haltedauer,INDEX(Projektion!$D$43:$AQ$43,13),NA())</f>
        <v>#N/A</v>
      </c>
    </row>
    <row r="33" customFormat="false" ht="19.5" hidden="false" customHeight="true" outlineLevel="0" collapsed="false">
      <c r="AJ33" s="187" t="n">
        <f aca="false">IF(Cockpit!$AB$63="","",IF(LEFT(Cockpit!$AB$63,1)="⚠",0,100)+14)</f>
        <v>114</v>
      </c>
      <c r="AK33" s="187" t="e">
        <f aca="false">IF(14=Haltedauer,MAX(INDEX(Projektion!$D$41:$AQ$41,14),INDEX(Projektion!$D$43:$AQ$43,14))*1.12,NA())</f>
        <v>#N/A</v>
      </c>
      <c r="AL33" s="187" t="e">
        <f aca="false">IF(14=Haltedauer,INDEX(Projektion!$D$43:$AQ$43,14),NA())</f>
        <v>#N/A</v>
      </c>
    </row>
    <row r="34" customFormat="false" ht="19.5" hidden="false" customHeight="true" outlineLevel="0" collapsed="false">
      <c r="AJ34" s="187" t="str">
        <f aca="false">IF(Cockpit!$AB$64="","",IF(LEFT(Cockpit!$AB$64,1)="⚠",0,100)+15)</f>
        <v/>
      </c>
      <c r="AK34" s="187" t="e">
        <f aca="false">IF(15=Haltedauer,MAX(INDEX(Projektion!$D$41:$AQ$41,15),INDEX(Projektion!$D$43:$AQ$43,15))*1.12,NA())</f>
        <v>#N/A</v>
      </c>
      <c r="AL34" s="187" t="e">
        <f aca="false">IF(15=Haltedauer,INDEX(Projektion!$D$43:$AQ$43,15),NA())</f>
        <v>#N/A</v>
      </c>
    </row>
    <row r="35" customFormat="false" ht="19.5" hidden="false" customHeight="true" outlineLevel="0" collapsed="false">
      <c r="AJ35" s="187" t="str">
        <f aca="false">IF(Cockpit!$AB$65="","",IF(LEFT(Cockpit!$AB$65,1)="⚠",0,100)+16)</f>
        <v/>
      </c>
      <c r="AK35" s="187" t="e">
        <f aca="false">IF(16=Haltedauer,MAX(INDEX(Projektion!$D$41:$AQ$41,16),INDEX(Projektion!$D$43:$AQ$43,16))*1.12,NA())</f>
        <v>#N/A</v>
      </c>
      <c r="AL35" s="187" t="e">
        <f aca="false">IF(16=Haltedauer,INDEX(Projektion!$D$43:$AQ$43,16),NA())</f>
        <v>#N/A</v>
      </c>
    </row>
    <row r="36" customFormat="false" ht="19.5" hidden="false" customHeight="true" outlineLevel="0" collapsed="false">
      <c r="AJ36" s="187" t="n">
        <f aca="false">IF(Cockpit!$AB$66="","",IF(LEFT(Cockpit!$AB$66,1)="⚠",0,100)+17)</f>
        <v>117</v>
      </c>
      <c r="AK36" s="187" t="e">
        <f aca="false">IF(17=Haltedauer,MAX(INDEX(Projektion!$D$41:$AQ$41,17),INDEX(Projektion!$D$43:$AQ$43,17))*1.12,NA())</f>
        <v>#N/A</v>
      </c>
      <c r="AL36" s="187" t="e">
        <f aca="false">IF(17=Haltedauer,INDEX(Projektion!$D$43:$AQ$43,17),NA())</f>
        <v>#N/A</v>
      </c>
    </row>
    <row r="37" customFormat="false" ht="19.5" hidden="false" customHeight="true" outlineLevel="0" collapsed="false">
      <c r="AJ37" s="187" t="str">
        <f aca="false">IF(Cockpit!$AB$67="","",IF(LEFT(Cockpit!$AB$67,1)="⚠",0,100)+18)</f>
        <v/>
      </c>
      <c r="AK37" s="187" t="e">
        <f aca="false">IF(18=Haltedauer,MAX(INDEX(Projektion!$D$41:$AQ$41,18),INDEX(Projektion!$D$43:$AQ$43,18))*1.12,NA())</f>
        <v>#N/A</v>
      </c>
      <c r="AL37" s="187" t="e">
        <f aca="false">IF(18=Haltedauer,INDEX(Projektion!$D$43:$AQ$43,18),NA())</f>
        <v>#N/A</v>
      </c>
    </row>
    <row r="38" customFormat="false" ht="19.5" hidden="false" customHeight="true" outlineLevel="0" collapsed="false">
      <c r="AJ38" s="187" t="str">
        <f aca="false">IF(Cockpit!$AB$68="","",IF(LEFT(Cockpit!$AB$68,1)="⚠",0,100)+19)</f>
        <v/>
      </c>
      <c r="AK38" s="187" t="e">
        <f aca="false">IF(19=Haltedauer,MAX(INDEX(Projektion!$D$41:$AQ$41,19),INDEX(Projektion!$D$43:$AQ$43,19))*1.12,NA())</f>
        <v>#N/A</v>
      </c>
      <c r="AL38" s="187" t="e">
        <f aca="false">IF(19=Haltedauer,INDEX(Projektion!$D$43:$AQ$43,19),NA())</f>
        <v>#N/A</v>
      </c>
    </row>
    <row r="39" customFormat="false" ht="19.5" hidden="false" customHeight="true" outlineLevel="0" collapsed="false">
      <c r="AJ39" s="187" t="str">
        <f aca="false">IF(Cockpit!$AB$69="","",IF(LEFT(Cockpit!$AB$69,1)="⚠",0,100)+20)</f>
        <v/>
      </c>
      <c r="AK39" s="187" t="e">
        <f aca="false">IF(20=Haltedauer,MAX(INDEX(Projektion!$D$41:$AQ$41,20),INDEX(Projektion!$D$43:$AQ$43,20))*1.12,NA())</f>
        <v>#N/A</v>
      </c>
      <c r="AL39" s="187" t="e">
        <f aca="false">IF(20=Haltedauer,INDEX(Projektion!$D$43:$AQ$43,20),NA())</f>
        <v>#N/A</v>
      </c>
    </row>
    <row r="40" customFormat="false" ht="19.5" hidden="false" customHeight="true" outlineLevel="0" collapsed="false">
      <c r="AJ40" s="187" t="str">
        <f aca="false">IF(Cockpit!$AB$70="","",IF(LEFT(Cockpit!$AB$70,1)="⚠",0,100)+21)</f>
        <v/>
      </c>
      <c r="AK40" s="187" t="e">
        <f aca="false">IF(21=Haltedauer,MAX(INDEX(Projektion!$D$41:$AQ$41,21),INDEX(Projektion!$D$43:$AQ$43,21))*1.12,NA())</f>
        <v>#N/A</v>
      </c>
      <c r="AL40" s="187" t="e">
        <f aca="false">IF(21=Haltedauer,INDEX(Projektion!$D$43:$AQ$43,21),NA())</f>
        <v>#N/A</v>
      </c>
    </row>
    <row r="41" customFormat="false" ht="19.5" hidden="false" customHeight="true" outlineLevel="0" collapsed="false">
      <c r="AJ41" s="187" t="str">
        <f aca="false">IF(Cockpit!$AB$71="","",IF(LEFT(Cockpit!$AB$71,1)="⚠",0,100)+22)</f>
        <v/>
      </c>
      <c r="AK41" s="187" t="e">
        <f aca="false">IF(22=Haltedauer,MAX(INDEX(Projektion!$D$41:$AQ$41,22),INDEX(Projektion!$D$43:$AQ$43,22))*1.12,NA())</f>
        <v>#N/A</v>
      </c>
      <c r="AL41" s="187" t="e">
        <f aca="false">IF(22=Haltedauer,INDEX(Projektion!$D$43:$AQ$43,22),NA())</f>
        <v>#N/A</v>
      </c>
    </row>
    <row r="42" customFormat="false" ht="24" hidden="false" customHeight="true" outlineLevel="0" collapsed="false">
      <c r="B42" s="33" t="s">
        <v>544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35" t="s">
        <v>545</v>
      </c>
      <c r="AJ42" s="187" t="str">
        <f aca="false">IF(Cockpit!$AB$72="","",IF(LEFT(Cockpit!$AB$72,1)="⚠",0,100)+23)</f>
        <v/>
      </c>
      <c r="AK42" s="187" t="e">
        <f aca="false">IF(23=Haltedauer,MAX(INDEX(Projektion!$D$41:$AQ$41,23),INDEX(Projektion!$D$43:$AQ$43,23))*1.12,NA())</f>
        <v>#N/A</v>
      </c>
      <c r="AL42" s="187" t="e">
        <f aca="false">IF(23=Haltedauer,INDEX(Projektion!$D$43:$AQ$43,23),NA())</f>
        <v>#N/A</v>
      </c>
    </row>
    <row r="43" customFormat="false" ht="18" hidden="false" customHeight="true" outlineLevel="0" collapsed="false">
      <c r="B43" s="199" t="s">
        <v>546</v>
      </c>
      <c r="C43" s="200"/>
      <c r="D43" s="200"/>
      <c r="E43" s="201" t="n">
        <v>1</v>
      </c>
      <c r="F43" s="201" t="n">
        <v>2</v>
      </c>
      <c r="G43" s="200"/>
      <c r="H43" s="201" t="n">
        <v>3</v>
      </c>
      <c r="I43" s="201" t="n">
        <v>5</v>
      </c>
      <c r="J43" s="200"/>
      <c r="K43" s="201" t="n">
        <v>10</v>
      </c>
      <c r="L43" s="201" t="n">
        <v>15</v>
      </c>
      <c r="M43" s="200"/>
      <c r="N43" s="201" t="n">
        <v>20</v>
      </c>
      <c r="O43" s="201" t="n">
        <v>25</v>
      </c>
      <c r="P43" s="200"/>
      <c r="Q43" s="201" t="n">
        <v>30</v>
      </c>
      <c r="R43" s="201" t="n">
        <v>40</v>
      </c>
      <c r="AJ43" s="187" t="str">
        <f aca="false">IF(Cockpit!$AB$73="","",IF(LEFT(Cockpit!$AB$73,1)="⚠",0,100)+24)</f>
        <v/>
      </c>
      <c r="AK43" s="187" t="e">
        <f aca="false">IF(24=Haltedauer,MAX(INDEX(Projektion!$D$41:$AQ$41,24),INDEX(Projektion!$D$43:$AQ$43,24))*1.12,NA())</f>
        <v>#N/A</v>
      </c>
      <c r="AL43" s="187" t="e">
        <f aca="false">IF(24=Haltedauer,INDEX(Projektion!$D$43:$AQ$43,24),NA())</f>
        <v>#N/A</v>
      </c>
    </row>
    <row r="44" customFormat="false" ht="19.5" hidden="false" customHeight="true" outlineLevel="0" collapsed="false">
      <c r="B44" s="202" t="s">
        <v>547</v>
      </c>
      <c r="C44" s="203"/>
      <c r="D44" s="203"/>
      <c r="E44" s="204" t="n">
        <f aca="false">INDEX(Projektion!$D$10:$AQ$10,E$43)</f>
        <v>2026</v>
      </c>
      <c r="F44" s="204" t="n">
        <f aca="false">INDEX(Projektion!$D$10:$AQ$10,F$43)</f>
        <v>2027</v>
      </c>
      <c r="G44" s="203"/>
      <c r="H44" s="204" t="n">
        <f aca="false">INDEX(Projektion!$D$10:$AQ$10,H$43)</f>
        <v>2028</v>
      </c>
      <c r="I44" s="204" t="n">
        <f aca="false">INDEX(Projektion!$D$10:$AQ$10,I$43)</f>
        <v>2030</v>
      </c>
      <c r="J44" s="203"/>
      <c r="K44" s="204" t="n">
        <f aca="false">INDEX(Projektion!$D$10:$AQ$10,K$43)</f>
        <v>2035</v>
      </c>
      <c r="L44" s="204" t="n">
        <f aca="false">INDEX(Projektion!$D$10:$AQ$10,L$43)</f>
        <v>2040</v>
      </c>
      <c r="M44" s="203"/>
      <c r="N44" s="204" t="n">
        <f aca="false">INDEX(Projektion!$D$10:$AQ$10,N$43)</f>
        <v>2045</v>
      </c>
      <c r="O44" s="204" t="n">
        <f aca="false">INDEX(Projektion!$D$10:$AQ$10,O$43)</f>
        <v>2050</v>
      </c>
      <c r="P44" s="203"/>
      <c r="Q44" s="204" t="n">
        <f aca="false">INDEX(Projektion!$D$10:$AQ$10,Q$43)</f>
        <v>2055</v>
      </c>
      <c r="R44" s="204" t="n">
        <f aca="false">INDEX(Projektion!$D$10:$AQ$10,R$43)</f>
        <v>2065</v>
      </c>
      <c r="AJ44" s="187" t="str">
        <f aca="false">IF(Cockpit!$AB$74="","",IF(LEFT(Cockpit!$AB$74,1)="⚠",0,100)+25)</f>
        <v/>
      </c>
      <c r="AK44" s="187" t="e">
        <f aca="false">IF(25=Haltedauer,MAX(INDEX(Projektion!$D$41:$AQ$41,25),INDEX(Projektion!$D$43:$AQ$43,25))*1.12,NA())</f>
        <v>#N/A</v>
      </c>
      <c r="AL44" s="187" t="e">
        <f aca="false">IF(25=Haltedauer,INDEX(Projektion!$D$43:$AQ$43,25),NA())</f>
        <v>#N/A</v>
      </c>
    </row>
    <row r="45" customFormat="false" ht="21.75" hidden="false" customHeight="true" outlineLevel="0" collapsed="false">
      <c r="B45" s="145" t="s">
        <v>548</v>
      </c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AK45" s="187" t="e">
        <f aca="false">IF(26=Haltedauer,MAX(INDEX(Projektion!$D$41:$AQ$41,26),INDEX(Projektion!$D$43:$AQ$43,26))*1.12,NA())</f>
        <v>#N/A</v>
      </c>
      <c r="AL45" s="187" t="e">
        <f aca="false">IF(26=Haltedauer,INDEX(Projektion!$D$43:$AQ$43,26),NA())</f>
        <v>#N/A</v>
      </c>
    </row>
    <row r="46" customFormat="false" ht="18" hidden="false" customHeight="true" outlineLevel="0" collapsed="false">
      <c r="B46" s="72" t="s">
        <v>383</v>
      </c>
      <c r="C46" s="72"/>
      <c r="D46" s="72"/>
      <c r="E46" s="206" t="n">
        <f aca="false">INDEX(Projektion!$D$15:$AQ$15,E$43)</f>
        <v>11058</v>
      </c>
      <c r="F46" s="206" t="n">
        <f aca="false">INDEX(Projektion!$D$15:$AQ$15,F$43)</f>
        <v>11279.16</v>
      </c>
      <c r="G46" s="207"/>
      <c r="H46" s="206" t="n">
        <f aca="false">INDEX(Projektion!$D$15:$AQ$15,H$43)</f>
        <v>11504.7432</v>
      </c>
      <c r="I46" s="206" t="n">
        <f aca="false">INDEX(Projektion!$D$15:$AQ$15,I$43)</f>
        <v>11969.53482528</v>
      </c>
      <c r="J46" s="207"/>
      <c r="K46" s="206" t="n">
        <f aca="false">INDEX(Projektion!$D$15:$AQ$15,K$43)</f>
        <v>13215.3336238255</v>
      </c>
      <c r="L46" s="206" t="n">
        <f aca="false">INDEX(Projektion!$D$15:$AQ$15,L$43)</f>
        <v>14590.7961619492</v>
      </c>
      <c r="M46" s="207"/>
      <c r="N46" s="206" t="n">
        <f aca="false">INDEX(Projektion!$D$15:$AQ$15,N$43)</f>
        <v>16109.4179458124</v>
      </c>
      <c r="O46" s="206" t="n">
        <f aca="false">INDEX(Projektion!$D$15:$AQ$15,O$43)</f>
        <v>17786.0991046971</v>
      </c>
      <c r="P46" s="207"/>
      <c r="Q46" s="206" t="n">
        <f aca="false">INDEX(Projektion!$D$15:$AQ$15,Q$43)</f>
        <v>19637.2905853087</v>
      </c>
      <c r="R46" s="206" t="n">
        <f aca="false">INDEX(Projektion!$D$15:$AQ$15,R$43)</f>
        <v>23937.7476473069</v>
      </c>
      <c r="AK46" s="187" t="e">
        <f aca="false">IF(27=Haltedauer,MAX(INDEX(Projektion!$D$41:$AQ$41,27),INDEX(Projektion!$D$43:$AQ$43,27))*1.12,NA())</f>
        <v>#N/A</v>
      </c>
      <c r="AL46" s="187" t="e">
        <f aca="false">IF(27=Haltedauer,INDEX(Projektion!$D$43:$AQ$43,27),NA())</f>
        <v>#N/A</v>
      </c>
    </row>
    <row r="47" customFormat="false" ht="18" hidden="false" customHeight="true" outlineLevel="0" collapsed="false">
      <c r="B47" s="72" t="s">
        <v>549</v>
      </c>
      <c r="C47" s="72"/>
      <c r="D47" s="72"/>
      <c r="E47" s="206" t="n">
        <f aca="false">-INDEX(Projektion!$D$26:$AQ$26,E$43)</f>
        <v>-2490</v>
      </c>
      <c r="F47" s="206" t="n">
        <f aca="false">-INDEX(Projektion!$D$26:$AQ$26,F$43)</f>
        <v>-2539.8</v>
      </c>
      <c r="G47" s="207"/>
      <c r="H47" s="206" t="n">
        <f aca="false">-INDEX(Projektion!$D$26:$AQ$26,H$43)</f>
        <v>-2590.596</v>
      </c>
      <c r="I47" s="206" t="n">
        <f aca="false">-INDEX(Projektion!$D$26:$AQ$26,I$43)</f>
        <v>-2695.2560784</v>
      </c>
      <c r="J47" s="207"/>
      <c r="K47" s="206" t="n">
        <f aca="false">-INDEX(Projektion!$D$26:$AQ$26,K$43)</f>
        <v>-2975.78049586955</v>
      </c>
      <c r="L47" s="206" t="n">
        <f aca="false">-INDEX(Projektion!$D$26:$AQ$26,L$43)</f>
        <v>-3285.50212002655</v>
      </c>
      <c r="M47" s="207"/>
      <c r="N47" s="206" t="n">
        <f aca="false">-INDEX(Projektion!$D$26:$AQ$26,N$43)</f>
        <v>-3627.45981959422</v>
      </c>
      <c r="O47" s="206" t="n">
        <f aca="false">-INDEX(Projektion!$D$26:$AQ$26,O$43)</f>
        <v>-4005.00875119331</v>
      </c>
      <c r="P47" s="207"/>
      <c r="Q47" s="206" t="n">
        <f aca="false">-INDEX(Projektion!$D$26:$AQ$26,Q$43)</f>
        <v>-4421.85327884054</v>
      </c>
      <c r="R47" s="206" t="n">
        <f aca="false">-INDEX(Projektion!$D$26:$AQ$26,R$43)</f>
        <v>-5390.21447294214</v>
      </c>
      <c r="AK47" s="187" t="e">
        <f aca="false">IF(28=Haltedauer,MAX(INDEX(Projektion!$D$41:$AQ$41,28),INDEX(Projektion!$D$43:$AQ$43,28))*1.12,NA())</f>
        <v>#N/A</v>
      </c>
      <c r="AL47" s="187" t="e">
        <f aca="false">IF(28=Haltedauer,INDEX(Projektion!$D$43:$AQ$43,28),NA())</f>
        <v>#N/A</v>
      </c>
    </row>
    <row r="48" customFormat="false" ht="18" hidden="false" customHeight="true" outlineLevel="0" collapsed="false">
      <c r="B48" s="72" t="s">
        <v>550</v>
      </c>
      <c r="C48" s="72"/>
      <c r="D48" s="72"/>
      <c r="E48" s="206" t="n">
        <f aca="false">-INDEX(Projektion!$D$32:$AQ$32,E$43)</f>
        <v>-14000</v>
      </c>
      <c r="F48" s="206" t="n">
        <f aca="false">-INDEX(Projektion!$D$32:$AQ$32,F$43)</f>
        <v>-14000</v>
      </c>
      <c r="G48" s="207"/>
      <c r="H48" s="206" t="n">
        <f aca="false">-INDEX(Projektion!$D$32:$AQ$32,H$43)</f>
        <v>-14000</v>
      </c>
      <c r="I48" s="206" t="n">
        <f aca="false">-INDEX(Projektion!$D$32:$AQ$32,I$43)</f>
        <v>-14000</v>
      </c>
      <c r="J48" s="207"/>
      <c r="K48" s="206" t="n">
        <f aca="false">-INDEX(Projektion!$D$32:$AQ$32,K$43)</f>
        <v>-14000</v>
      </c>
      <c r="L48" s="206" t="n">
        <f aca="false">-INDEX(Projektion!$D$32:$AQ$32,L$43)</f>
        <v>-14000</v>
      </c>
      <c r="M48" s="207"/>
      <c r="N48" s="206" t="n">
        <f aca="false">-INDEX(Projektion!$D$32:$AQ$32,N$43)</f>
        <v>-14000</v>
      </c>
      <c r="O48" s="206" t="n">
        <f aca="false">-INDEX(Projektion!$D$32:$AQ$32,O$43)</f>
        <v>-14000</v>
      </c>
      <c r="P48" s="207"/>
      <c r="Q48" s="206" t="n">
        <f aca="false">-INDEX(Projektion!$D$32:$AQ$32,Q$43)</f>
        <v>-14000</v>
      </c>
      <c r="R48" s="206" t="n">
        <f aca="false">-INDEX(Projektion!$D$32:$AQ$32,R$43)</f>
        <v>-0</v>
      </c>
      <c r="AK48" s="187" t="e">
        <f aca="false">IF(29=Haltedauer,MAX(INDEX(Projektion!$D$41:$AQ$41,29),INDEX(Projektion!$D$43:$AQ$43,29))*1.12,NA())</f>
        <v>#N/A</v>
      </c>
      <c r="AL48" s="187" t="e">
        <f aca="false">IF(29=Haltedauer,INDEX(Projektion!$D$43:$AQ$43,29),NA())</f>
        <v>#N/A</v>
      </c>
    </row>
    <row r="49" customFormat="false" ht="19.5" hidden="false" customHeight="true" outlineLevel="0" collapsed="false">
      <c r="B49" s="143" t="s">
        <v>551</v>
      </c>
      <c r="C49" s="143"/>
      <c r="D49" s="143"/>
      <c r="E49" s="208" t="n">
        <f aca="false">-INDEX(Projektion!$D$30:$AQ$30,E$43)</f>
        <v>-9000</v>
      </c>
      <c r="F49" s="208" t="n">
        <f aca="false">-INDEX(Projektion!$D$30:$AQ$30,F$43)</f>
        <v>-8820</v>
      </c>
      <c r="G49" s="209"/>
      <c r="H49" s="208" t="n">
        <f aca="false">-INDEX(Projektion!$D$30:$AQ$30,H$43)</f>
        <v>-8633.52</v>
      </c>
      <c r="I49" s="208" t="n">
        <f aca="false">-INDEX(Projektion!$D$30:$AQ$30,I$43)</f>
        <v>-8240.17848192</v>
      </c>
      <c r="J49" s="209"/>
      <c r="K49" s="208" t="n">
        <f aca="false">-INDEX(Projektion!$D$30:$AQ$30,K$43)</f>
        <v>-7126.02729974753</v>
      </c>
      <c r="L49" s="208" t="n">
        <f aca="false">-INDEX(Projektion!$D$30:$AQ$30,L$43)</f>
        <v>-7558.25940690232</v>
      </c>
      <c r="M49" s="209"/>
      <c r="N49" s="208" t="n">
        <f aca="false">-INDEX(Projektion!$D$30:$AQ$30,N$43)</f>
        <v>-5972.41922583474</v>
      </c>
      <c r="O49" s="208" t="n">
        <f aca="false">-INDEX(Projektion!$D$30:$AQ$30,O$43)</f>
        <v>-3996.17383618376</v>
      </c>
      <c r="P49" s="209"/>
      <c r="Q49" s="208" t="n">
        <f aca="false">-INDEX(Projektion!$D$30:$AQ$30,Q$43)</f>
        <v>-1533.41252723045</v>
      </c>
      <c r="R49" s="208" t="n">
        <f aca="false">-INDEX(Projektion!$D$30:$AQ$30,R$43)</f>
        <v>-0</v>
      </c>
      <c r="AK49" s="187" t="e">
        <f aca="false">IF(30=Haltedauer,MAX(INDEX(Projektion!$D$41:$AQ$41,30),INDEX(Projektion!$D$43:$AQ$43,30))*1.12,NA())</f>
        <v>#N/A</v>
      </c>
      <c r="AL49" s="187" t="e">
        <f aca="false">IF(30=Haltedauer,INDEX(Projektion!$D$43:$AQ$43,30),NA())</f>
        <v>#N/A</v>
      </c>
    </row>
    <row r="50" customFormat="false" ht="19.5" hidden="false" customHeight="true" outlineLevel="0" collapsed="false">
      <c r="B50" s="143" t="s">
        <v>552</v>
      </c>
      <c r="C50" s="143"/>
      <c r="D50" s="143"/>
      <c r="E50" s="208" t="n">
        <f aca="false">-INDEX(Projektion!$D$31:$AQ$31,E$43)</f>
        <v>-5000</v>
      </c>
      <c r="F50" s="208" t="n">
        <f aca="false">-INDEX(Projektion!$D$31:$AQ$31,F$43)</f>
        <v>-5180</v>
      </c>
      <c r="G50" s="209"/>
      <c r="H50" s="208" t="n">
        <f aca="false">-INDEX(Projektion!$D$31:$AQ$31,H$43)</f>
        <v>-5366.48</v>
      </c>
      <c r="I50" s="208" t="n">
        <f aca="false">-INDEX(Projektion!$D$31:$AQ$31,I$43)</f>
        <v>-5759.82151808</v>
      </c>
      <c r="J50" s="209"/>
      <c r="K50" s="208" t="n">
        <f aca="false">-INDEX(Projektion!$D$31:$AQ$31,K$43)</f>
        <v>-6873.97270025247</v>
      </c>
      <c r="L50" s="208" t="n">
        <f aca="false">-INDEX(Projektion!$D$31:$AQ$31,L$43)</f>
        <v>-6441.74059309768</v>
      </c>
      <c r="M50" s="209"/>
      <c r="N50" s="208" t="n">
        <f aca="false">-INDEX(Projektion!$D$31:$AQ$31,N$43)</f>
        <v>-8027.58077416526</v>
      </c>
      <c r="O50" s="208" t="n">
        <f aca="false">-INDEX(Projektion!$D$31:$AQ$31,O$43)</f>
        <v>-10003.8261638162</v>
      </c>
      <c r="P50" s="209"/>
      <c r="Q50" s="208" t="n">
        <f aca="false">-INDEX(Projektion!$D$31:$AQ$31,Q$43)</f>
        <v>-12466.5874727695</v>
      </c>
      <c r="R50" s="208" t="n">
        <f aca="false">-INDEX(Projektion!$D$31:$AQ$31,R$43)</f>
        <v>-0</v>
      </c>
      <c r="AK50" s="187" t="e">
        <f aca="false">IF(31=Haltedauer,MAX(INDEX(Projektion!$D$41:$AQ$41,31),INDEX(Projektion!$D$43:$AQ$43,31))*1.12,NA())</f>
        <v>#N/A</v>
      </c>
      <c r="AL50" s="187" t="e">
        <f aca="false">IF(31=Haltedauer,INDEX(Projektion!$D$43:$AQ$43,31),NA())</f>
        <v>#N/A</v>
      </c>
    </row>
    <row r="51" customFormat="false" ht="18" hidden="false" customHeight="true" outlineLevel="0" collapsed="false">
      <c r="B51" s="141" t="s">
        <v>553</v>
      </c>
      <c r="C51" s="141"/>
      <c r="D51" s="141"/>
      <c r="E51" s="210" t="n">
        <f aca="false">INDEX(Projektion!$D$33:$AQ$33,E$43)</f>
        <v>-5432</v>
      </c>
      <c r="F51" s="210" t="n">
        <f aca="false">INDEX(Projektion!$D$33:$AQ$33,F$43)</f>
        <v>-5260.64</v>
      </c>
      <c r="G51" s="211"/>
      <c r="H51" s="210" t="n">
        <f aca="false">INDEX(Projektion!$D$33:$AQ$33,H$43)</f>
        <v>-5085.8528</v>
      </c>
      <c r="I51" s="210" t="n">
        <f aca="false">INDEX(Projektion!$D$33:$AQ$33,I$43)</f>
        <v>-4725.72125312</v>
      </c>
      <c r="J51" s="211"/>
      <c r="K51" s="210" t="n">
        <f aca="false">INDEX(Projektion!$D$33:$AQ$33,K$43)</f>
        <v>-3760.44687204404</v>
      </c>
      <c r="L51" s="210" t="n">
        <f aca="false">INDEX(Projektion!$D$33:$AQ$33,L$43)</f>
        <v>-2694.70595807731</v>
      </c>
      <c r="M51" s="211"/>
      <c r="N51" s="210" t="n">
        <f aca="false">INDEX(Projektion!$D$33:$AQ$33,N$43)</f>
        <v>-1518.04187378182</v>
      </c>
      <c r="O51" s="210" t="n">
        <f aca="false">INDEX(Projektion!$D$33:$AQ$33,O$43)</f>
        <v>-218.909646496259</v>
      </c>
      <c r="P51" s="211"/>
      <c r="Q51" s="210" t="n">
        <f aca="false">INDEX(Projektion!$D$33:$AQ$33,Q$43)</f>
        <v>1215.43730646818</v>
      </c>
      <c r="R51" s="210" t="n">
        <f aca="false">INDEX(Projektion!$D$33:$AQ$33,R$43)</f>
        <v>18547.5331743648</v>
      </c>
      <c r="AK51" s="187" t="e">
        <f aca="false">IF(32=Haltedauer,MAX(INDEX(Projektion!$D$41:$AQ$41,32),INDEX(Projektion!$D$43:$AQ$43,32))*1.12,NA())</f>
        <v>#N/A</v>
      </c>
      <c r="AL51" s="187" t="e">
        <f aca="false">IF(32=Haltedauer,INDEX(Projektion!$D$43:$AQ$43,32),NA())</f>
        <v>#N/A</v>
      </c>
    </row>
    <row r="52" customFormat="false" ht="18" hidden="false" customHeight="true" outlineLevel="0" collapsed="false">
      <c r="B52" s="72" t="s">
        <v>554</v>
      </c>
      <c r="C52" s="72"/>
      <c r="D52" s="72"/>
      <c r="E52" s="212" t="n">
        <f aca="false">-INDEX(Projektion!$D$35:$AQ$35,E$43)</f>
        <v>8510.39654952701</v>
      </c>
      <c r="F52" s="212" t="n">
        <f aca="false">-INDEX(Projektion!$D$35:$AQ$35,F$43)</f>
        <v>1973.67654264701</v>
      </c>
      <c r="G52" s="207"/>
      <c r="H52" s="212" t="n">
        <f aca="false">-INDEX(Projektion!$D$35:$AQ$35,H$43)</f>
        <v>1792.68658218941</v>
      </c>
      <c r="I52" s="212" t="n">
        <f aca="false">-INDEX(Projektion!$D$35:$AQ$35,I$43)</f>
        <v>1415.55693195547</v>
      </c>
      <c r="J52" s="207"/>
      <c r="K52" s="212" t="n">
        <f aca="false">-INDEX(Projektion!$D$35:$AQ$35,K$43)</f>
        <v>377.030050440955</v>
      </c>
      <c r="L52" s="212" t="n">
        <f aca="false">-INDEX(Projektion!$D$35:$AQ$35,L$43)</f>
        <v>-370.677076027957</v>
      </c>
      <c r="M52" s="207"/>
      <c r="N52" s="212" t="n">
        <f aca="false">-INDEX(Projektion!$D$35:$AQ$35,N$43)</f>
        <v>-1741.96503633918</v>
      </c>
      <c r="O52" s="212" t="n">
        <f aca="false">-INDEX(Projektion!$D$35:$AQ$35,O$43)</f>
        <v>-3360.22181081657</v>
      </c>
      <c r="P52" s="207"/>
      <c r="Q52" s="212" t="n">
        <f aca="false">-INDEX(Projektion!$D$35:$AQ$35,Q$43)</f>
        <v>-5276.8151171361</v>
      </c>
      <c r="R52" s="212" t="n">
        <f aca="false">-INDEX(Projektion!$D$35:$AQ$35,R$43)</f>
        <v>-7791.99466323314</v>
      </c>
      <c r="AK52" s="187" t="e">
        <f aca="false">IF(33=Haltedauer,MAX(INDEX(Projektion!$D$41:$AQ$41,33),INDEX(Projektion!$D$43:$AQ$43,33))*1.12,NA())</f>
        <v>#N/A</v>
      </c>
      <c r="AL52" s="187" t="e">
        <f aca="false">IF(33=Haltedauer,INDEX(Projektion!$D$43:$AQ$43,33),NA())</f>
        <v>#N/A</v>
      </c>
    </row>
    <row r="53" customFormat="false" ht="18" hidden="false" customHeight="true" outlineLevel="0" collapsed="false">
      <c r="B53" s="73" t="s">
        <v>555</v>
      </c>
      <c r="C53" s="73"/>
      <c r="D53" s="73"/>
      <c r="E53" s="213" t="n">
        <f aca="false">INDEX(Projektion!$D$36:$AQ$36,E$43)</f>
        <v>3078.39654952701</v>
      </c>
      <c r="F53" s="213" t="n">
        <f aca="false">INDEX(Projektion!$D$36:$AQ$36,F$43)</f>
        <v>-3286.96345735299</v>
      </c>
      <c r="G53" s="214"/>
      <c r="H53" s="213" t="n">
        <f aca="false">INDEX(Projektion!$D$36:$AQ$36,H$43)</f>
        <v>-3293.16621781059</v>
      </c>
      <c r="I53" s="213" t="n">
        <f aca="false">INDEX(Projektion!$D$36:$AQ$36,I$43)</f>
        <v>-3310.16432116452</v>
      </c>
      <c r="J53" s="214"/>
      <c r="K53" s="213" t="n">
        <f aca="false">INDEX(Projektion!$D$36:$AQ$36,K$43)</f>
        <v>-3383.41682160308</v>
      </c>
      <c r="L53" s="213" t="n">
        <f aca="false">INDEX(Projektion!$D$36:$AQ$36,L$43)</f>
        <v>-3065.38303410527</v>
      </c>
      <c r="M53" s="214"/>
      <c r="N53" s="213" t="n">
        <f aca="false">INDEX(Projektion!$D$36:$AQ$36,N$43)</f>
        <v>-3260.006910121</v>
      </c>
      <c r="O53" s="213" t="n">
        <f aca="false">INDEX(Projektion!$D$36:$AQ$36,O$43)</f>
        <v>-3579.13145731283</v>
      </c>
      <c r="P53" s="214"/>
      <c r="Q53" s="213" t="n">
        <f aca="false">INDEX(Projektion!$D$36:$AQ$36,Q$43)</f>
        <v>-4061.37781066792</v>
      </c>
      <c r="R53" s="213" t="n">
        <f aca="false">INDEX(Projektion!$D$36:$AQ$36,R$43)</f>
        <v>10755.5385111316</v>
      </c>
      <c r="AK53" s="187" t="e">
        <f aca="false">IF(34=Haltedauer,MAX(INDEX(Projektion!$D$41:$AQ$41,34),INDEX(Projektion!$D$43:$AQ$43,34))*1.12,NA())</f>
        <v>#N/A</v>
      </c>
      <c r="AL53" s="187" t="e">
        <f aca="false">IF(34=Haltedauer,INDEX(Projektion!$D$43:$AQ$43,34),NA())</f>
        <v>#N/A</v>
      </c>
    </row>
    <row r="54" customFormat="false" ht="18" hidden="false" customHeight="true" outlineLevel="0" collapsed="false">
      <c r="B54" s="72" t="s">
        <v>556</v>
      </c>
      <c r="C54" s="72"/>
      <c r="D54" s="72"/>
      <c r="E54" s="206" t="n">
        <f aca="false">INDEX(Projektion!$D$38:$AQ$38,E$43)</f>
        <v>3078.39654952701</v>
      </c>
      <c r="F54" s="206" t="n">
        <f aca="false">INDEX(Projektion!$D$38:$AQ$38,F$43)</f>
        <v>-208.566907825983</v>
      </c>
      <c r="G54" s="207"/>
      <c r="H54" s="206" t="n">
        <f aca="false">INDEX(Projektion!$D$38:$AQ$38,H$43)</f>
        <v>-3501.73312563657</v>
      </c>
      <c r="I54" s="206" t="n">
        <f aca="false">INDEX(Projektion!$D$38:$AQ$38,I$43)</f>
        <v>-10112.7706948423</v>
      </c>
      <c r="J54" s="207"/>
      <c r="K54" s="206" t="n">
        <f aca="false">INDEX(Projektion!$D$38:$AQ$38,K$43)</f>
        <v>-26864.4217038226</v>
      </c>
      <c r="L54" s="206" t="n">
        <f aca="false">INDEX(Projektion!$D$38:$AQ$38,L$43)</f>
        <v>-41957.8642652334</v>
      </c>
      <c r="M54" s="207"/>
      <c r="N54" s="206" t="n">
        <f aca="false">INDEX(Projektion!$D$38:$AQ$38,N$43)</f>
        <v>-57825.4667610762</v>
      </c>
      <c r="O54" s="206" t="n">
        <f aca="false">INDEX(Projektion!$D$38:$AQ$38,O$43)</f>
        <v>-75026.0266916726</v>
      </c>
      <c r="P54" s="207"/>
      <c r="Q54" s="206" t="n">
        <f aca="false">INDEX(Projektion!$D$38:$AQ$38,Q$43)</f>
        <v>-94294.2313455335</v>
      </c>
      <c r="R54" s="206" t="n">
        <f aca="false">INDEX(Projektion!$D$38:$AQ$38,R$43)</f>
        <v>-16195.5435786783</v>
      </c>
      <c r="AK54" s="187" t="e">
        <f aca="false">IF(35=Haltedauer,MAX(INDEX(Projektion!$D$41:$AQ$41,35),INDEX(Projektion!$D$43:$AQ$43,35))*1.12,NA())</f>
        <v>#N/A</v>
      </c>
      <c r="AL54" s="187" t="e">
        <f aca="false">IF(35=Haltedauer,INDEX(Projektion!$D$43:$AQ$43,35),NA())</f>
        <v>#N/A</v>
      </c>
    </row>
    <row r="55" customFormat="false" ht="21.75" hidden="false" customHeight="true" outlineLevel="0" collapsed="false">
      <c r="B55" s="145" t="s">
        <v>557</v>
      </c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AK55" s="187" t="e">
        <f aca="false">IF(36=Haltedauer,MAX(INDEX(Projektion!$D$41:$AQ$41,36),INDEX(Projektion!$D$43:$AQ$43,36))*1.12,NA())</f>
        <v>#N/A</v>
      </c>
      <c r="AL55" s="187" t="e">
        <f aca="false">IF(36=Haltedauer,INDEX(Projektion!$D$43:$AQ$43,36),NA())</f>
        <v>#N/A</v>
      </c>
    </row>
    <row r="56" customFormat="false" ht="18" hidden="false" customHeight="true" outlineLevel="0" collapsed="false">
      <c r="B56" s="72" t="s">
        <v>558</v>
      </c>
      <c r="C56" s="72"/>
      <c r="D56" s="72"/>
      <c r="E56" s="206" t="n">
        <f aca="false">INDEX(Steuern!$D$56:$AQ$56,E$43)</f>
        <v>5685.35693430657</v>
      </c>
      <c r="F56" s="206" t="n">
        <f aca="false">INDEX(Steuern!$D$56:$AQ$56,F$43)</f>
        <v>5685.35693430657</v>
      </c>
      <c r="G56" s="207"/>
      <c r="H56" s="206" t="n">
        <f aca="false">INDEX(Steuern!$D$56:$AQ$56,H$43)</f>
        <v>5685.35693430657</v>
      </c>
      <c r="I56" s="206" t="n">
        <f aca="false">INDEX(Steuern!$D$56:$AQ$56,I$43)</f>
        <v>5685.35693430657</v>
      </c>
      <c r="J56" s="207"/>
      <c r="K56" s="206" t="n">
        <f aca="false">INDEX(Steuern!$D$56:$AQ$56,K$43)</f>
        <v>5685.35693430657</v>
      </c>
      <c r="L56" s="206" t="n">
        <f aca="false">INDEX(Steuern!$D$56:$AQ$56,L$43)</f>
        <v>4885.35693430657</v>
      </c>
      <c r="M56" s="207"/>
      <c r="N56" s="206" t="n">
        <f aca="false">INDEX(Steuern!$D$56:$AQ$56,N$43)</f>
        <v>4885.35693430657</v>
      </c>
      <c r="O56" s="206" t="n">
        <f aca="false">INDEX(Steuern!$D$56:$AQ$56,O$43)</f>
        <v>4885.35693430657</v>
      </c>
      <c r="P56" s="207"/>
      <c r="Q56" s="206" t="n">
        <f aca="false">INDEX(Steuern!$D$56:$AQ$56,Q$43)</f>
        <v>4885.35693430657</v>
      </c>
      <c r="R56" s="206" t="n">
        <f aca="false">INDEX(Steuern!$D$56:$AQ$56,R$43)</f>
        <v>4885.35693430657</v>
      </c>
      <c r="AK56" s="187" t="e">
        <f aca="false">IF(37=Haltedauer,MAX(INDEX(Projektion!$D$41:$AQ$41,37),INDEX(Projektion!$D$43:$AQ$43,37))*1.12,NA())</f>
        <v>#N/A</v>
      </c>
      <c r="AL56" s="187" t="e">
        <f aca="false">IF(37=Haltedauer,INDEX(Projektion!$D$43:$AQ$43,37),NA())</f>
        <v>#N/A</v>
      </c>
    </row>
    <row r="57" customFormat="false" ht="18" hidden="false" customHeight="true" outlineLevel="0" collapsed="false">
      <c r="B57" s="72" t="s">
        <v>559</v>
      </c>
      <c r="C57" s="72"/>
      <c r="D57" s="72"/>
      <c r="E57" s="206" t="n">
        <f aca="false">INDEX(Steuern!$D$67:$AQ$67,E$43)</f>
        <v>-18397.3569343066</v>
      </c>
      <c r="F57" s="206" t="n">
        <f aca="false">INDEX(Steuern!$D$67:$AQ$67,F$43)</f>
        <v>-4266.59693430657</v>
      </c>
      <c r="G57" s="207"/>
      <c r="H57" s="206" t="n">
        <f aca="false">INDEX(Steuern!$D$67:$AQ$67,H$43)</f>
        <v>-3875.34173430657</v>
      </c>
      <c r="I57" s="206" t="n">
        <f aca="false">INDEX(Steuern!$D$67:$AQ$67,I$43)</f>
        <v>-3060.08139414657</v>
      </c>
      <c r="J57" s="207"/>
      <c r="K57" s="206" t="n">
        <f aca="false">INDEX(Steuern!$D$67:$AQ$67,K$43)</f>
        <v>-815.045030223342</v>
      </c>
      <c r="L57" s="206" t="n">
        <f aca="false">INDEX(Steuern!$D$67:$AQ$67,L$43)</f>
        <v>801.311482416226</v>
      </c>
      <c r="M57" s="207"/>
      <c r="N57" s="206" t="n">
        <f aca="false">INDEX(Steuern!$D$67:$AQ$67,N$43)</f>
        <v>3765.69438969274</v>
      </c>
      <c r="O57" s="206" t="n">
        <f aca="false">INDEX(Steuern!$D$67:$AQ$67,O$43)</f>
        <v>7263.96233974199</v>
      </c>
      <c r="P57" s="207"/>
      <c r="Q57" s="206" t="n">
        <f aca="false">INDEX(Steuern!$D$67:$AQ$67,Q$43)</f>
        <v>11407.1595396683</v>
      </c>
      <c r="R57" s="206" t="n">
        <f aca="false">INDEX(Steuern!$D$67:$AQ$67,R$43)</f>
        <v>16844.3510493855</v>
      </c>
      <c r="AK57" s="187" t="e">
        <f aca="false">IF(38=Haltedauer,MAX(INDEX(Projektion!$D$41:$AQ$41,38),INDEX(Projektion!$D$43:$AQ$43,38))*1.12,NA())</f>
        <v>#N/A</v>
      </c>
      <c r="AL57" s="187" t="e">
        <f aca="false">IF(38=Haltedauer,INDEX(Projektion!$D$43:$AQ$43,38),NA())</f>
        <v>#N/A</v>
      </c>
    </row>
    <row r="58" customFormat="false" ht="21.75" hidden="false" customHeight="true" outlineLevel="0" collapsed="false">
      <c r="B58" s="145" t="s">
        <v>560</v>
      </c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AK58" s="187" t="e">
        <f aca="false">IF(39=Haltedauer,MAX(INDEX(Projektion!$D$41:$AQ$41,39),INDEX(Projektion!$D$43:$AQ$43,39))*1.12,NA())</f>
        <v>#N/A</v>
      </c>
      <c r="AL58" s="187" t="e">
        <f aca="false">IF(39=Haltedauer,INDEX(Projektion!$D$43:$AQ$43,39),NA())</f>
        <v>#N/A</v>
      </c>
    </row>
    <row r="59" customFormat="false" ht="18" hidden="false" customHeight="true" outlineLevel="0" collapsed="false">
      <c r="B59" s="72" t="s">
        <v>561</v>
      </c>
      <c r="C59" s="72"/>
      <c r="D59" s="72"/>
      <c r="E59" s="206" t="n">
        <f aca="false">INDEX(Projektion!$D$41:$AQ$41,E$43)</f>
        <v>302940</v>
      </c>
      <c r="F59" s="206" t="n">
        <f aca="false">INDEX(Projektion!$D$41:$AQ$41,F$43)</f>
        <v>308998.8</v>
      </c>
      <c r="G59" s="207"/>
      <c r="H59" s="206" t="n">
        <f aca="false">INDEX(Projektion!$D$41:$AQ$41,H$43)</f>
        <v>315178.776</v>
      </c>
      <c r="I59" s="206" t="n">
        <f aca="false">INDEX(Projektion!$D$41:$AQ$41,I$43)</f>
        <v>327911.9985504</v>
      </c>
      <c r="J59" s="207"/>
      <c r="K59" s="206" t="n">
        <f aca="false">INDEX(Projektion!$D$41:$AQ$41,K$43)</f>
        <v>362041.342738443</v>
      </c>
      <c r="L59" s="206" t="n">
        <f aca="false">INDEX(Projektion!$D$41:$AQ$41,L$43)</f>
        <v>399722.896482267</v>
      </c>
      <c r="M59" s="207"/>
      <c r="N59" s="206" t="n">
        <f aca="false">INDEX(Projektion!$D$41:$AQ$41,N$43)</f>
        <v>441326.376605572</v>
      </c>
      <c r="O59" s="206" t="n">
        <f aca="false">INDEX(Projektion!$D$41:$AQ$41,O$43)</f>
        <v>487259.980356025</v>
      </c>
      <c r="P59" s="207"/>
      <c r="Q59" s="206" t="n">
        <f aca="false">INDEX(Projektion!$D$41:$AQ$41,Q$43)</f>
        <v>537974.390478696</v>
      </c>
      <c r="R59" s="206" t="n">
        <f aca="false">INDEX(Projektion!$D$41:$AQ$41,R$43)</f>
        <v>655787.780093612</v>
      </c>
      <c r="AK59" s="187" t="e">
        <f aca="false">IF(40=Haltedauer,MAX(INDEX(Projektion!$D$41:$AQ$41,40),INDEX(Projektion!$D$43:$AQ$43,40))*1.12,NA())</f>
        <v>#N/A</v>
      </c>
      <c r="AL59" s="187" t="e">
        <f aca="false">IF(40=Haltedauer,INDEX(Projektion!$D$43:$AQ$43,40),NA())</f>
        <v>#N/A</v>
      </c>
    </row>
    <row r="60" customFormat="false" ht="18" hidden="false" customHeight="true" outlineLevel="0" collapsed="false">
      <c r="B60" s="72" t="s">
        <v>562</v>
      </c>
      <c r="C60" s="72"/>
      <c r="D60" s="72"/>
      <c r="E60" s="206" t="n">
        <f aca="false">-INDEX(Projektion!$D$42:$AQ$42,E$43)</f>
        <v>-245000</v>
      </c>
      <c r="F60" s="206" t="n">
        <f aca="false">-INDEX(Projektion!$D$42:$AQ$42,F$43)</f>
        <v>-239820</v>
      </c>
      <c r="G60" s="207"/>
      <c r="H60" s="206" t="n">
        <f aca="false">-INDEX(Projektion!$D$42:$AQ$42,H$43)</f>
        <v>-234453.52</v>
      </c>
      <c r="I60" s="206" t="n">
        <f aca="false">-INDEX(Projektion!$D$42:$AQ$42,I$43)</f>
        <v>-223134.02520192</v>
      </c>
      <c r="J60" s="207"/>
      <c r="K60" s="206" t="n">
        <f aca="false">-INDEX(Projektion!$D$42:$AQ$42,K$43)</f>
        <v>-191071.230070512</v>
      </c>
      <c r="L60" s="206" t="n">
        <f aca="false">-INDEX(Projektion!$D$42:$AQ$42,L$43)</f>
        <v>-161519.579560287</v>
      </c>
      <c r="M60" s="207"/>
      <c r="N60" s="206" t="n">
        <f aca="false">-INDEX(Projektion!$D$42:$AQ$42,N$43)</f>
        <v>-124692.846466607</v>
      </c>
      <c r="O60" s="206" t="n">
        <f aca="false">-INDEX(Projektion!$D$42:$AQ$42,O$43)</f>
        <v>-78800.0368624896</v>
      </c>
      <c r="P60" s="207"/>
      <c r="Q60" s="206" t="n">
        <f aca="false">-INDEX(Projektion!$D$42:$AQ$42,Q$43)</f>
        <v>-21609.2464656849</v>
      </c>
      <c r="R60" s="206" t="n">
        <f aca="false">-INDEX(Projektion!$D$42:$AQ$42,R$43)</f>
        <v>-0</v>
      </c>
    </row>
    <row r="61" customFormat="false" ht="18" hidden="false" customHeight="true" outlineLevel="0" collapsed="false">
      <c r="B61" s="73" t="s">
        <v>563</v>
      </c>
      <c r="C61" s="73"/>
      <c r="D61" s="73"/>
      <c r="E61" s="213" t="n">
        <f aca="false">INDEX(Projektion!$D$43:$AQ$43,E$43)</f>
        <v>57940</v>
      </c>
      <c r="F61" s="213" t="n">
        <f aca="false">INDEX(Projektion!$D$43:$AQ$43,F$43)</f>
        <v>69178.8</v>
      </c>
      <c r="G61" s="214"/>
      <c r="H61" s="213" t="n">
        <f aca="false">INDEX(Projektion!$D$43:$AQ$43,H$43)</f>
        <v>80725.256</v>
      </c>
      <c r="I61" s="213" t="n">
        <f aca="false">INDEX(Projektion!$D$43:$AQ$43,I$43)</f>
        <v>104777.97334848</v>
      </c>
      <c r="J61" s="214"/>
      <c r="K61" s="213" t="n">
        <f aca="false">INDEX(Projektion!$D$43:$AQ$43,K$43)</f>
        <v>170970.112667931</v>
      </c>
      <c r="L61" s="213" t="n">
        <f aca="false">INDEX(Projektion!$D$43:$AQ$43,L$43)</f>
        <v>238203.31692198</v>
      </c>
      <c r="M61" s="214"/>
      <c r="N61" s="213" t="n">
        <f aca="false">INDEX(Projektion!$D$43:$AQ$43,N$43)</f>
        <v>316633.530138965</v>
      </c>
      <c r="O61" s="213" t="n">
        <f aca="false">INDEX(Projektion!$D$43:$AQ$43,O$43)</f>
        <v>408459.943493536</v>
      </c>
      <c r="P61" s="214"/>
      <c r="Q61" s="213" t="n">
        <f aca="false">INDEX(Projektion!$D$43:$AQ$43,Q$43)</f>
        <v>516365.144013012</v>
      </c>
      <c r="R61" s="213" t="n">
        <f aca="false">INDEX(Projektion!$D$43:$AQ$43,R$43)</f>
        <v>655787.780093612</v>
      </c>
    </row>
    <row r="62" customFormat="false" ht="18" hidden="false" customHeight="true" outlineLevel="0" collapsed="false">
      <c r="B62" s="72" t="s">
        <v>564</v>
      </c>
      <c r="C62" s="72"/>
      <c r="D62" s="72"/>
      <c r="E62" s="110" t="n">
        <f aca="false">INDEX(Projektion!$D$45:$AQ$45,E$43)</f>
        <v>0.177505353620814</v>
      </c>
      <c r="F62" s="110" t="n">
        <f aca="false">INDEX(Projektion!$D$45:$AQ$45,F$43)</f>
        <v>0.100688659537534</v>
      </c>
      <c r="G62" s="207"/>
      <c r="H62" s="110" t="n">
        <f aca="false">INDEX(Projektion!$D$45:$AQ$45,H$43)</f>
        <v>0.104505755429784</v>
      </c>
      <c r="I62" s="110" t="n">
        <f aca="false">INDEX(Projektion!$D$45:$AQ$45,I$43)</f>
        <v>0.112432547560484</v>
      </c>
      <c r="J62" s="207"/>
      <c r="K62" s="110" t="n">
        <f aca="false">INDEX(Projektion!$D$45:$AQ$45,K$43)</f>
        <v>0.134086391636109</v>
      </c>
      <c r="L62" s="110" t="n">
        <f aca="false">INDEX(Projektion!$D$45:$AQ$45,L$43)</f>
        <v>0.141995978595444</v>
      </c>
      <c r="M62" s="207"/>
      <c r="N62" s="110" t="n">
        <f aca="false">INDEX(Projektion!$D$45:$AQ$45,N$43)</f>
        <v>0.169941338392258</v>
      </c>
      <c r="O62" s="110" t="n">
        <f aca="false">INDEX(Projektion!$D$45:$AQ$45,O$43)</f>
        <v>0.202328751285368</v>
      </c>
      <c r="P62" s="207"/>
      <c r="Q62" s="110" t="n">
        <f aca="false">INDEX(Projektion!$D$45:$AQ$45,Q$43)</f>
        <v>0.239998064216528</v>
      </c>
      <c r="R62" s="110" t="n">
        <f aca="false">INDEX(Projektion!$D$45:$AQ$45,R$43)</f>
        <v>0.299009457920414</v>
      </c>
      <c r="AK62" s="194" t="str">
        <f aca="false">"Verkauf "&amp;INDEX(Projektion!$D$10:$AQ$10,Haltedauer)&amp;CHAR(10)&amp;"Nettovermögen"&amp;CHAR(10)&amp;FIXED(INDEX(Projektion!$D$43:$AQ$43,Haltedauer)/1000,0)&amp;" T€"</f>
        <v>Verkauf 2037
Nettovermögen
197 T€</v>
      </c>
    </row>
    <row r="63" customFormat="false" ht="19.5" hidden="false" customHeight="true" outlineLevel="0" collapsed="false">
      <c r="B63" s="41" t="s">
        <v>565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197" t="s">
        <v>566</v>
      </c>
      <c r="O63" s="197"/>
      <c r="P63" s="197"/>
      <c r="Q63" s="197"/>
      <c r="R63" s="197"/>
    </row>
    <row r="64" customFormat="false" ht="15" hidden="false" customHeight="true" outlineLevel="0" collapsed="false"/>
    <row r="65" customFormat="false" ht="24" hidden="false" customHeight="true" outlineLevel="0" collapsed="false">
      <c r="B65" s="33" t="s">
        <v>567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35" t="str">
        <f aca="false">IF(COUNTIF(Cockpit!$AB$50:$AB$74,"⚠*")=0,"Keine Warnungen",IF(COUNTIF(Cockpit!$AB$50:$AB$74,"⚠*")=1,"1 Warnung",COUNTIF(Cockpit!$AB$50:$AB$74,"⚠*")&amp;" Warnungen"))&amp;"  ·  "&amp;IF(COUNT($AJ$20:$AJ$44)-COUNTIF(Cockpit!$AB$50:$AB$74,"⚠*")=0,"keine Hinweise",IF(COUNT($AJ$20:$AJ$44)-COUNTIF(Cockpit!$AB$50:$AB$74,"⚠*")=1,"1 Hinweis",(COUNT($AJ$20:$AJ$44)-COUNTIF(Cockpit!$AB$50:$AB$74,"⚠*"))&amp;" Hinweise"))</f>
        <v>1 Warnung  ·  3 Hinweise</v>
      </c>
    </row>
    <row r="66" customFormat="false" ht="6" hidden="false" customHeight="true" outlineLevel="0" collapsed="false"/>
    <row r="67" customFormat="false" ht="21.75" hidden="false" customHeight="true" outlineLevel="0" collapsed="false">
      <c r="B67" s="215" t="str">
        <f aca="false">IF(COUNT($AJ$20:$AJ$44)=0,"Keine Prüfhinweise – alle Plausibilitätsprüfungen ohne Befund.",IF(LEFT(IFERROR(INDEX(Cockpit!$AB$50:$AB$74,MATCH(SMALL($AJ$20:$AJ$44,1),$AJ$20:$AJ$44,0)),""),1)="⚠","▲  "&amp;TRIM(MID(IFERROR(INDEX(Cockpit!$AB$50:$AB$74,MATCH(SMALL($AJ$20:$AJ$44,1),$AJ$20:$AJ$44,0)),""),2,999)),IF(LEFT(IFERROR(INDEX(Cockpit!$AB$50:$AB$74,MATCH(SMALL($AJ$20:$AJ$44,1),$AJ$20:$AJ$44,0)),""),1)="ℹ","•  "&amp;TRIM(MID(IFERROR(INDEX(Cockpit!$AB$50:$AB$74,MATCH(SMALL($AJ$20:$AJ$44,1),$AJ$20:$AJ$44,0)),""),2,999)),IFERROR(INDEX(Cockpit!$AB$50:$AB$74,MATCH(SMALL($AJ$20:$AJ$44,1),$AJ$20:$AJ$44,0)),""))))</f>
        <v>▲  Kapitaldienstdeckung (DSCR) im Jahr 1 nur 0.61 – Banken erwarten meist ≥ 1,1 bis 1,2 (NOI / Kapitaldienst).</v>
      </c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</row>
    <row r="68" customFormat="false" ht="21.75" hidden="false" customHeight="true" outlineLevel="0" collapsed="false">
      <c r="B68" s="215" t="str">
        <f aca="false">IF(LEFT(IFERROR(INDEX(Cockpit!$AB$50:$AB$74,MATCH(SMALL($AJ$20:$AJ$44,2),$AJ$20:$AJ$44,0)),""),1)="⚠","▲  "&amp;TRIM(MID(IFERROR(INDEX(Cockpit!$AB$50:$AB$74,MATCH(SMALL($AJ$20:$AJ$44,2),$AJ$20:$AJ$44,0)),""),2,999)),IF(LEFT(IFERROR(INDEX(Cockpit!$AB$50:$AB$74,MATCH(SMALL($AJ$20:$AJ$44,2),$AJ$20:$AJ$44,0)),""),1)="ℹ","•  "&amp;TRIM(MID(IFERROR(INDEX(Cockpit!$AB$50:$AB$74,MATCH(SMALL($AJ$20:$AJ$44,2),$AJ$20:$AJ$44,0)),""),2,999)),IFERROR(INDEX(Cockpit!$AB$50:$AB$74,MATCH(SMALL($AJ$20:$AJ$44,2),$AJ$20:$AJ$44,0)),"")))</f>
        <v>•  Zinsbindung Darlehen I endet nach 10 Jahren bei einer Restschuld von 191,071 € – Anschlusszins 4.50 % angenommen; jeder Prozentpunkt mehr kostet 1,911 € p. a.</v>
      </c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</row>
    <row r="69" customFormat="false" ht="21.75" hidden="false" customHeight="true" outlineLevel="0" collapsed="false">
      <c r="B69" s="215" t="str">
        <f aca="false">IF(LEFT(IFERROR(INDEX(Cockpit!$AB$50:$AB$74,MATCH(SMALL($AJ$20:$AJ$44,3),$AJ$20:$AJ$44,0)),""),1)="⚠","▲  "&amp;TRIM(MID(IFERROR(INDEX(Cockpit!$AB$50:$AB$74,MATCH(SMALL($AJ$20:$AJ$44,3),$AJ$20:$AJ$44,0)),""),2,999)),IF(LEFT(IFERROR(INDEX(Cockpit!$AB$50:$AB$74,MATCH(SMALL($AJ$20:$AJ$44,3),$AJ$20:$AJ$44,0)),""),1)="ℹ","•  "&amp;TRIM(MID(IFERROR(INDEX(Cockpit!$AB$50:$AB$74,MATCH(SMALL($AJ$20:$AJ$44,3),$AJ$20:$AJ$44,0)),""),2,999)),IFERROR(INDEX(Cockpit!$AB$50:$AB$74,MATCH(SMALL($AJ$20:$AJ$44,3),$AJ$20:$AJ$44,0)),"")))</f>
        <v>•  Steuerliches Ergebnis Jahr 1 negativ (-18,397 €) – Verlust wird mit anderen Einkünften verrechnet (Erstattung 8,510 €). Einkünfteerzielungsabsicht / Totalüberschussprognose beachten.</v>
      </c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</row>
    <row r="70" customFormat="false" ht="21.75" hidden="false" customHeight="true" outlineLevel="0" collapsed="false">
      <c r="B70" s="215" t="str">
        <f aca="false">IF(LEFT(IFERROR(INDEX(Cockpit!$AB$50:$AB$74,MATCH(SMALL($AJ$20:$AJ$44,4),$AJ$20:$AJ$44,0)),""),1)="⚠","▲  "&amp;TRIM(MID(IFERROR(INDEX(Cockpit!$AB$50:$AB$74,MATCH(SMALL($AJ$20:$AJ$44,4),$AJ$20:$AJ$44,0)),""),2,999)),IF(LEFT(IFERROR(INDEX(Cockpit!$AB$50:$AB$74,MATCH(SMALL($AJ$20:$AJ$44,4),$AJ$20:$AJ$44,0)),""),1)="ℹ","•  "&amp;TRIM(MID(IFERROR(INDEX(Cockpit!$AB$50:$AB$74,MATCH(SMALL($AJ$20:$AJ$44,4),$AJ$20:$AJ$44,0)),""),2,999)),IFERROR(INDEX(Cockpit!$AB$50:$AB$74,MATCH(SMALL($AJ$20:$AJ$44,4),$AJ$20:$AJ$44,0)),"")))</f>
        <v>•  Bewegliche Gegenstände (8,000 €) sind grunderwerbsteuerfrei und werden über 10 Jahre gesondert abgeschrieben – im Kaufvertrag gesondert und angemessen ausweisen.</v>
      </c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</row>
    <row r="71" customFormat="false" ht="21.75" hidden="false" customHeight="true" outlineLevel="0" collapsed="false">
      <c r="B71" s="215" t="str">
        <f aca="false">IF(LEFT(IFERROR(INDEX(Cockpit!$AB$50:$AB$74,MATCH(SMALL($AJ$20:$AJ$44,5),$AJ$20:$AJ$44,0)),""),1)="⚠","▲  "&amp;TRIM(MID(IFERROR(INDEX(Cockpit!$AB$50:$AB$74,MATCH(SMALL($AJ$20:$AJ$44,5),$AJ$20:$AJ$44,0)),""),2,999)),IF(LEFT(IFERROR(INDEX(Cockpit!$AB$50:$AB$74,MATCH(SMALL($AJ$20:$AJ$44,5),$AJ$20:$AJ$44,0)),""),1)="ℹ","•  "&amp;TRIM(MID(IFERROR(INDEX(Cockpit!$AB$50:$AB$74,MATCH(SMALL($AJ$20:$AJ$44,5),$AJ$20:$AJ$44,0)),""),2,999)),IFERROR(INDEX(Cockpit!$AB$50:$AB$74,MATCH(SMALL($AJ$20:$AJ$44,5),$AJ$20:$AJ$44,0)),"")))</f>
        <v/>
      </c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</row>
    <row r="72" customFormat="false" ht="21.75" hidden="false" customHeight="true" outlineLevel="0" collapsed="false">
      <c r="B72" s="215" t="str">
        <f aca="false">IF(COUNT($AJ$20:$AJ$44)&gt;6,"›  "&amp;(COUNT($AJ$20:$AJ$44)-5)&amp;" weitere Hinweise im Cockpit",IF(LEFT(IFERROR(INDEX(Cockpit!$AB$50:$AB$74,MATCH(SMALL($AJ$20:$AJ$44,6),$AJ$20:$AJ$44,0)),""),1)="⚠","▲  "&amp;TRIM(MID(IFERROR(INDEX(Cockpit!$AB$50:$AB$74,MATCH(SMALL($AJ$20:$AJ$44,6),$AJ$20:$AJ$44,0)),""),2,999)),IF(LEFT(IFERROR(INDEX(Cockpit!$AB$50:$AB$74,MATCH(SMALL($AJ$20:$AJ$44,6),$AJ$20:$AJ$44,0)),""),1)="ℹ","•  "&amp;TRIM(MID(IFERROR(INDEX(Cockpit!$AB$50:$AB$74,MATCH(SMALL($AJ$20:$AJ$44,6),$AJ$20:$AJ$44,0)),""),2,999)),IFERROR(INDEX(Cockpit!$AB$50:$AB$74,MATCH(SMALL($AJ$20:$AJ$44,6),$AJ$20:$AJ$44,0)),""))))</f>
        <v/>
      </c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</row>
    <row r="73" customFormat="false" ht="15.75" hidden="false" customHeight="true" outlineLevel="0" collapsed="false"/>
    <row r="74" customFormat="false" ht="18" hidden="false" customHeight="true" outlineLevel="0" collapsed="false">
      <c r="B74" s="79" t="s">
        <v>91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216"/>
      <c r="N74" s="216"/>
      <c r="O74" s="216"/>
      <c r="P74" s="216"/>
      <c r="Q74" s="216"/>
      <c r="R74" s="217" t="n">
        <f aca="true">TODAY()</f>
        <v>46289</v>
      </c>
    </row>
    <row r="75" customFormat="false" ht="13.5" hidden="false" customHeight="true" outlineLevel="0" collapsed="false">
      <c r="B75" s="81" t="s">
        <v>92</v>
      </c>
      <c r="C75" s="81"/>
      <c r="D75" s="81"/>
      <c r="E75" s="81"/>
      <c r="F75" s="81"/>
      <c r="G75" s="81"/>
      <c r="H75" s="81"/>
      <c r="I75" s="81"/>
      <c r="J75" s="81"/>
      <c r="K75" s="81"/>
      <c r="L75" s="81"/>
    </row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</sheetData>
  <sheetProtection sheet="true" objects="1" formatColumns="false" formatRows="false"/>
  <mergeCells count="61">
    <mergeCell ref="B6:I6"/>
    <mergeCell ref="K6:R6"/>
    <mergeCell ref="B7:I7"/>
    <mergeCell ref="K7:R7"/>
    <mergeCell ref="B9:C9"/>
    <mergeCell ref="E9:F9"/>
    <mergeCell ref="H9:I9"/>
    <mergeCell ref="K9:L9"/>
    <mergeCell ref="N9:O9"/>
    <mergeCell ref="Q9:R9"/>
    <mergeCell ref="B11:C11"/>
    <mergeCell ref="E11:I11"/>
    <mergeCell ref="K11:R12"/>
    <mergeCell ref="B12:I12"/>
    <mergeCell ref="B14:C14"/>
    <mergeCell ref="E14:F14"/>
    <mergeCell ref="H14:I14"/>
    <mergeCell ref="K14:L14"/>
    <mergeCell ref="N14:O14"/>
    <mergeCell ref="Q14:R14"/>
    <mergeCell ref="B15:C15"/>
    <mergeCell ref="E15:F15"/>
    <mergeCell ref="H15:I15"/>
    <mergeCell ref="K15:L15"/>
    <mergeCell ref="N15:O15"/>
    <mergeCell ref="Q15:R15"/>
    <mergeCell ref="B16:C16"/>
    <mergeCell ref="E16:F16"/>
    <mergeCell ref="B20:C20"/>
    <mergeCell ref="B21:C21"/>
    <mergeCell ref="B22:C22"/>
    <mergeCell ref="B23:C23"/>
    <mergeCell ref="B24:C24"/>
    <mergeCell ref="B25:C25"/>
    <mergeCell ref="B26:F26"/>
    <mergeCell ref="H26:I26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6:D56"/>
    <mergeCell ref="B57:D57"/>
    <mergeCell ref="B59:D59"/>
    <mergeCell ref="B60:D60"/>
    <mergeCell ref="B61:D61"/>
    <mergeCell ref="B62:D62"/>
    <mergeCell ref="B63:L63"/>
    <mergeCell ref="N63:R63"/>
    <mergeCell ref="B67:R67"/>
    <mergeCell ref="B68:R68"/>
    <mergeCell ref="B69:R69"/>
    <mergeCell ref="B70:R70"/>
    <mergeCell ref="B71:R71"/>
    <mergeCell ref="B72:R72"/>
    <mergeCell ref="B74:L74"/>
    <mergeCell ref="B75:L75"/>
  </mergeCells>
  <conditionalFormatting sqref="H20:H25">
    <cfRule type="expression" priority="2" aboveAverage="0" equalAverage="0" bottom="0" percent="0" rank="0" text="" dxfId="0">
      <formula>$H20="kritisch"</formula>
    </cfRule>
    <cfRule type="expression" priority="3" aboveAverage="0" equalAverage="0" bottom="0" percent="0" rank="0" text="" dxfId="1">
      <formula>$H20="prüfen"</formula>
    </cfRule>
    <cfRule type="expression" priority="4" aboveAverage="0" equalAverage="0" bottom="0" percent="0" rank="0" text="" dxfId="2">
      <formula>$H20="erfüllt"</formula>
    </cfRule>
    <cfRule type="expression" priority="5" aboveAverage="0" equalAverage="0" bottom="0" percent="0" rank="0" text="" dxfId="3">
      <formula>1</formula>
    </cfRule>
  </conditionalFormatting>
  <conditionalFormatting sqref="E20">
    <cfRule type="expression" priority="6" aboveAverage="0" equalAverage="0" bottom="0" percent="0" rank="0" text="" dxfId="4">
      <formula>AND(ISNUMBER(E20),E20&lt;0)</formula>
    </cfRule>
    <cfRule type="expression" priority="7" aboveAverage="0" equalAverage="0" bottom="0" percent="0" rank="0" text="" dxfId="3">
      <formula>1</formula>
    </cfRule>
  </conditionalFormatting>
  <conditionalFormatting sqref="I20:I25">
    <cfRule type="dataBar" priority="8">
      <dataBar showValue="0" minLength="0" maxLength="88">
        <cfvo type="num" val="0"/>
        <cfvo type="num" val="1"/>
        <color rgb="FFB8C3D1"/>
      </dataBar>
      <extLst>
        <ext xmlns:x14="http://schemas.microsoft.com/office/spreadsheetml/2009/9/main" uri="{B025F937-C7B1-47D3-B67F-A62EFF666E3E}">
          <x14:id>{E6D0DB9C-4869-48B0-9D9E-C9BF4F7DF6CC}</x14:id>
        </ext>
      </extLst>
    </cfRule>
    <cfRule type="expression" priority="9" aboveAverage="0" equalAverage="0" bottom="0" percent="0" rank="0" text="" dxfId="3">
      <formula>1</formula>
    </cfRule>
  </conditionalFormatting>
  <conditionalFormatting sqref="B12:I12">
    <cfRule type="expression" priority="10" aboveAverage="0" equalAverage="0" bottom="0" percent="0" rank="0" text="" dxfId="0">
      <formula>ISNUMBER(SEARCH("kritisch",$B$12))</formula>
    </cfRule>
    <cfRule type="expression" priority="11" aboveAverage="0" equalAverage="0" bottom="0" percent="0" rank="0" text="" dxfId="1">
      <formula>ISNUMBER(SEARCH("Prüfpunkten",$B$12))</formula>
    </cfRule>
    <cfRule type="expression" priority="12" aboveAverage="0" equalAverage="0" bottom="0" percent="0" rank="0" text="" dxfId="2">
      <formula>$B$12="Solide"</formula>
    </cfRule>
    <cfRule type="expression" priority="13" aboveAverage="0" equalAverage="0" bottom="0" percent="0" rank="0" text="" dxfId="3">
      <formula>1</formula>
    </cfRule>
  </conditionalFormatting>
  <conditionalFormatting sqref="B11:B12">
    <cfRule type="expression" priority="14" aboveAverage="0" equalAverage="0" bottom="0" percent="0" rank="0" text="" dxfId="11">
      <formula>ISNUMBER(SEARCH("kritisch",$B$12))</formula>
    </cfRule>
    <cfRule type="expression" priority="15" aboveAverage="0" equalAverage="0" bottom="0" percent="0" rank="0" text="" dxfId="12">
      <formula>ISNUMBER(SEARCH("Prüfpunkten",$B$12))</formula>
    </cfRule>
    <cfRule type="expression" priority="16" aboveAverage="0" equalAverage="0" bottom="0" percent="0" rank="0" text="" dxfId="13">
      <formula>$B$12="Solide"</formula>
    </cfRule>
    <cfRule type="expression" priority="17" aboveAverage="0" equalAverage="0" bottom="0" percent="0" rank="0" text="" dxfId="3">
      <formula>1</formula>
    </cfRule>
  </conditionalFormatting>
  <conditionalFormatting sqref="E11">
    <cfRule type="expression" priority="18" aboveAverage="0" equalAverage="0" bottom="0" percent="0" rank="0" text="" dxfId="0">
      <formula>ISNUMBER(SEARCH("kritisch",$B$12))</formula>
    </cfRule>
    <cfRule type="expression" priority="19" aboveAverage="0" equalAverage="0" bottom="0" percent="0" rank="0" text="" dxfId="1">
      <formula>ISNUMBER(SEARCH("Prüfpunkten",$B$12))</formula>
    </cfRule>
    <cfRule type="expression" priority="20" aboveAverage="0" equalAverage="0" bottom="0" percent="0" rank="0" text="" dxfId="2">
      <formula>$B$12="Solide"</formula>
    </cfRule>
    <cfRule type="expression" priority="21" aboveAverage="0" equalAverage="0" bottom="0" percent="0" rank="0" text="" dxfId="3">
      <formula>1</formula>
    </cfRule>
  </conditionalFormatting>
  <conditionalFormatting sqref="B15:C15">
    <cfRule type="expression" priority="22" aboveAverage="0" equalAverage="0" bottom="0" percent="0" rank="0" text="" dxfId="4">
      <formula>AND(ISNUMBER(B15),B15&lt;0)</formula>
    </cfRule>
    <cfRule type="expression" priority="23" aboveAverage="0" equalAverage="0" bottom="0" percent="0" rank="0" text="" dxfId="3">
      <formula>1</formula>
    </cfRule>
  </conditionalFormatting>
  <conditionalFormatting sqref="E15:F15">
    <cfRule type="expression" priority="24" aboveAverage="0" equalAverage="0" bottom="0" percent="0" rank="0" text="" dxfId="4">
      <formula>AND(ISNUMBER(E15),E15&lt;0)</formula>
    </cfRule>
    <cfRule type="expression" priority="25" aboveAverage="0" equalAverage="0" bottom="0" percent="0" rank="0" text="" dxfId="3">
      <formula>1</formula>
    </cfRule>
  </conditionalFormatting>
  <conditionalFormatting sqref="I16">
    <cfRule type="expression" priority="26" aboveAverage="0" equalAverage="0" bottom="0" percent="0" rank="0" text="" dxfId="0">
      <formula>CF_nSt_Monat_J1&lt;0</formula>
    </cfRule>
    <cfRule type="expression" priority="27" aboveAverage="0" equalAverage="0" bottom="0" percent="0" rank="0" text="" dxfId="1">
      <formula>INDEX(Projektion!$D$37:$AQ$37,2)&lt;0</formula>
    </cfRule>
    <cfRule type="expression" priority="28" aboveAverage="0" equalAverage="0" bottom="0" percent="0" rank="0" text="" dxfId="2">
      <formula>ISNUMBER(CF_nSt_Monat_J1)</formula>
    </cfRule>
    <cfRule type="expression" priority="29" aboveAverage="0" equalAverage="0" bottom="0" percent="0" rank="0" text="" dxfId="3">
      <formula>1</formula>
    </cfRule>
  </conditionalFormatting>
  <conditionalFormatting sqref="H15:I15">
    <cfRule type="expression" priority="30" aboveAverage="0" equalAverage="0" bottom="0" percent="0" rank="0" text="" dxfId="0">
      <formula>CF_nSt_Monat_J1&lt;0</formula>
    </cfRule>
    <cfRule type="expression" priority="31" aboveAverage="0" equalAverage="0" bottom="0" percent="0" rank="0" text="" dxfId="1">
      <formula>INDEX(Projektion!$D$37:$AQ$37,2)&lt;0</formula>
    </cfRule>
    <cfRule type="expression" priority="32" aboveAverage="0" equalAverage="0" bottom="0" percent="0" rank="0" text="" dxfId="2">
      <formula>ISNUMBER(CF_nSt_Monat_J1)</formula>
    </cfRule>
    <cfRule type="expression" priority="33" aboveAverage="0" equalAverage="0" bottom="0" percent="0" rank="0" text="" dxfId="4">
      <formula>AND(ISNUMBER(H15),H15&lt;0)</formula>
    </cfRule>
    <cfRule type="expression" priority="34" aboveAverage="0" equalAverage="0" bottom="0" percent="0" rank="0" text="" dxfId="3">
      <formula>1</formula>
    </cfRule>
  </conditionalFormatting>
  <conditionalFormatting sqref="L16">
    <cfRule type="expression" priority="35" aboveAverage="0" equalAverage="0" bottom="0" percent="0" rank="0" text="" dxfId="0">
      <formula>AND(ISNUMBER(Bruttomietrendite),Bruttomietrendite&lt;Ampel_BMR_gelb)</formula>
    </cfRule>
    <cfRule type="expression" priority="36" aboveAverage="0" equalAverage="0" bottom="0" percent="0" rank="0" text="" dxfId="1">
      <formula>AND(ISNUMBER(Bruttomietrendite),Bruttomietrendite&lt;Ampel_BMR_gruen)</formula>
    </cfRule>
    <cfRule type="expression" priority="37" aboveAverage="0" equalAverage="0" bottom="0" percent="0" rank="0" text="" dxfId="2">
      <formula>ISNUMBER(Bruttomietrendite)</formula>
    </cfRule>
    <cfRule type="expression" priority="38" aboveAverage="0" equalAverage="0" bottom="0" percent="0" rank="0" text="" dxfId="3">
      <formula>1</formula>
    </cfRule>
  </conditionalFormatting>
  <conditionalFormatting sqref="K15:L15">
    <cfRule type="expression" priority="39" aboveAverage="0" equalAverage="0" bottom="0" percent="0" rank="0" text="" dxfId="0">
      <formula>AND(ISNUMBER(Bruttomietrendite),Bruttomietrendite&lt;Ampel_BMR_gelb)</formula>
    </cfRule>
    <cfRule type="expression" priority="40" aboveAverage="0" equalAverage="0" bottom="0" percent="0" rank="0" text="" dxfId="1">
      <formula>AND(ISNUMBER(Bruttomietrendite),Bruttomietrendite&lt;Ampel_BMR_gruen)</formula>
    </cfRule>
    <cfRule type="expression" priority="41" aboveAverage="0" equalAverage="0" bottom="0" percent="0" rank="0" text="" dxfId="2">
      <formula>ISNUMBER(Bruttomietrendite)</formula>
    </cfRule>
    <cfRule type="expression" priority="42" aboveAverage="0" equalAverage="0" bottom="0" percent="0" rank="0" text="" dxfId="3">
      <formula>1</formula>
    </cfRule>
  </conditionalFormatting>
  <conditionalFormatting sqref="O16">
    <cfRule type="expression" priority="43" aboveAverage="0" equalAverage="0" bottom="0" percent="0" rank="0" text="" dxfId="0">
      <formula>AND(ISNUMBER(DSCR_J1),DSCR_J1&lt;Ampel_DSCR_gelb)</formula>
    </cfRule>
    <cfRule type="expression" priority="44" aboveAverage="0" equalAverage="0" bottom="0" percent="0" rank="0" text="" dxfId="1">
      <formula>AND(ISNUMBER(DSCR_J1),DSCR_J1&lt;Ampel_DSCR_gruen)</formula>
    </cfRule>
    <cfRule type="expression" priority="45" aboveAverage="0" equalAverage="0" bottom="0" percent="0" rank="0" text="" dxfId="2">
      <formula>ISNUMBER(DSCR_J1)</formula>
    </cfRule>
    <cfRule type="expression" priority="46" aboveAverage="0" equalAverage="0" bottom="0" percent="0" rank="0" text="" dxfId="3">
      <formula>1</formula>
    </cfRule>
  </conditionalFormatting>
  <conditionalFormatting sqref="N15:O15">
    <cfRule type="expression" priority="47" aboveAverage="0" equalAverage="0" bottom="0" percent="0" rank="0" text="" dxfId="0">
      <formula>AND(ISNUMBER(DSCR_J1),DSCR_J1&lt;Ampel_DSCR_gelb)</formula>
    </cfRule>
    <cfRule type="expression" priority="48" aboveAverage="0" equalAverage="0" bottom="0" percent="0" rank="0" text="" dxfId="1">
      <formula>AND(ISNUMBER(DSCR_J1),DSCR_J1&lt;Ampel_DSCR_gruen)</formula>
    </cfRule>
    <cfRule type="expression" priority="49" aboveAverage="0" equalAverage="0" bottom="0" percent="0" rank="0" text="" dxfId="2">
      <formula>ISNUMBER(DSCR_J1)</formula>
    </cfRule>
    <cfRule type="expression" priority="50" aboveAverage="0" equalAverage="0" bottom="0" percent="0" rank="0" text="" dxfId="3">
      <formula>1</formula>
    </cfRule>
  </conditionalFormatting>
  <conditionalFormatting sqref="R16">
    <cfRule type="expression" priority="51" aboveAverage="0" equalAverage="0" bottom="0" percent="0" rank="0" text="" dxfId="0">
      <formula>AND(ISNUMBER(EK_IRR),EK_IRR&lt;Ampel_IRR_gelb)</formula>
    </cfRule>
    <cfRule type="expression" priority="52" aboveAverage="0" equalAverage="0" bottom="0" percent="0" rank="0" text="" dxfId="1">
      <formula>AND(ISNUMBER(EK_IRR),EK_IRR&lt;Ampel_IRR_gruen)</formula>
    </cfRule>
    <cfRule type="expression" priority="53" aboveAverage="0" equalAverage="0" bottom="0" percent="0" rank="0" text="" dxfId="2">
      <formula>ISNUMBER(EK_IRR)</formula>
    </cfRule>
    <cfRule type="expression" priority="54" aboveAverage="0" equalAverage="0" bottom="0" percent="0" rank="0" text="" dxfId="3">
      <formula>1</formula>
    </cfRule>
  </conditionalFormatting>
  <conditionalFormatting sqref="Q15:R15">
    <cfRule type="expression" priority="55" aboveAverage="0" equalAverage="0" bottom="0" percent="0" rank="0" text="" dxfId="0">
      <formula>AND(ISNUMBER(EK_IRR),EK_IRR&lt;Ampel_IRR_gelb)</formula>
    </cfRule>
    <cfRule type="expression" priority="56" aboveAverage="0" equalAverage="0" bottom="0" percent="0" rank="0" text="" dxfId="1">
      <formula>AND(ISNUMBER(EK_IRR),EK_IRR&lt;Ampel_IRR_gruen)</formula>
    </cfRule>
    <cfRule type="expression" priority="57" aboveAverage="0" equalAverage="0" bottom="0" percent="0" rank="0" text="" dxfId="2">
      <formula>ISNUMBER(EK_IRR)</formula>
    </cfRule>
    <cfRule type="expression" priority="58" aboveAverage="0" equalAverage="0" bottom="0" percent="0" rank="0" text="" dxfId="3">
      <formula>1</formula>
    </cfRule>
  </conditionalFormatting>
  <conditionalFormatting sqref="E51:R51">
    <cfRule type="expression" priority="59" aboveAverage="0" equalAverage="0" bottom="0" percent="0" rank="0" text="" dxfId="4">
      <formula>AND(ISNUMBER(E51),E51&lt;0)</formula>
    </cfRule>
    <cfRule type="expression" priority="60" aboveAverage="0" equalAverage="0" bottom="0" percent="0" rank="0" text="" dxfId="3">
      <formula>1</formula>
    </cfRule>
  </conditionalFormatting>
  <conditionalFormatting sqref="E53:R53">
    <cfRule type="expression" priority="61" aboveAverage="0" equalAverage="0" bottom="0" percent="0" rank="0" text="" dxfId="4">
      <formula>AND(ISNUMBER(E53),E53&lt;0)</formula>
    </cfRule>
    <cfRule type="expression" priority="62" aboveAverage="0" equalAverage="0" bottom="0" percent="0" rank="0" text="" dxfId="3">
      <formula>1</formula>
    </cfRule>
  </conditionalFormatting>
  <conditionalFormatting sqref="E54:R54">
    <cfRule type="expression" priority="63" aboveAverage="0" equalAverage="0" bottom="0" percent="0" rank="0" text="" dxfId="4">
      <formula>AND(ISNUMBER(E54),E54&lt;0)</formula>
    </cfRule>
    <cfRule type="expression" priority="64" aboveAverage="0" equalAverage="0" bottom="0" percent="0" rank="0" text="" dxfId="3">
      <formula>1</formula>
    </cfRule>
  </conditionalFormatting>
  <conditionalFormatting sqref="E57:R57">
    <cfRule type="expression" priority="65" aboveAverage="0" equalAverage="0" bottom="0" percent="0" rank="0" text="" dxfId="4">
      <formula>AND(ISNUMBER(E57),E57&lt;0)</formula>
    </cfRule>
    <cfRule type="expression" priority="66" aboveAverage="0" equalAverage="0" bottom="0" percent="0" rank="0" text="" dxfId="3">
      <formula>1</formula>
    </cfRule>
  </conditionalFormatting>
  <conditionalFormatting sqref="E61:R61">
    <cfRule type="expression" priority="67" aboveAverage="0" equalAverage="0" bottom="0" percent="0" rank="0" text="" dxfId="4">
      <formula>AND(ISNUMBER(E61),E61&lt;0)</formula>
    </cfRule>
    <cfRule type="expression" priority="68" aboveAverage="0" equalAverage="0" bottom="0" percent="0" rank="0" text="" dxfId="3">
      <formula>1</formula>
    </cfRule>
  </conditionalFormatting>
  <conditionalFormatting sqref="B67:B72">
    <cfRule type="expression" priority="69" aboveAverage="0" equalAverage="0" bottom="0" percent="0" rank="0" text="" dxfId="15">
      <formula>LEFT($B67,1)="▲"</formula>
    </cfRule>
    <cfRule type="expression" priority="70" aboveAverage="0" equalAverage="0" bottom="0" percent="0" rank="0" text="" dxfId="16">
      <formula>$B67&lt;&gt;""</formula>
    </cfRule>
    <cfRule type="expression" priority="71" aboveAverage="0" equalAverage="0" bottom="0" percent="0" rank="0" text="" dxfId="3">
      <formula>1</formula>
    </cfRule>
  </conditionalFormatting>
  <conditionalFormatting sqref="B67:R72">
    <cfRule type="expression" priority="72" aboveAverage="0" equalAverage="0" bottom="0" percent="0" rank="0" text="" dxfId="17">
      <formula>$B67&lt;&gt;""</formula>
    </cfRule>
    <cfRule type="expression" priority="73" aboveAverage="0" equalAverage="0" bottom="0" percent="0" rank="0" text="" dxfId="3">
      <formula>1</formula>
    </cfRule>
  </conditionalFormatting>
  <hyperlinks>
    <hyperlink ref="B5" location="'Start'!A4" display="AUSWERTUNG  ·  GESAMTBEWERTUNG AUF EINER SEITE"/>
    <hyperlink ref="B9" location="'S12 Ergebnis'!A4" display="‹  Schritt 12: Ergebnis"/>
    <hyperlink ref="E9" location="'Cockpit'!A4" display="Cockpit  ›"/>
    <hyperlink ref="H9" location="'Diagramme'!A4" display="Diagramme  ›"/>
    <hyperlink ref="K9" location="'Sensitivität'!A4" display="Sensitivität  ›"/>
    <hyperlink ref="N9" location="'Bankgespräch'!A4" display="Bankgespräch  ›"/>
    <hyperlink ref="Q9" location="'Start'!D23" display="#'Start'.D23"/>
    <hyperlink ref="H26" location="'Konfiguration'!B74" display="Schwellen  ›"/>
    <hyperlink ref="N63" location="'Projektion'!D11" display="Alle 40 Jahre: Projektion  ›"/>
  </hyperlinks>
  <printOptions headings="false" gridLines="false" gridLinesSet="true" horizontalCentered="true" verticalCentered="false"/>
  <pageMargins left="0.4" right="0.4" top="0.5" bottom="0.5" header="0.3" footer="0.3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27" man="true" max="16383" min="0"/>
    <brk id="41" man="true" max="16383" min="0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D0DB9C-4869-48B0-9D9E-C9BF4F7DF6CC}">
            <x14:dataBar minLength="0" maxLength="88" axisPosition="none" gradient="0" border="0">
              <x14:cfvo type="num">
                <xm:f>0</xm:f>
              </x14:cfvo>
              <x14:cfvo type="num">
                <xm:f>1</xm:f>
              </x14:cfvo>
              <x14:negativeFillColor rgb="FFB8C3D1"/>
              <x14:axisColor rgb="FF000000"/>
            </x14:dataBar>
          </x14:cfRule>
          <xm:sqref>I20:I25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AD11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2"/>
    <col collapsed="false" customWidth="true" hidden="false" outlineLevel="0" max="4" min="3" style="1" width="13"/>
    <col collapsed="false" customWidth="true" hidden="false" outlineLevel="0" max="5" min="5" style="1" width="2.5"/>
    <col collapsed="false" customWidth="true" hidden="false" outlineLevel="0" max="6" min="6" style="1" width="42"/>
    <col collapsed="false" customWidth="true" hidden="false" outlineLevel="0" max="8" min="7" style="1" width="13"/>
    <col collapsed="false" customWidth="true" hidden="false" outlineLevel="0" max="9" min="9" style="1" width="2.5"/>
    <col collapsed="false" customWidth="true" hidden="false" outlineLevel="0" max="10" min="10" style="1" width="42"/>
    <col collapsed="false" customWidth="true" hidden="false" outlineLevel="0" max="12" min="11" style="1" width="13"/>
    <col collapsed="false" customWidth="true" hidden="false" outlineLevel="0" max="13" min="13" style="1" width="2.5"/>
    <col collapsed="false" customWidth="true" hidden="true" outlineLevel="0" max="14" min="14" style="1" width="34"/>
    <col collapsed="false" customWidth="true" hidden="true" outlineLevel="0" max="24" min="15" style="1" width="10.51"/>
    <col collapsed="false" customWidth="true" hidden="true" outlineLevel="0" max="27" min="25" style="1" width="3"/>
    <col collapsed="false" customWidth="true" hidden="true" outlineLevel="0" max="29" min="28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0"/>
      <c r="N1" s="0"/>
      <c r="O1" s="0"/>
      <c r="P1" s="0"/>
      <c r="Q1" s="0"/>
      <c r="R1" s="0"/>
      <c r="S1" s="0"/>
      <c r="T1" s="0"/>
      <c r="U1" s="0"/>
      <c r="V1" s="3"/>
      <c r="W1" s="3"/>
      <c r="X1" s="3"/>
      <c r="Y1" s="39"/>
      <c r="Z1" s="39"/>
      <c r="AA1" s="39"/>
      <c r="AB1" s="39"/>
      <c r="AC1" s="39"/>
      <c r="AD1" s="39"/>
    </row>
    <row r="2" customFormat="false" ht="33" hidden="false" customHeight="true" outlineLevel="0" collapsed="false">
      <c r="A2" s="2"/>
      <c r="B2" s="6"/>
      <c r="C2" s="6"/>
      <c r="D2" s="4"/>
      <c r="E2" s="6"/>
      <c r="F2" s="5"/>
      <c r="G2" s="6"/>
      <c r="H2" s="6"/>
      <c r="I2" s="6"/>
      <c r="J2" s="5"/>
      <c r="K2" s="6"/>
      <c r="L2" s="6"/>
      <c r="M2" s="0"/>
      <c r="N2" s="0"/>
      <c r="O2" s="0"/>
      <c r="P2" s="0"/>
      <c r="Q2" s="0"/>
      <c r="R2" s="0"/>
      <c r="S2" s="0"/>
      <c r="T2" s="0"/>
      <c r="U2" s="0"/>
      <c r="V2" s="9"/>
      <c r="W2" s="9"/>
      <c r="X2" s="9"/>
      <c r="Y2" s="39"/>
      <c r="Z2" s="39"/>
      <c r="AA2" s="39"/>
      <c r="AB2" s="39"/>
      <c r="AC2" s="39"/>
      <c r="AD2" s="3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0"/>
      <c r="N3" s="0"/>
      <c r="O3" s="0"/>
      <c r="P3" s="0"/>
      <c r="Q3" s="0"/>
      <c r="R3" s="0"/>
      <c r="S3" s="0"/>
      <c r="T3" s="0"/>
      <c r="U3" s="0"/>
      <c r="V3" s="11"/>
      <c r="W3" s="11"/>
      <c r="X3" s="11"/>
      <c r="Y3" s="39"/>
      <c r="Z3" s="39"/>
      <c r="AA3" s="39"/>
      <c r="AB3" s="39"/>
      <c r="AC3" s="39"/>
      <c r="AD3" s="39"/>
    </row>
    <row r="4" customFormat="false" ht="15" hidden="false" customHeight="true" outlineLevel="0" collapsed="false">
      <c r="A4" s="12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15.75" hidden="false" customHeight="true" outlineLevel="0" collapsed="false">
      <c r="A5" s="12"/>
      <c r="B5" s="84" t="s">
        <v>568</v>
      </c>
      <c r="C5" s="40"/>
      <c r="D5" s="40"/>
      <c r="E5" s="40"/>
      <c r="F5" s="40"/>
      <c r="G5" s="40"/>
      <c r="H5" s="40"/>
      <c r="I5" s="40"/>
      <c r="J5" s="40"/>
      <c r="K5" s="84" t="s">
        <v>519</v>
      </c>
      <c r="L5" s="84"/>
      <c r="M5" s="40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30" hidden="false" customHeight="true" outlineLevel="0" collapsed="false">
      <c r="A6" s="12"/>
      <c r="B6" s="172" t="s">
        <v>569</v>
      </c>
      <c r="C6" s="40"/>
      <c r="D6" s="40"/>
      <c r="E6" s="40"/>
      <c r="F6" s="40"/>
      <c r="G6" s="40"/>
      <c r="H6" s="40"/>
      <c r="I6" s="40"/>
      <c r="J6" s="40"/>
      <c r="K6" s="218" t="str">
        <f aca="false">Dashboard!$B$12</f>
        <v>Liquidität kritisch</v>
      </c>
      <c r="L6" s="218"/>
      <c r="M6" s="40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.75" hidden="false" customHeight="true" outlineLevel="0" collapsed="false">
      <c r="A7" s="12"/>
      <c r="B7" s="106" t="str">
        <f aca="false">Obj_Name&amp;"  ·  "&amp;Obj_Adresse&amp;"  ·  Kauf am "&amp;TEXT(DAY(Kaufdatum),"00")&amp;"."&amp;TEXT(MONTH(Kaufdatum),"00")&amp;"."&amp;YEAR(Kaufdatum)&amp;"  ·  Haltedauer "&amp;Haltedauer&amp;" Jahre  ·  "&amp;CHOOSE(Rechtsform_Idx,"Privat","vv-GmbH","GmbH")</f>
        <v>Beispiel: 3-Zimmer-Eigentumswohnung  ·  Musterstraße 1, 88250 Weingarten  ·  Kauf am 01.12.2026  ·  Haltedauer 12 Jahre  ·  Privat</v>
      </c>
      <c r="C7" s="106"/>
      <c r="D7" s="106"/>
      <c r="E7" s="106"/>
      <c r="F7" s="106"/>
      <c r="G7" s="106"/>
      <c r="H7" s="106"/>
      <c r="I7" s="106"/>
      <c r="J7" s="106"/>
      <c r="K7" s="107" t="str">
        <f aca="false">IFERROR(IF(Erstellt_fuer="","","Erstellt für "&amp;Erstellt_fuer),"")</f>
        <v>Erstellt für Max Mustermann</v>
      </c>
      <c r="L7" s="107"/>
      <c r="M7" s="40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18" hidden="false" customHeight="true" outlineLevel="0" collapsed="false">
      <c r="A8" s="12"/>
      <c r="B8" s="43" t="s">
        <v>5</v>
      </c>
      <c r="C8" s="44" t="s">
        <v>19</v>
      </c>
      <c r="D8" s="44"/>
      <c r="E8" s="40"/>
      <c r="F8" s="43" t="s">
        <v>99</v>
      </c>
      <c r="G8" s="44" t="s">
        <v>20</v>
      </c>
      <c r="H8" s="44"/>
      <c r="I8" s="40"/>
      <c r="J8" s="43" t="s">
        <v>18</v>
      </c>
      <c r="K8" s="44" t="str">
        <f aca="false">UPPER("IRR n. St. ("&amp;Haltedauer&amp;" J.)")</f>
        <v>IRR N. ST. (12 J.)</v>
      </c>
      <c r="L8" s="44"/>
      <c r="M8" s="40"/>
      <c r="N8" s="43" t="s">
        <v>570</v>
      </c>
      <c r="O8" s="43"/>
      <c r="P8" s="43"/>
      <c r="Q8" s="43"/>
      <c r="R8" s="43" t="s">
        <v>571</v>
      </c>
      <c r="S8" s="43"/>
      <c r="T8" s="43"/>
      <c r="U8" s="43"/>
      <c r="V8" s="90" t="str">
        <f aca="false">"IRR nach Steuern – Verkauf nach "&amp;Haltedauer&amp;" J."</f>
        <v>IRR nach Steuern – Verkauf nach 12 J.</v>
      </c>
      <c r="W8" s="90"/>
      <c r="X8" s="90"/>
      <c r="Y8" s="12"/>
      <c r="Z8" s="12"/>
      <c r="AA8" s="12"/>
      <c r="AB8" s="12"/>
      <c r="AC8" s="12"/>
      <c r="AD8" s="12"/>
    </row>
    <row r="9" customFormat="false" ht="30" hidden="false" customHeight="true" outlineLevel="0" collapsed="false">
      <c r="A9" s="12"/>
      <c r="B9" s="46" t="n">
        <f aca="false">Gesamtinvestition</f>
        <v>328974.5</v>
      </c>
      <c r="C9" s="219" t="n">
        <f aca="false">Bruttomietrendite</f>
        <v>0.04</v>
      </c>
      <c r="D9" s="219"/>
      <c r="E9" s="40"/>
      <c r="F9" s="46" t="n">
        <f aca="false">EK_Bedarf_gesamt</f>
        <v>83974.5</v>
      </c>
      <c r="G9" s="48" t="n">
        <f aca="false">DSCR_J1</f>
        <v>0.612</v>
      </c>
      <c r="H9" s="48"/>
      <c r="I9" s="40"/>
      <c r="J9" s="46" t="n">
        <f aca="false">INDEX(Projektion!$D$37:$AQ$37,1)</f>
        <v>256.533045793917</v>
      </c>
      <c r="K9" s="219" t="n">
        <f aca="false">IRR_Tile</f>
        <v>0.0532739559084637</v>
      </c>
      <c r="L9" s="219"/>
      <c r="M9" s="40"/>
      <c r="N9" s="220" t="str">
        <f aca="false">FIXED(Bruttomietrendite*100,2)&amp;" %  |  "&amp;FIXED(Kaufpreisfaktor,1)&amp;"-fach"</f>
        <v>4.00 %  |  25.0-fach</v>
      </c>
      <c r="O9" s="220"/>
      <c r="P9" s="220"/>
      <c r="Q9" s="220"/>
      <c r="R9" s="47" t="n">
        <f aca="false">INDEX(Projektion!$D$45:$AQ$45,1)</f>
        <v>0.177505353620814</v>
      </c>
      <c r="S9" s="47"/>
      <c r="T9" s="47"/>
      <c r="U9" s="47"/>
      <c r="V9" s="182" t="n">
        <f aca="false">EK_IRR</f>
        <v>0.0532739559084637</v>
      </c>
      <c r="W9" s="182"/>
      <c r="X9" s="182"/>
      <c r="Y9" s="12"/>
      <c r="Z9" s="12"/>
      <c r="AA9" s="12"/>
      <c r="AB9" s="12"/>
      <c r="AC9" s="12"/>
      <c r="AD9" s="12"/>
    </row>
    <row r="10" customFormat="false" ht="19.5" hidden="false" customHeight="true" outlineLevel="0" collapsed="false">
      <c r="A10" s="12"/>
      <c r="B10" s="52" t="str">
        <f aca="false">"Kaufpreis "&amp;FIXED(Kaufpreis,0)&amp;" € · Nebenkosten "&amp;FIXED(NK_Quote*100,1)&amp;" %"</f>
        <v>Kaufpreis 285,000 € · Nebenkosten 10.6 %</v>
      </c>
      <c r="C10" s="54" t="str">
        <f aca="false">"Ziel ≥ "&amp;FIXED(Ampel_BMR_gruen*100,1)&amp;" %"</f>
        <v>Ziel ≥ 5.0 %</v>
      </c>
      <c r="D10" s="51" t="str">
        <f aca="false">IF(AND(ISNUMBER($C$9),$C$9&lt;Ampel_BMR_gelb),"●  kritisch",IF(AND(ISNUMBER($C$9),$C$9&lt;Ampel_BMR_gruen),"●  prüfen",IF(ISNUMBER($C$9),"●  erfüllt","")))</f>
        <v>●  prüfen</v>
      </c>
      <c r="E10" s="40"/>
      <c r="F10" s="52" t="str">
        <f aca="false">IF(Reserve_Einmalig=0,"ohne Liquiditätsreserve","davon Liquiditätsreserve "&amp;FIXED(Reserve_Einmalig,0)&amp;" €")</f>
        <v>davon Liquiditätsreserve 5,000 €</v>
      </c>
      <c r="G10" s="54" t="str">
        <f aca="false">"Ziel ≥ "&amp;FIXED(Ampel_DSCR_gruen,2)&amp;"×"</f>
        <v>Ziel ≥ 1.20×</v>
      </c>
      <c r="H10" s="51" t="str">
        <f aca="false">IF(AND(ISNUMBER($G$9),$G$9&lt;Ampel_DSCR_gelb),"●  kritisch",IF(AND(ISNUMBER($G$9),$G$9&lt;Ampel_DSCR_gruen),"●  prüfen",IF(ISNUMBER($G$9),"●  erfüllt","")))</f>
        <v>●  kritisch</v>
      </c>
      <c r="I10" s="40"/>
      <c r="J10" s="52" t="str">
        <f aca="false">"ab Jahr 2: "&amp;SUBSTITUTE(FIXED(INDEX(Projektion!$D$37:$AQ$37,2),0),"-","−")&amp;" € / Monat"</f>
        <v>ab Jahr 2: −274 € / Monat</v>
      </c>
      <c r="K10" s="54" t="str">
        <f aca="false">"Ziel ≥ "&amp;FIXED(Ampel_IRR_gruen*100,1)&amp;" %"</f>
        <v>Ziel ≥ 6.0 %</v>
      </c>
      <c r="L10" s="51" t="str">
        <f aca="false">IF(AND(ISNUMBER($K$9),$K$9&lt;Ampel_IRR_gelb),"●  kritisch",IF(AND(ISNUMBER($K$9),$K$9&lt;Ampel_IRR_gruen),"●  prüfen",IF(ISNUMBER($K$9),"●  erfüllt","")))</f>
        <v>●  prüfen</v>
      </c>
      <c r="M10" s="4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6" hidden="false" customHeight="true" outlineLevel="0" collapsed="false">
      <c r="A11" s="12"/>
      <c r="B11" s="40"/>
      <c r="E11" s="40"/>
      <c r="F11" s="40"/>
      <c r="I11" s="40"/>
      <c r="J11" s="40"/>
      <c r="M11" s="40"/>
      <c r="N11" s="33" t="s">
        <v>544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12"/>
      <c r="Z11" s="12"/>
      <c r="AA11" s="12"/>
      <c r="AB11" s="12"/>
      <c r="AC11" s="12"/>
      <c r="AD11" s="12"/>
    </row>
    <row r="12" customFormat="false" ht="6" hidden="false" customHeight="true" outlineLevel="0" collapsed="false">
      <c r="A12" s="12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4" hidden="false" customHeight="true" outlineLevel="0" collapsed="false">
      <c r="A13" s="12"/>
      <c r="B13" s="33" t="s">
        <v>572</v>
      </c>
      <c r="C13" s="60"/>
      <c r="D13" s="35" t="s">
        <v>573</v>
      </c>
      <c r="E13" s="40"/>
      <c r="F13" s="33" t="s">
        <v>574</v>
      </c>
      <c r="G13" s="60"/>
      <c r="H13" s="35" t="s">
        <v>575</v>
      </c>
      <c r="I13" s="40"/>
      <c r="J13" s="33" t="s">
        <v>331</v>
      </c>
      <c r="K13" s="60"/>
      <c r="L13" s="35" t="s">
        <v>576</v>
      </c>
      <c r="M13" s="40"/>
      <c r="N13" s="221" t="s">
        <v>577</v>
      </c>
      <c r="O13" s="222" t="n">
        <v>1</v>
      </c>
      <c r="P13" s="222" t="n">
        <v>2</v>
      </c>
      <c r="Q13" s="222" t="n">
        <v>3</v>
      </c>
      <c r="R13" s="222" t="n">
        <v>5</v>
      </c>
      <c r="S13" s="222" t="n">
        <v>10</v>
      </c>
      <c r="T13" s="222" t="n">
        <v>15</v>
      </c>
      <c r="U13" s="222" t="n">
        <v>20</v>
      </c>
      <c r="V13" s="222" t="n">
        <v>25</v>
      </c>
      <c r="W13" s="222" t="n">
        <v>30</v>
      </c>
      <c r="X13" s="222" t="n">
        <v>40</v>
      </c>
      <c r="Y13" s="12"/>
      <c r="Z13" s="12"/>
      <c r="AA13" s="12"/>
      <c r="AB13" s="12"/>
      <c r="AC13" s="12"/>
      <c r="AD13" s="12"/>
    </row>
    <row r="14" customFormat="false" ht="18" hidden="false" customHeight="true" outlineLevel="0" collapsed="false">
      <c r="A14" s="12"/>
      <c r="B14" s="72" t="s">
        <v>153</v>
      </c>
      <c r="C14" s="116" t="str">
        <f aca="false">Objektart</f>
        <v>Eigentumswohnung</v>
      </c>
      <c r="D14" s="116"/>
      <c r="E14" s="40"/>
      <c r="F14" s="72" t="s">
        <v>578</v>
      </c>
      <c r="G14" s="129" t="n">
        <f aca="false">Miete_Monat</f>
        <v>950</v>
      </c>
      <c r="H14" s="129"/>
      <c r="I14" s="40"/>
      <c r="J14" s="72" t="s">
        <v>579</v>
      </c>
      <c r="K14" s="129" t="n">
        <f aca="false">Darlehen_Summe</f>
        <v>250000</v>
      </c>
      <c r="L14" s="129"/>
      <c r="M14" s="40"/>
      <c r="N14" s="149" t="s">
        <v>547</v>
      </c>
      <c r="O14" s="223" t="n">
        <f aca="false">YEAR(Kaufdatum)+1-1</f>
        <v>2026</v>
      </c>
      <c r="P14" s="223" t="n">
        <f aca="false">YEAR(Kaufdatum)+2-1</f>
        <v>2027</v>
      </c>
      <c r="Q14" s="223" t="n">
        <f aca="false">YEAR(Kaufdatum)+3-1</f>
        <v>2028</v>
      </c>
      <c r="R14" s="223" t="n">
        <f aca="false">YEAR(Kaufdatum)+5-1</f>
        <v>2030</v>
      </c>
      <c r="S14" s="223" t="n">
        <f aca="false">YEAR(Kaufdatum)+10-1</f>
        <v>2035</v>
      </c>
      <c r="T14" s="223" t="n">
        <f aca="false">YEAR(Kaufdatum)+15-1</f>
        <v>2040</v>
      </c>
      <c r="U14" s="223" t="n">
        <f aca="false">YEAR(Kaufdatum)+20-1</f>
        <v>2045</v>
      </c>
      <c r="V14" s="223" t="n">
        <f aca="false">YEAR(Kaufdatum)+25-1</f>
        <v>2050</v>
      </c>
      <c r="W14" s="223" t="n">
        <f aca="false">YEAR(Kaufdatum)+30-1</f>
        <v>2055</v>
      </c>
      <c r="X14" s="224" t="n">
        <f aca="false">YEAR(Kaufdatum)+40-1</f>
        <v>2065</v>
      </c>
      <c r="Y14" s="12"/>
      <c r="Z14" s="12"/>
      <c r="AA14" s="12"/>
      <c r="AB14" s="12"/>
      <c r="AC14" s="12"/>
      <c r="AD14" s="12"/>
    </row>
    <row r="15" customFormat="false" ht="18" hidden="false" customHeight="true" outlineLevel="0" collapsed="false">
      <c r="A15" s="12"/>
      <c r="B15" s="72" t="s">
        <v>157</v>
      </c>
      <c r="C15" s="225" t="n">
        <f aca="false">Wohnflaeche</f>
        <v>75</v>
      </c>
      <c r="D15" s="225"/>
      <c r="E15" s="40"/>
      <c r="F15" s="143" t="s">
        <v>580</v>
      </c>
      <c r="G15" s="226" t="n">
        <f aca="false">Miete_qm</f>
        <v>12.6666666666667</v>
      </c>
      <c r="H15" s="226"/>
      <c r="I15" s="40"/>
      <c r="J15" s="143" t="s">
        <v>581</v>
      </c>
      <c r="K15" s="227" t="str">
        <f aca="false">FIXED(Darlehen_I,0)&amp;" € · "&amp;IF(Darlehen_II=0,"kein Darlehen II",FIXED(Darlehen_II,0)&amp;" €")</f>
        <v>250,000 € · kein Darlehen II</v>
      </c>
      <c r="L15" s="227"/>
      <c r="M15" s="40"/>
      <c r="N15" s="157" t="s">
        <v>383</v>
      </c>
      <c r="O15" s="228" t="n">
        <f aca="false">INDEX(Projektion!$D$15:$AQ$15,1)</f>
        <v>11058</v>
      </c>
      <c r="P15" s="228" t="n">
        <f aca="false">INDEX(Projektion!$D$15:$AQ$15,2)</f>
        <v>11279.16</v>
      </c>
      <c r="Q15" s="228" t="n">
        <f aca="false">INDEX(Projektion!$D$15:$AQ$15,3)</f>
        <v>11504.7432</v>
      </c>
      <c r="R15" s="228" t="n">
        <f aca="false">INDEX(Projektion!$D$15:$AQ$15,5)</f>
        <v>11969.53482528</v>
      </c>
      <c r="S15" s="228" t="n">
        <f aca="false">INDEX(Projektion!$D$15:$AQ$15,10)</f>
        <v>13215.3336238255</v>
      </c>
      <c r="T15" s="228" t="n">
        <f aca="false">INDEX(Projektion!$D$15:$AQ$15,15)</f>
        <v>14590.7961619492</v>
      </c>
      <c r="U15" s="228" t="n">
        <f aca="false">INDEX(Projektion!$D$15:$AQ$15,20)</f>
        <v>16109.4179458124</v>
      </c>
      <c r="V15" s="228" t="n">
        <f aca="false">INDEX(Projektion!$D$15:$AQ$15,25)</f>
        <v>17786.0991046971</v>
      </c>
      <c r="W15" s="228" t="n">
        <f aca="false">INDEX(Projektion!$D$15:$AQ$15,30)</f>
        <v>19637.2905853087</v>
      </c>
      <c r="X15" s="228" t="n">
        <f aca="false">INDEX(Projektion!$D$15:$AQ$15,40)</f>
        <v>23937.7476473069</v>
      </c>
      <c r="Y15" s="12"/>
      <c r="Z15" s="12"/>
      <c r="AA15" s="12"/>
      <c r="AB15" s="12"/>
      <c r="AC15" s="12"/>
      <c r="AD15" s="12"/>
    </row>
    <row r="16" customFormat="false" ht="18" hidden="false" customHeight="true" outlineLevel="0" collapsed="false">
      <c r="A16" s="12"/>
      <c r="B16" s="72" t="s">
        <v>582</v>
      </c>
      <c r="C16" s="115" t="n">
        <f aca="false">Baujahr</f>
        <v>1996</v>
      </c>
      <c r="D16" s="115"/>
      <c r="E16" s="40"/>
      <c r="F16" s="72" t="s">
        <v>583</v>
      </c>
      <c r="G16" s="129" t="n">
        <f aca="false">Jahresmiete</f>
        <v>11400</v>
      </c>
      <c r="H16" s="129"/>
      <c r="I16" s="40"/>
      <c r="J16" s="72" t="s">
        <v>584</v>
      </c>
      <c r="K16" s="129" t="n">
        <f aca="false">Eigenkapital</f>
        <v>78974.5</v>
      </c>
      <c r="L16" s="129"/>
      <c r="M16" s="40"/>
      <c r="N16" s="157" t="s">
        <v>549</v>
      </c>
      <c r="O16" s="228" t="n">
        <f aca="false">INDEX(Projektion!$D$26:$AQ$26,1)</f>
        <v>2490</v>
      </c>
      <c r="P16" s="228" t="n">
        <f aca="false">INDEX(Projektion!$D$26:$AQ$26,2)</f>
        <v>2539.8</v>
      </c>
      <c r="Q16" s="228" t="n">
        <f aca="false">INDEX(Projektion!$D$26:$AQ$26,3)</f>
        <v>2590.596</v>
      </c>
      <c r="R16" s="228" t="n">
        <f aca="false">INDEX(Projektion!$D$26:$AQ$26,5)</f>
        <v>2695.2560784</v>
      </c>
      <c r="S16" s="228" t="n">
        <f aca="false">INDEX(Projektion!$D$26:$AQ$26,10)</f>
        <v>2975.78049586955</v>
      </c>
      <c r="T16" s="228" t="n">
        <f aca="false">INDEX(Projektion!$D$26:$AQ$26,15)</f>
        <v>3285.50212002655</v>
      </c>
      <c r="U16" s="228" t="n">
        <f aca="false">INDEX(Projektion!$D$26:$AQ$26,20)</f>
        <v>3627.45981959422</v>
      </c>
      <c r="V16" s="228" t="n">
        <f aca="false">INDEX(Projektion!$D$26:$AQ$26,25)</f>
        <v>4005.00875119331</v>
      </c>
      <c r="W16" s="228" t="n">
        <f aca="false">INDEX(Projektion!$D$26:$AQ$26,30)</f>
        <v>4421.85327884054</v>
      </c>
      <c r="X16" s="228" t="n">
        <f aca="false">INDEX(Projektion!$D$26:$AQ$26,40)</f>
        <v>5390.21447294214</v>
      </c>
      <c r="Y16" s="12"/>
      <c r="Z16" s="12"/>
      <c r="AA16" s="12"/>
      <c r="AB16" s="12"/>
      <c r="AC16" s="12"/>
      <c r="AD16" s="12"/>
    </row>
    <row r="17" customFormat="false" ht="18" hidden="false" customHeight="true" outlineLevel="0" collapsed="false">
      <c r="A17" s="12"/>
      <c r="B17" s="72" t="s">
        <v>585</v>
      </c>
      <c r="C17" s="129" t="n">
        <f aca="false">Kaufpreis</f>
        <v>285000</v>
      </c>
      <c r="D17" s="129"/>
      <c r="E17" s="40"/>
      <c r="F17" s="72" t="s">
        <v>586</v>
      </c>
      <c r="G17" s="129" t="n">
        <f aca="false">INDEX(Projektion!$D$15:$AQ$15,1)</f>
        <v>11058</v>
      </c>
      <c r="H17" s="129"/>
      <c r="I17" s="40"/>
      <c r="J17" s="72" t="s">
        <v>342</v>
      </c>
      <c r="K17" s="110" t="n">
        <f aca="false">EK_Quote</f>
        <v>0.240062679630184</v>
      </c>
      <c r="L17" s="110"/>
      <c r="M17" s="40"/>
      <c r="N17" s="157" t="s">
        <v>533</v>
      </c>
      <c r="O17" s="228" t="n">
        <f aca="false">INDEX(Projektion!$D$30:$AQ$30,1)</f>
        <v>9000</v>
      </c>
      <c r="P17" s="228" t="n">
        <f aca="false">INDEX(Projektion!$D$30:$AQ$30,2)</f>
        <v>8820</v>
      </c>
      <c r="Q17" s="228" t="n">
        <f aca="false">INDEX(Projektion!$D$30:$AQ$30,3)</f>
        <v>8633.52</v>
      </c>
      <c r="R17" s="228" t="n">
        <f aca="false">INDEX(Projektion!$D$30:$AQ$30,5)</f>
        <v>8240.17848192</v>
      </c>
      <c r="S17" s="228" t="n">
        <f aca="false">INDEX(Projektion!$D$30:$AQ$30,10)</f>
        <v>7126.02729974753</v>
      </c>
      <c r="T17" s="228" t="n">
        <f aca="false">INDEX(Projektion!$D$30:$AQ$30,15)</f>
        <v>7558.25940690232</v>
      </c>
      <c r="U17" s="228" t="n">
        <f aca="false">INDEX(Projektion!$D$30:$AQ$30,20)</f>
        <v>5972.41922583474</v>
      </c>
      <c r="V17" s="228" t="n">
        <f aca="false">INDEX(Projektion!$D$30:$AQ$30,25)</f>
        <v>3996.17383618376</v>
      </c>
      <c r="W17" s="228" t="n">
        <f aca="false">INDEX(Projektion!$D$30:$AQ$30,30)</f>
        <v>1533.41252723045</v>
      </c>
      <c r="X17" s="228" t="n">
        <f aca="false">INDEX(Projektion!$D$30:$AQ$30,40)</f>
        <v>0</v>
      </c>
      <c r="Y17" s="12"/>
      <c r="Z17" s="12"/>
      <c r="AA17" s="12"/>
      <c r="AB17" s="12"/>
      <c r="AC17" s="12"/>
      <c r="AD17" s="12"/>
    </row>
    <row r="18" customFormat="false" ht="18" hidden="false" customHeight="true" outlineLevel="0" collapsed="false">
      <c r="A18" s="12"/>
      <c r="B18" s="143" t="s">
        <v>587</v>
      </c>
      <c r="C18" s="229" t="n">
        <f aca="false">IF(Wohnflaeche&gt;0,KP_Immobilie/Wohnflaeche,0)</f>
        <v>3653.33333333333</v>
      </c>
      <c r="D18" s="229"/>
      <c r="E18" s="40"/>
      <c r="F18" s="72" t="s">
        <v>588</v>
      </c>
      <c r="G18" s="129" t="n">
        <f aca="false">INDEX(Projektion!$D$26:$AQ$26,1)</f>
        <v>2490</v>
      </c>
      <c r="H18" s="129"/>
      <c r="I18" s="40"/>
      <c r="J18" s="72" t="s">
        <v>589</v>
      </c>
      <c r="K18" s="110" t="n">
        <f aca="false">Beleihung</f>
        <v>0.87719298245614</v>
      </c>
      <c r="L18" s="110"/>
      <c r="M18" s="40"/>
      <c r="N18" s="157" t="s">
        <v>534</v>
      </c>
      <c r="O18" s="228" t="n">
        <f aca="false">INDEX(Projektion!$D$31:$AQ$31,1)</f>
        <v>5000</v>
      </c>
      <c r="P18" s="228" t="n">
        <f aca="false">INDEX(Projektion!$D$31:$AQ$31,2)</f>
        <v>5180</v>
      </c>
      <c r="Q18" s="228" t="n">
        <f aca="false">INDEX(Projektion!$D$31:$AQ$31,3)</f>
        <v>5366.48</v>
      </c>
      <c r="R18" s="228" t="n">
        <f aca="false">INDEX(Projektion!$D$31:$AQ$31,5)</f>
        <v>5759.82151808</v>
      </c>
      <c r="S18" s="228" t="n">
        <f aca="false">INDEX(Projektion!$D$31:$AQ$31,10)</f>
        <v>6873.97270025247</v>
      </c>
      <c r="T18" s="228" t="n">
        <f aca="false">INDEX(Projektion!$D$31:$AQ$31,15)</f>
        <v>6441.74059309768</v>
      </c>
      <c r="U18" s="228" t="n">
        <f aca="false">INDEX(Projektion!$D$31:$AQ$31,20)</f>
        <v>8027.58077416526</v>
      </c>
      <c r="V18" s="228" t="n">
        <f aca="false">INDEX(Projektion!$D$31:$AQ$31,25)</f>
        <v>10003.8261638162</v>
      </c>
      <c r="W18" s="228" t="n">
        <f aca="false">INDEX(Projektion!$D$31:$AQ$31,30)</f>
        <v>12466.5874727695</v>
      </c>
      <c r="X18" s="228" t="n">
        <f aca="false">INDEX(Projektion!$D$31:$AQ$31,40)</f>
        <v>0</v>
      </c>
      <c r="Y18" s="12"/>
      <c r="Z18" s="12"/>
      <c r="AA18" s="12"/>
      <c r="AB18" s="12"/>
      <c r="AC18" s="12"/>
      <c r="AD18" s="12"/>
    </row>
    <row r="19" customFormat="false" ht="18" hidden="false" customHeight="true" outlineLevel="0" collapsed="false">
      <c r="A19" s="12"/>
      <c r="B19" s="72" t="s">
        <v>590</v>
      </c>
      <c r="C19" s="129" t="n">
        <f aca="false">NK_Summe</f>
        <v>30224.5</v>
      </c>
      <c r="D19" s="129"/>
      <c r="E19" s="40"/>
      <c r="F19" s="230" t="s">
        <v>300</v>
      </c>
      <c r="G19" s="231" t="n">
        <f aca="false">IF(INDEX(Projektion!$D$15:$AQ$15,1)&gt;0,BWK_J1/INDEX(Projektion!$D$15:$AQ$15,1),0)</f>
        <v>0.225176342919154</v>
      </c>
      <c r="H19" s="231"/>
      <c r="I19" s="40"/>
      <c r="J19" s="72" t="s">
        <v>591</v>
      </c>
      <c r="K19" s="114" t="n">
        <f aca="false">INDEX(Finanzierung!$D$39:$AQ$39,1)</f>
        <v>0.036</v>
      </c>
      <c r="L19" s="114"/>
      <c r="M19" s="40"/>
      <c r="N19" s="232" t="s">
        <v>370</v>
      </c>
      <c r="O19" s="233" t="n">
        <f aca="false">INDEX(Projektion!$D$33:$AQ$33,1)</f>
        <v>-5432</v>
      </c>
      <c r="P19" s="233" t="n">
        <f aca="false">INDEX(Projektion!$D$33:$AQ$33,2)</f>
        <v>-5260.64</v>
      </c>
      <c r="Q19" s="233" t="n">
        <f aca="false">INDEX(Projektion!$D$33:$AQ$33,3)</f>
        <v>-5085.8528</v>
      </c>
      <c r="R19" s="233" t="n">
        <f aca="false">INDEX(Projektion!$D$33:$AQ$33,5)</f>
        <v>-4725.72125312</v>
      </c>
      <c r="S19" s="233" t="n">
        <f aca="false">INDEX(Projektion!$D$33:$AQ$33,10)</f>
        <v>-3760.44687204404</v>
      </c>
      <c r="T19" s="233" t="n">
        <f aca="false">INDEX(Projektion!$D$33:$AQ$33,15)</f>
        <v>-2694.70595807731</v>
      </c>
      <c r="U19" s="233" t="n">
        <f aca="false">INDEX(Projektion!$D$33:$AQ$33,20)</f>
        <v>-1518.04187378182</v>
      </c>
      <c r="V19" s="233" t="n">
        <f aca="false">INDEX(Projektion!$D$33:$AQ$33,25)</f>
        <v>-218.909646496259</v>
      </c>
      <c r="W19" s="233" t="n">
        <f aca="false">INDEX(Projektion!$D$33:$AQ$33,30)</f>
        <v>1215.43730646818</v>
      </c>
      <c r="X19" s="233" t="n">
        <f aca="false">INDEX(Projektion!$D$33:$AQ$33,40)</f>
        <v>18547.5331743648</v>
      </c>
      <c r="Y19" s="12"/>
      <c r="Z19" s="12"/>
      <c r="AA19" s="12"/>
      <c r="AB19" s="12"/>
      <c r="AC19" s="12"/>
      <c r="AD19" s="12"/>
    </row>
    <row r="20" customFormat="false" ht="18" hidden="false" customHeight="true" outlineLevel="0" collapsed="false">
      <c r="A20" s="12"/>
      <c r="B20" s="143" t="s">
        <v>222</v>
      </c>
      <c r="C20" s="144" t="n">
        <f aca="false">NK_Quote</f>
        <v>0.106050877192982</v>
      </c>
      <c r="D20" s="144"/>
      <c r="E20" s="40"/>
      <c r="F20" s="73" t="s">
        <v>592</v>
      </c>
      <c r="G20" s="147" t="n">
        <f aca="false">INDEX(Projektion!$D$29:$AQ$29,1)</f>
        <v>8568</v>
      </c>
      <c r="H20" s="147"/>
      <c r="I20" s="40"/>
      <c r="J20" s="40"/>
      <c r="K20" s="40"/>
      <c r="L20" s="40"/>
      <c r="M20" s="40"/>
      <c r="N20" s="157" t="s">
        <v>593</v>
      </c>
      <c r="O20" s="228" t="n">
        <f aca="false">INDEX(Steuern!$D$56:$AQ$56,1)</f>
        <v>5685.35693430657</v>
      </c>
      <c r="P20" s="228" t="n">
        <f aca="false">INDEX(Steuern!$D$56:$AQ$56,2)</f>
        <v>5685.35693430657</v>
      </c>
      <c r="Q20" s="228" t="n">
        <f aca="false">INDEX(Steuern!$D$56:$AQ$56,3)</f>
        <v>5685.35693430657</v>
      </c>
      <c r="R20" s="228" t="n">
        <f aca="false">INDEX(Steuern!$D$56:$AQ$56,5)</f>
        <v>5685.35693430657</v>
      </c>
      <c r="S20" s="228" t="n">
        <f aca="false">INDEX(Steuern!$D$56:$AQ$56,10)</f>
        <v>5685.35693430657</v>
      </c>
      <c r="T20" s="228" t="n">
        <f aca="false">INDEX(Steuern!$D$56:$AQ$56,15)</f>
        <v>4885.35693430657</v>
      </c>
      <c r="U20" s="228" t="n">
        <f aca="false">INDEX(Steuern!$D$56:$AQ$56,20)</f>
        <v>4885.35693430657</v>
      </c>
      <c r="V20" s="228" t="n">
        <f aca="false">INDEX(Steuern!$D$56:$AQ$56,25)</f>
        <v>4885.35693430657</v>
      </c>
      <c r="W20" s="228" t="n">
        <f aca="false">INDEX(Steuern!$D$56:$AQ$56,30)</f>
        <v>4885.35693430657</v>
      </c>
      <c r="X20" s="228" t="n">
        <f aca="false">INDEX(Steuern!$D$56:$AQ$56,40)</f>
        <v>4885.35693430657</v>
      </c>
      <c r="Y20" s="12"/>
      <c r="Z20" s="12"/>
      <c r="AA20" s="12"/>
      <c r="AB20" s="12"/>
      <c r="AC20" s="12"/>
      <c r="AD20" s="12"/>
    </row>
    <row r="21" customFormat="false" ht="18" hidden="false" customHeight="true" outlineLevel="0" collapsed="false">
      <c r="A21" s="12"/>
      <c r="B21" s="72" t="s">
        <v>594</v>
      </c>
      <c r="C21" s="129" t="n">
        <f aca="false">FinNK_Summe</f>
        <v>1750</v>
      </c>
      <c r="D21" s="129"/>
      <c r="E21" s="40"/>
      <c r="F21" s="40"/>
      <c r="G21" s="40"/>
      <c r="H21" s="40"/>
      <c r="I21" s="40"/>
      <c r="J21" s="122" t="s">
        <v>595</v>
      </c>
      <c r="K21" s="234"/>
      <c r="L21" s="234"/>
      <c r="M21" s="40"/>
      <c r="N21" s="235" t="s">
        <v>559</v>
      </c>
      <c r="O21" s="236" t="n">
        <f aca="false">INDEX(Steuern!$D$67:$AQ$67,1)</f>
        <v>-18397.3569343066</v>
      </c>
      <c r="P21" s="236" t="n">
        <f aca="false">INDEX(Steuern!$D$67:$AQ$67,2)</f>
        <v>-4266.59693430657</v>
      </c>
      <c r="Q21" s="236" t="n">
        <f aca="false">INDEX(Steuern!$D$67:$AQ$67,3)</f>
        <v>-3875.34173430657</v>
      </c>
      <c r="R21" s="236" t="n">
        <f aca="false">INDEX(Steuern!$D$67:$AQ$67,5)</f>
        <v>-3060.08139414657</v>
      </c>
      <c r="S21" s="236" t="n">
        <f aca="false">INDEX(Steuern!$D$67:$AQ$67,10)</f>
        <v>-815.045030223342</v>
      </c>
      <c r="T21" s="236" t="n">
        <f aca="false">INDEX(Steuern!$D$67:$AQ$67,15)</f>
        <v>801.311482416226</v>
      </c>
      <c r="U21" s="236" t="n">
        <f aca="false">INDEX(Steuern!$D$67:$AQ$67,20)</f>
        <v>3765.69438969274</v>
      </c>
      <c r="V21" s="236" t="n">
        <f aca="false">INDEX(Steuern!$D$67:$AQ$67,25)</f>
        <v>7263.96233974199</v>
      </c>
      <c r="W21" s="236" t="n">
        <f aca="false">INDEX(Steuern!$D$67:$AQ$67,30)</f>
        <v>11407.1595396683</v>
      </c>
      <c r="X21" s="236" t="n">
        <f aca="false">INDEX(Steuern!$D$67:$AQ$67,40)</f>
        <v>16844.3510493855</v>
      </c>
      <c r="Y21" s="12"/>
      <c r="Z21" s="12"/>
      <c r="AA21" s="12"/>
      <c r="AB21" s="12"/>
      <c r="AC21" s="12"/>
      <c r="AD21" s="12"/>
    </row>
    <row r="22" customFormat="false" ht="18" hidden="false" customHeight="true" outlineLevel="0" collapsed="false">
      <c r="A22" s="12"/>
      <c r="B22" s="237" t="s">
        <v>596</v>
      </c>
      <c r="C22" s="238" t="n">
        <f aca="false">Investition_J1</f>
        <v>12000</v>
      </c>
      <c r="D22" s="238"/>
      <c r="E22" s="40"/>
      <c r="F22" s="122" t="s">
        <v>597</v>
      </c>
      <c r="G22" s="234"/>
      <c r="H22" s="234"/>
      <c r="I22" s="40"/>
      <c r="J22" s="72" t="s">
        <v>598</v>
      </c>
      <c r="K22" s="129" t="n">
        <f aca="false">INDEX(Finanzierung!$D$40:$AQ$40,1)</f>
        <v>1166.66666666667</v>
      </c>
      <c r="L22" s="129"/>
      <c r="M22" s="40"/>
      <c r="N22" s="235" t="s">
        <v>599</v>
      </c>
      <c r="O22" s="236" t="n">
        <f aca="false">INDEX(Projektion!$D$35:$AQ$35,1)</f>
        <v>-8510.39654952701</v>
      </c>
      <c r="P22" s="236" t="n">
        <f aca="false">INDEX(Projektion!$D$35:$AQ$35,2)</f>
        <v>-1973.67654264701</v>
      </c>
      <c r="Q22" s="236" t="n">
        <f aca="false">INDEX(Projektion!$D$35:$AQ$35,3)</f>
        <v>-1792.68658218941</v>
      </c>
      <c r="R22" s="236" t="n">
        <f aca="false">INDEX(Projektion!$D$35:$AQ$35,5)</f>
        <v>-1415.55693195547</v>
      </c>
      <c r="S22" s="236" t="n">
        <f aca="false">INDEX(Projektion!$D$35:$AQ$35,10)</f>
        <v>-377.030050440955</v>
      </c>
      <c r="T22" s="236" t="n">
        <f aca="false">INDEX(Projektion!$D$35:$AQ$35,15)</f>
        <v>370.677076027957</v>
      </c>
      <c r="U22" s="236" t="n">
        <f aca="false">INDEX(Projektion!$D$35:$AQ$35,20)</f>
        <v>1741.96503633918</v>
      </c>
      <c r="V22" s="236" t="n">
        <f aca="false">INDEX(Projektion!$D$35:$AQ$35,25)</f>
        <v>3360.22181081657</v>
      </c>
      <c r="W22" s="236" t="n">
        <f aca="false">INDEX(Projektion!$D$35:$AQ$35,30)</f>
        <v>5276.8151171361</v>
      </c>
      <c r="X22" s="236" t="n">
        <f aca="false">INDEX(Projektion!$D$35:$AQ$35,40)</f>
        <v>7791.99466323314</v>
      </c>
      <c r="Y22" s="12"/>
      <c r="Z22" s="12"/>
      <c r="AA22" s="12"/>
      <c r="AB22" s="12"/>
      <c r="AC22" s="12"/>
      <c r="AD22" s="12"/>
    </row>
    <row r="23" customFormat="false" ht="18" hidden="false" customHeight="true" outlineLevel="0" collapsed="false">
      <c r="A23" s="12"/>
      <c r="B23" s="73" t="s">
        <v>275</v>
      </c>
      <c r="C23" s="147" t="n">
        <f aca="false">Gesamtinvestition</f>
        <v>328974.5</v>
      </c>
      <c r="D23" s="147"/>
      <c r="E23" s="40"/>
      <c r="F23" s="72" t="s">
        <v>600</v>
      </c>
      <c r="G23" s="110" t="n">
        <f aca="false">Bruttomietrendite</f>
        <v>0.04</v>
      </c>
      <c r="H23" s="110"/>
      <c r="I23" s="40"/>
      <c r="J23" s="72" t="s">
        <v>601</v>
      </c>
      <c r="K23" s="129" t="n">
        <f aca="false">INDEX(Finanzierung!$D$37:$AQ$37,1)</f>
        <v>14000</v>
      </c>
      <c r="L23" s="129"/>
      <c r="M23" s="40"/>
      <c r="N23" s="232" t="s">
        <v>497</v>
      </c>
      <c r="O23" s="233" t="n">
        <f aca="false">INDEX(Projektion!$D$36:$AQ$36,1)</f>
        <v>3078.39654952701</v>
      </c>
      <c r="P23" s="233" t="n">
        <f aca="false">INDEX(Projektion!$D$36:$AQ$36,2)</f>
        <v>-3286.96345735299</v>
      </c>
      <c r="Q23" s="233" t="n">
        <f aca="false">INDEX(Projektion!$D$36:$AQ$36,3)</f>
        <v>-3293.16621781059</v>
      </c>
      <c r="R23" s="233" t="n">
        <f aca="false">INDEX(Projektion!$D$36:$AQ$36,5)</f>
        <v>-3310.16432116452</v>
      </c>
      <c r="S23" s="233" t="n">
        <f aca="false">INDEX(Projektion!$D$36:$AQ$36,10)</f>
        <v>-3383.41682160308</v>
      </c>
      <c r="T23" s="233" t="n">
        <f aca="false">INDEX(Projektion!$D$36:$AQ$36,15)</f>
        <v>-3065.38303410527</v>
      </c>
      <c r="U23" s="233" t="n">
        <f aca="false">INDEX(Projektion!$D$36:$AQ$36,20)</f>
        <v>-3260.006910121</v>
      </c>
      <c r="V23" s="233" t="n">
        <f aca="false">INDEX(Projektion!$D$36:$AQ$36,25)</f>
        <v>-3579.13145731283</v>
      </c>
      <c r="W23" s="233" t="n">
        <f aca="false">INDEX(Projektion!$D$36:$AQ$36,30)</f>
        <v>-4061.37781066792</v>
      </c>
      <c r="X23" s="233" t="n">
        <f aca="false">INDEX(Projektion!$D$36:$AQ$36,40)</f>
        <v>10755.5385111316</v>
      </c>
      <c r="Y23" s="12"/>
      <c r="Z23" s="12"/>
      <c r="AA23" s="12"/>
      <c r="AB23" s="12"/>
      <c r="AC23" s="12"/>
      <c r="AD23" s="12"/>
    </row>
    <row r="24" customFormat="false" ht="18" hidden="false" customHeight="true" outlineLevel="0" collapsed="false">
      <c r="A24" s="12"/>
      <c r="B24" s="40"/>
      <c r="C24" s="40"/>
      <c r="D24" s="40"/>
      <c r="E24" s="40"/>
      <c r="F24" s="72" t="s">
        <v>602</v>
      </c>
      <c r="G24" s="110" t="n">
        <f aca="false">IF(Gesamtinvestition&gt;0,NOI_J1/Gesamtinvestition,0)</f>
        <v>0.0260445718437143</v>
      </c>
      <c r="H24" s="110"/>
      <c r="I24" s="40"/>
      <c r="J24" s="72" t="s">
        <v>356</v>
      </c>
      <c r="K24" s="158" t="n">
        <f aca="false">IF(Kapitaldienst_J1&gt;0,NOI_J1/Kapitaldienst_J1,0)</f>
        <v>0.612</v>
      </c>
      <c r="L24" s="158"/>
      <c r="M24" s="40"/>
      <c r="N24" s="157" t="s">
        <v>603</v>
      </c>
      <c r="O24" s="228" t="n">
        <f aca="false">INDEX(Projektion!$D$37:$AQ$37,1)</f>
        <v>256.533045793917</v>
      </c>
      <c r="P24" s="228" t="n">
        <f aca="false">INDEX(Projektion!$D$37:$AQ$37,2)</f>
        <v>-273.913621446083</v>
      </c>
      <c r="Q24" s="228" t="n">
        <f aca="false">INDEX(Projektion!$D$37:$AQ$37,3)</f>
        <v>-274.430518150883</v>
      </c>
      <c r="R24" s="228" t="n">
        <f aca="false">INDEX(Projektion!$D$37:$AQ$37,5)</f>
        <v>-275.84702676371</v>
      </c>
      <c r="S24" s="228" t="n">
        <f aca="false">INDEX(Projektion!$D$37:$AQ$37,10)</f>
        <v>-281.951401800257</v>
      </c>
      <c r="T24" s="228" t="n">
        <f aca="false">INDEX(Projektion!$D$37:$AQ$37,15)</f>
        <v>-255.448586175439</v>
      </c>
      <c r="U24" s="228" t="n">
        <f aca="false">INDEX(Projektion!$D$37:$AQ$37,20)</f>
        <v>-271.667242510084</v>
      </c>
      <c r="V24" s="228" t="n">
        <f aca="false">INDEX(Projektion!$D$37:$AQ$37,25)</f>
        <v>-298.260954776069</v>
      </c>
      <c r="W24" s="228" t="n">
        <f aca="false">INDEX(Projektion!$D$37:$AQ$37,30)</f>
        <v>-338.448150888994</v>
      </c>
      <c r="X24" s="228" t="n">
        <f aca="false">INDEX(Projektion!$D$37:$AQ$37,40)</f>
        <v>896.294875927637</v>
      </c>
      <c r="Y24" s="12"/>
      <c r="Z24" s="12"/>
      <c r="AA24" s="12"/>
      <c r="AB24" s="12"/>
      <c r="AC24" s="12"/>
      <c r="AD24" s="12"/>
    </row>
    <row r="25" customFormat="false" ht="18" hidden="false" customHeight="true" outlineLevel="0" collapsed="false">
      <c r="A25" s="12"/>
      <c r="B25" s="122" t="s">
        <v>604</v>
      </c>
      <c r="C25" s="234"/>
      <c r="D25" s="234"/>
      <c r="E25" s="40"/>
      <c r="F25" s="72" t="s">
        <v>605</v>
      </c>
      <c r="G25" s="134" t="n">
        <f aca="false">Kaufpreisfaktor</f>
        <v>25</v>
      </c>
      <c r="H25" s="134"/>
      <c r="I25" s="40"/>
      <c r="J25" s="72" t="s">
        <v>606</v>
      </c>
      <c r="K25" s="129" t="n">
        <f aca="false">IFERROR(INDEX(Finanzierung!$D$19:$AQ$19,MIN(Zinsbindung_I,40)),0)</f>
        <v>191071.230070512</v>
      </c>
      <c r="L25" s="129"/>
      <c r="M25" s="40"/>
      <c r="N25" s="235" t="s">
        <v>607</v>
      </c>
      <c r="O25" s="236" t="n">
        <f aca="false">INDEX(Projektion!$D$38:$AQ$38,1)</f>
        <v>3078.39654952701</v>
      </c>
      <c r="P25" s="236" t="n">
        <f aca="false">INDEX(Projektion!$D$38:$AQ$38,2)</f>
        <v>-208.566907825983</v>
      </c>
      <c r="Q25" s="236" t="n">
        <f aca="false">INDEX(Projektion!$D$38:$AQ$38,3)</f>
        <v>-3501.73312563657</v>
      </c>
      <c r="R25" s="236" t="n">
        <f aca="false">INDEX(Projektion!$D$38:$AQ$38,5)</f>
        <v>-10112.7706948423</v>
      </c>
      <c r="S25" s="236" t="n">
        <f aca="false">INDEX(Projektion!$D$38:$AQ$38,10)</f>
        <v>-26864.4217038226</v>
      </c>
      <c r="T25" s="236" t="n">
        <f aca="false">INDEX(Projektion!$D$38:$AQ$38,15)</f>
        <v>-41957.8642652334</v>
      </c>
      <c r="U25" s="236" t="n">
        <f aca="false">INDEX(Projektion!$D$38:$AQ$38,20)</f>
        <v>-57825.4667610762</v>
      </c>
      <c r="V25" s="236" t="n">
        <f aca="false">INDEX(Projektion!$D$38:$AQ$38,25)</f>
        <v>-75026.0266916726</v>
      </c>
      <c r="W25" s="236" t="n">
        <f aca="false">INDEX(Projektion!$D$38:$AQ$38,30)</f>
        <v>-94294.2313455335</v>
      </c>
      <c r="X25" s="236" t="n">
        <f aca="false">INDEX(Projektion!$D$38:$AQ$38,40)</f>
        <v>-16195.5435786783</v>
      </c>
      <c r="Y25" s="12"/>
      <c r="Z25" s="12"/>
      <c r="AA25" s="12"/>
      <c r="AB25" s="12"/>
      <c r="AC25" s="12"/>
      <c r="AD25" s="12"/>
    </row>
    <row r="26" customFormat="false" ht="18" hidden="false" customHeight="true" outlineLevel="0" collapsed="false">
      <c r="A26" s="12"/>
      <c r="B26" s="72" t="s">
        <v>608</v>
      </c>
      <c r="C26" s="110" t="n">
        <f aca="false">1-Gebaeudeanteil_Pct</f>
        <v>0.197080291970803</v>
      </c>
      <c r="D26" s="110"/>
      <c r="E26" s="40"/>
      <c r="F26" s="72" t="s">
        <v>609</v>
      </c>
      <c r="G26" s="116" t="str">
        <f aca="false">FIXED(Mietsteigerung*100,1)&amp;" % · "&amp;FIXED(Kostensteigerung*100,1)&amp;" % · "&amp;FIXED(Wertsteigerung*100,1)&amp;" %"</f>
        <v>2.0 % · 2.0 % · 2.0 %</v>
      </c>
      <c r="H26" s="116"/>
      <c r="I26" s="40"/>
      <c r="J26" s="72" t="s">
        <v>610</v>
      </c>
      <c r="K26" s="116" t="str">
        <f aca="false">IF(Darlehen_Summe&lt;=0,"kein Darlehen",IFERROR("Jahr "&amp;MATCH(0,Finanzierung!$D$38:$AQ$38,0)&amp;" ("&amp;(YEAR(Kaufdatum)+MATCH(0,Finanzierung!$D$38:$AQ$38,0)-1)&amp;")","nach &gt; 40 Jahren"))</f>
        <v>Jahr 32 (2057)</v>
      </c>
      <c r="L26" s="116"/>
      <c r="M26" s="40"/>
      <c r="N26" s="157" t="s">
        <v>611</v>
      </c>
      <c r="O26" s="228" t="n">
        <f aca="false">INDEX(Projektion!$D$42:$AQ$42,1)</f>
        <v>245000</v>
      </c>
      <c r="P26" s="228" t="n">
        <f aca="false">INDEX(Projektion!$D$42:$AQ$42,2)</f>
        <v>239820</v>
      </c>
      <c r="Q26" s="228" t="n">
        <f aca="false">INDEX(Projektion!$D$42:$AQ$42,3)</f>
        <v>234453.52</v>
      </c>
      <c r="R26" s="228" t="n">
        <f aca="false">INDEX(Projektion!$D$42:$AQ$42,5)</f>
        <v>223134.02520192</v>
      </c>
      <c r="S26" s="228" t="n">
        <f aca="false">INDEX(Projektion!$D$42:$AQ$42,10)</f>
        <v>191071.230070512</v>
      </c>
      <c r="T26" s="228" t="n">
        <f aca="false">INDEX(Projektion!$D$42:$AQ$42,15)</f>
        <v>161519.579560287</v>
      </c>
      <c r="U26" s="228" t="n">
        <f aca="false">INDEX(Projektion!$D$42:$AQ$42,20)</f>
        <v>124692.846466607</v>
      </c>
      <c r="V26" s="228" t="n">
        <f aca="false">INDEX(Projektion!$D$42:$AQ$42,25)</f>
        <v>78800.0368624896</v>
      </c>
      <c r="W26" s="228" t="n">
        <f aca="false">INDEX(Projektion!$D$42:$AQ$42,30)</f>
        <v>21609.2464656849</v>
      </c>
      <c r="X26" s="228" t="n">
        <f aca="false">INDEX(Projektion!$D$42:$AQ$42,40)</f>
        <v>0</v>
      </c>
      <c r="Y26" s="12"/>
      <c r="Z26" s="12"/>
      <c r="AA26" s="12"/>
      <c r="AB26" s="12"/>
      <c r="AC26" s="12"/>
      <c r="AD26" s="12"/>
    </row>
    <row r="27" customFormat="false" ht="18" hidden="false" customHeight="true" outlineLevel="0" collapsed="false">
      <c r="A27" s="12"/>
      <c r="B27" s="237" t="s">
        <v>612</v>
      </c>
      <c r="C27" s="238" t="n">
        <f aca="false">AK_Boden</f>
        <v>59956.6532846715</v>
      </c>
      <c r="D27" s="238"/>
      <c r="E27" s="40"/>
      <c r="F27" s="72" t="s">
        <v>613</v>
      </c>
      <c r="G27" s="116" t="str">
        <f aca="false">FIXED(Mietausfall_Pct*100,1)&amp;" % · "&amp;Leerstand_Monate&amp;" Monate"</f>
        <v>3.0 % · 0 Monate</v>
      </c>
      <c r="H27" s="116"/>
      <c r="I27" s="40"/>
      <c r="J27" s="72" t="s">
        <v>614</v>
      </c>
      <c r="K27" s="129" t="n">
        <f aca="false">Restschuld_ZB_I*0.01</f>
        <v>1910.71230070512</v>
      </c>
      <c r="L27" s="129"/>
      <c r="M27" s="40"/>
      <c r="N27" s="157" t="s">
        <v>615</v>
      </c>
      <c r="O27" s="228" t="n">
        <f aca="false">INDEX(Projektion!$D$41:$AQ$41,1)</f>
        <v>302940</v>
      </c>
      <c r="P27" s="228" t="n">
        <f aca="false">INDEX(Projektion!$D$41:$AQ$41,2)</f>
        <v>308998.8</v>
      </c>
      <c r="Q27" s="228" t="n">
        <f aca="false">INDEX(Projektion!$D$41:$AQ$41,3)</f>
        <v>315178.776</v>
      </c>
      <c r="R27" s="228" t="n">
        <f aca="false">INDEX(Projektion!$D$41:$AQ$41,5)</f>
        <v>327911.9985504</v>
      </c>
      <c r="S27" s="228" t="n">
        <f aca="false">INDEX(Projektion!$D$41:$AQ$41,10)</f>
        <v>362041.342738443</v>
      </c>
      <c r="T27" s="228" t="n">
        <f aca="false">INDEX(Projektion!$D$41:$AQ$41,15)</f>
        <v>399722.896482267</v>
      </c>
      <c r="U27" s="228" t="n">
        <f aca="false">INDEX(Projektion!$D$41:$AQ$41,20)</f>
        <v>441326.376605572</v>
      </c>
      <c r="V27" s="228" t="n">
        <f aca="false">INDEX(Projektion!$D$41:$AQ$41,25)</f>
        <v>487259.980356025</v>
      </c>
      <c r="W27" s="228" t="n">
        <f aca="false">INDEX(Projektion!$D$41:$AQ$41,30)</f>
        <v>537974.390478696</v>
      </c>
      <c r="X27" s="228" t="n">
        <f aca="false">INDEX(Projektion!$D$41:$AQ$41,40)</f>
        <v>655787.780093612</v>
      </c>
      <c r="Y27" s="12"/>
      <c r="Z27" s="12"/>
      <c r="AA27" s="12"/>
      <c r="AB27" s="12"/>
      <c r="AC27" s="12"/>
      <c r="AD27" s="12"/>
    </row>
    <row r="28" customFormat="false" ht="18" hidden="false" customHeight="true" outlineLevel="0" collapsed="false">
      <c r="A28" s="12"/>
      <c r="B28" s="141" t="s">
        <v>616</v>
      </c>
      <c r="C28" s="142" t="n">
        <f aca="false">AK_Gebaeude</f>
        <v>244267.846715328</v>
      </c>
      <c r="D28" s="142"/>
      <c r="E28" s="40"/>
      <c r="F28" s="72" t="s">
        <v>617</v>
      </c>
      <c r="G28" s="110" t="n">
        <f aca="false">EKR_Tile</f>
        <v>0.177505353620814</v>
      </c>
      <c r="H28" s="110"/>
      <c r="I28" s="40"/>
      <c r="J28" s="72" t="s">
        <v>618</v>
      </c>
      <c r="K28" s="239" t="n">
        <f aca="false">Zinsbindung_I</f>
        <v>10</v>
      </c>
      <c r="L28" s="239"/>
      <c r="M28" s="40"/>
      <c r="N28" s="232" t="s">
        <v>619</v>
      </c>
      <c r="O28" s="233" t="n">
        <f aca="false">INDEX(Projektion!$D$43:$AQ$43,1)</f>
        <v>57940</v>
      </c>
      <c r="P28" s="233" t="n">
        <f aca="false">INDEX(Projektion!$D$43:$AQ$43,2)</f>
        <v>69178.8</v>
      </c>
      <c r="Q28" s="233" t="n">
        <f aca="false">INDEX(Projektion!$D$43:$AQ$43,3)</f>
        <v>80725.256</v>
      </c>
      <c r="R28" s="233" t="n">
        <f aca="false">INDEX(Projektion!$D$43:$AQ$43,5)</f>
        <v>104777.97334848</v>
      </c>
      <c r="S28" s="233" t="n">
        <f aca="false">INDEX(Projektion!$D$43:$AQ$43,10)</f>
        <v>170970.112667931</v>
      </c>
      <c r="T28" s="233" t="n">
        <f aca="false">INDEX(Projektion!$D$43:$AQ$43,15)</f>
        <v>238203.31692198</v>
      </c>
      <c r="U28" s="233" t="n">
        <f aca="false">INDEX(Projektion!$D$43:$AQ$43,20)</f>
        <v>316633.530138965</v>
      </c>
      <c r="V28" s="233" t="n">
        <f aca="false">INDEX(Projektion!$D$43:$AQ$43,25)</f>
        <v>408459.943493536</v>
      </c>
      <c r="W28" s="233" t="n">
        <f aca="false">INDEX(Projektion!$D$43:$AQ$43,30)</f>
        <v>516365.144013012</v>
      </c>
      <c r="X28" s="233" t="n">
        <f aca="false">INDEX(Projektion!$D$43:$AQ$43,40)</f>
        <v>655787.780093612</v>
      </c>
      <c r="Y28" s="12"/>
      <c r="Z28" s="12"/>
      <c r="AA28" s="12"/>
      <c r="AB28" s="12"/>
      <c r="AC28" s="12"/>
      <c r="AD28" s="12"/>
    </row>
    <row r="29" customFormat="false" ht="18" hidden="false" customHeight="true" outlineLevel="0" collapsed="false">
      <c r="A29" s="12"/>
      <c r="B29" s="72" t="s">
        <v>620</v>
      </c>
      <c r="C29" s="129" t="n">
        <f aca="false">KP_bewegl</f>
        <v>8000</v>
      </c>
      <c r="D29" s="129"/>
      <c r="E29" s="40"/>
      <c r="F29" s="72" t="s">
        <v>621</v>
      </c>
      <c r="G29" s="129" t="n">
        <f aca="false">BE_Miete_vSt</f>
        <v>1416.66666666667</v>
      </c>
      <c r="H29" s="129"/>
      <c r="I29" s="40"/>
      <c r="J29" s="72" t="s">
        <v>622</v>
      </c>
      <c r="K29" s="114" t="n">
        <f aca="false">Anschlusszins_I</f>
        <v>0.045</v>
      </c>
      <c r="L29" s="114"/>
      <c r="M29" s="40"/>
      <c r="N29" s="240" t="s">
        <v>623</v>
      </c>
      <c r="O29" s="241" t="n">
        <f aca="false">INDEX(Projektion!$D$45:$AQ$45,1)</f>
        <v>0.177505353620814</v>
      </c>
      <c r="P29" s="241" t="n">
        <f aca="false">INDEX(Projektion!$D$45:$AQ$45,2)</f>
        <v>0.100688659537534</v>
      </c>
      <c r="Q29" s="241" t="n">
        <f aca="false">INDEX(Projektion!$D$45:$AQ$45,3)</f>
        <v>0.104505755429784</v>
      </c>
      <c r="R29" s="241" t="n">
        <f aca="false">INDEX(Projektion!$D$45:$AQ$45,5)</f>
        <v>0.112432547560484</v>
      </c>
      <c r="S29" s="241" t="n">
        <f aca="false">INDEX(Projektion!$D$45:$AQ$45,10)</f>
        <v>0.134086391636109</v>
      </c>
      <c r="T29" s="241" t="n">
        <f aca="false">INDEX(Projektion!$D$45:$AQ$45,15)</f>
        <v>0.141995978595444</v>
      </c>
      <c r="U29" s="241" t="n">
        <f aca="false">INDEX(Projektion!$D$45:$AQ$45,20)</f>
        <v>0.169941338392258</v>
      </c>
      <c r="V29" s="241" t="n">
        <f aca="false">INDEX(Projektion!$D$45:$AQ$45,25)</f>
        <v>0.202328751285368</v>
      </c>
      <c r="W29" s="241" t="n">
        <f aca="false">INDEX(Projektion!$D$45:$AQ$45,30)</f>
        <v>0.239998064216528</v>
      </c>
      <c r="X29" s="241" t="n">
        <f aca="false">INDEX(Projektion!$D$45:$AQ$45,40)</f>
        <v>0.299009457920414</v>
      </c>
      <c r="Y29" s="12"/>
      <c r="Z29" s="12"/>
      <c r="AA29" s="12"/>
      <c r="AB29" s="12"/>
      <c r="AC29" s="12"/>
      <c r="AD29" s="12"/>
    </row>
    <row r="30" customFormat="false" ht="18" hidden="false" customHeight="true" outlineLevel="0" collapsed="false">
      <c r="A30" s="12"/>
      <c r="B30" s="242" t="s">
        <v>624</v>
      </c>
      <c r="C30" s="243" t="n">
        <f aca="false">Ruecklage_mitverkauft</f>
        <v>3000</v>
      </c>
      <c r="D30" s="243"/>
      <c r="E30" s="40"/>
      <c r="F30" s="242" t="s">
        <v>625</v>
      </c>
      <c r="G30" s="243" t="n">
        <f aca="false">BE_Miete_nSt</f>
        <v>457.887695995806</v>
      </c>
      <c r="H30" s="243"/>
      <c r="I30" s="40"/>
      <c r="J30" s="242" t="s">
        <v>626</v>
      </c>
      <c r="K30" s="244" t="n">
        <f aca="false">Tilgung_I</f>
        <v>0.02</v>
      </c>
      <c r="L30" s="244"/>
      <c r="M30" s="40"/>
      <c r="N30" s="245" t="s">
        <v>627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18" hidden="false" customHeight="true" outlineLevel="0" collapsed="false">
      <c r="A31" s="12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4" hidden="false" customHeight="true" outlineLevel="0" collapsed="false">
      <c r="A32" s="12"/>
      <c r="B32" s="33" t="s">
        <v>522</v>
      </c>
      <c r="C32" s="42"/>
      <c r="D32" s="35" t="s">
        <v>575</v>
      </c>
      <c r="E32" s="40"/>
      <c r="F32" s="33" t="s">
        <v>628</v>
      </c>
      <c r="G32" s="42"/>
      <c r="H32" s="35" t="s">
        <v>629</v>
      </c>
      <c r="I32" s="40"/>
      <c r="J32" s="33" t="s">
        <v>630</v>
      </c>
      <c r="K32" s="42"/>
      <c r="L32" s="35" t="s">
        <v>631</v>
      </c>
      <c r="M32" s="40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3" hidden="true" customHeight="true" outlineLevel="0" collapsed="false">
      <c r="A33" s="12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3" hidden="true" customHeight="true" outlineLevel="0" collapsed="false">
      <c r="A34" s="12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18" hidden="false" customHeight="true" outlineLevel="0" collapsed="false">
      <c r="A35" s="12"/>
      <c r="B35" s="96"/>
      <c r="C35" s="109" t="s">
        <v>632</v>
      </c>
      <c r="D35" s="109" t="s">
        <v>633</v>
      </c>
      <c r="E35" s="40"/>
      <c r="F35" s="72" t="s">
        <v>399</v>
      </c>
      <c r="G35" s="116" t="str">
        <f aca="false">CHOOSE(Rechtsform_Idx,"Privat","vv-GmbH","GmbH")</f>
        <v>Privat</v>
      </c>
      <c r="H35" s="116"/>
      <c r="I35" s="40"/>
      <c r="J35" s="72" t="s">
        <v>634</v>
      </c>
      <c r="K35" s="239" t="n">
        <f aca="false">Haltedauer</f>
        <v>12</v>
      </c>
      <c r="L35" s="239"/>
      <c r="M35" s="40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18" hidden="false" customHeight="true" outlineLevel="0" collapsed="false">
      <c r="A36" s="12"/>
      <c r="B36" s="72" t="s">
        <v>383</v>
      </c>
      <c r="C36" s="129" t="n">
        <f aca="false">INDEX(Projektion!$D$15:$AQ$15,1)/12</f>
        <v>921.5</v>
      </c>
      <c r="D36" s="129" t="n">
        <f aca="false">INDEX(Projektion!$D$15:$AQ$15,1)</f>
        <v>11058</v>
      </c>
      <c r="E36" s="40"/>
      <c r="F36" s="72" t="s">
        <v>635</v>
      </c>
      <c r="G36" s="114" t="n">
        <f aca="false">INDEX(Steuern!$D$72:$AQ$72,1)</f>
        <v>0.462588</v>
      </c>
      <c r="H36" s="114"/>
      <c r="I36" s="40"/>
      <c r="J36" s="72" t="s">
        <v>636</v>
      </c>
      <c r="K36" s="129" t="n">
        <f aca="false">Exit_VP</f>
        <v>376667.812985076</v>
      </c>
      <c r="L36" s="129"/>
      <c r="M36" s="40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18" hidden="false" customHeight="true" outlineLevel="0" collapsed="false">
      <c r="A37" s="12"/>
      <c r="B37" s="237" t="s">
        <v>637</v>
      </c>
      <c r="C37" s="238" t="n">
        <f aca="false">INDEX(Projektion!$D$26:$AQ$26,1)/12</f>
        <v>207.5</v>
      </c>
      <c r="D37" s="238" t="n">
        <f aca="false">INDEX(Projektion!$D$26:$AQ$26,1)</f>
        <v>2490</v>
      </c>
      <c r="E37" s="40"/>
      <c r="F37" s="72" t="s">
        <v>638</v>
      </c>
      <c r="G37" s="116" t="str">
        <f aca="false">CHOOSE(Methode_eff,"Automatisch nach Baujahr","Linear 2,0 %","Linear 2,5 %","Linear 3,0 %","Degressiv 5 %","Gutachten (RND)")</f>
        <v>Automatisch nach Baujahr</v>
      </c>
      <c r="H37" s="116"/>
      <c r="I37" s="40"/>
      <c r="J37" s="72" t="s">
        <v>639</v>
      </c>
      <c r="K37" s="129" t="n">
        <f aca="false">Exit_VK</f>
        <v>7533.35625970152</v>
      </c>
      <c r="L37" s="129"/>
      <c r="M37" s="40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18" hidden="false" customHeight="true" outlineLevel="0" collapsed="false">
      <c r="A38" s="12"/>
      <c r="B38" s="141" t="s">
        <v>303</v>
      </c>
      <c r="C38" s="142" t="n">
        <f aca="false">INDEX(Projektion!$D$29:$AQ$29,1)/12</f>
        <v>714</v>
      </c>
      <c r="D38" s="142" t="n">
        <f aca="false">INDEX(Projektion!$D$29:$AQ$29,1)</f>
        <v>8568</v>
      </c>
      <c r="E38" s="40"/>
      <c r="F38" s="72" t="s">
        <v>640</v>
      </c>
      <c r="G38" s="129" t="n">
        <f aca="false">INDEX(Steuern!$D$49:$AQ$49,1)</f>
        <v>4885.35693430657</v>
      </c>
      <c r="H38" s="129"/>
      <c r="I38" s="40"/>
      <c r="J38" s="72" t="s">
        <v>641</v>
      </c>
      <c r="K38" s="129" t="n">
        <f aca="false">Exit_Restschuld</f>
        <v>180024.560017751</v>
      </c>
      <c r="L38" s="129"/>
      <c r="M38" s="40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18" hidden="false" customHeight="true" outlineLevel="0" collapsed="false">
      <c r="A39" s="12"/>
      <c r="B39" s="72" t="s">
        <v>386</v>
      </c>
      <c r="C39" s="129" t="n">
        <f aca="false">INDEX(Projektion!$D$30:$AQ$30,1)/12</f>
        <v>750</v>
      </c>
      <c r="D39" s="129" t="n">
        <f aca="false">INDEX(Projektion!$D$30:$AQ$30,1)</f>
        <v>9000</v>
      </c>
      <c r="E39" s="40"/>
      <c r="F39" s="72" t="s">
        <v>642</v>
      </c>
      <c r="G39" s="129" t="n">
        <f aca="false">INDEX(Steuern!$D$50:$AQ$50,1)</f>
        <v>0</v>
      </c>
      <c r="H39" s="129"/>
      <c r="I39" s="40"/>
      <c r="J39" s="143" t="s">
        <v>467</v>
      </c>
      <c r="K39" s="229" t="n">
        <f aca="false">Exit_Gewinn</f>
        <v>120534.239937053</v>
      </c>
      <c r="L39" s="229"/>
      <c r="M39" s="40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18" hidden="false" customHeight="true" outlineLevel="0" collapsed="false">
      <c r="A40" s="12"/>
      <c r="B40" s="237" t="s">
        <v>388</v>
      </c>
      <c r="C40" s="238" t="n">
        <f aca="false">INDEX(Projektion!$D$31:$AQ$31,1)/12</f>
        <v>416.666666666667</v>
      </c>
      <c r="D40" s="238" t="n">
        <f aca="false">INDEX(Projektion!$D$31:$AQ$31,1)</f>
        <v>5000</v>
      </c>
      <c r="E40" s="40"/>
      <c r="F40" s="72" t="s">
        <v>643</v>
      </c>
      <c r="G40" s="129" t="n">
        <f aca="false">INDEX(Steuern!$D$54:$AQ$54,1)</f>
        <v>0</v>
      </c>
      <c r="H40" s="129"/>
      <c r="I40" s="40"/>
      <c r="J40" s="143" t="s">
        <v>644</v>
      </c>
      <c r="K40" s="227" t="str">
        <f aca="false">IF(Exit_steuerpflichtig=1,IF(Rechtsform_Idx=1,"Ja (§ 23 EStG)","Ja (GmbH)"),"Nein (steuerfrei)")</f>
        <v>Nein (steuerfrei)</v>
      </c>
      <c r="L40" s="227"/>
      <c r="M40" s="40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18" hidden="false" customHeight="true" outlineLevel="0" collapsed="false">
      <c r="A41" s="12"/>
      <c r="B41" s="141" t="s">
        <v>553</v>
      </c>
      <c r="C41" s="142" t="n">
        <f aca="false">INDEX(Projektion!$D$33:$AQ$33,1)/12</f>
        <v>-452.666666666667</v>
      </c>
      <c r="D41" s="142" t="n">
        <f aca="false">INDEX(Projektion!$D$33:$AQ$33,1)</f>
        <v>-5432</v>
      </c>
      <c r="E41" s="40"/>
      <c r="F41" s="237" t="s">
        <v>446</v>
      </c>
      <c r="G41" s="238" t="n">
        <f aca="false">INDEX(Steuern!$D$55:$AQ$55,1)</f>
        <v>800</v>
      </c>
      <c r="H41" s="238"/>
      <c r="I41" s="40"/>
      <c r="J41" s="237" t="s">
        <v>645</v>
      </c>
      <c r="K41" s="238" t="n">
        <f aca="false">Exit_Steuer</f>
        <v>0</v>
      </c>
      <c r="L41" s="238"/>
      <c r="M41" s="40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18" hidden="false" customHeight="true" outlineLevel="0" collapsed="false">
      <c r="A42" s="12"/>
      <c r="B42" s="237" t="s">
        <v>554</v>
      </c>
      <c r="C42" s="246" t="n">
        <f aca="false">INDEX(Projektion!$D$35:$AQ$35,1)/12</f>
        <v>-709.199712460584</v>
      </c>
      <c r="D42" s="246" t="n">
        <f aca="false">INDEX(Projektion!$D$35:$AQ$35,1)</f>
        <v>-8510.39654952701</v>
      </c>
      <c r="E42" s="40"/>
      <c r="F42" s="141" t="s">
        <v>449</v>
      </c>
      <c r="G42" s="142" t="n">
        <f aca="false">INDEX(Steuern!$D$56:$AQ$56,1)</f>
        <v>5685.35693430657</v>
      </c>
      <c r="H42" s="142"/>
      <c r="I42" s="40"/>
      <c r="J42" s="141" t="s">
        <v>646</v>
      </c>
      <c r="K42" s="142" t="n">
        <f aca="false">Exit_Netto</f>
        <v>189109.896707623</v>
      </c>
      <c r="L42" s="142"/>
      <c r="M42" s="40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18" hidden="false" customHeight="true" outlineLevel="0" collapsed="false">
      <c r="A43" s="12"/>
      <c r="B43" s="73" t="s">
        <v>555</v>
      </c>
      <c r="C43" s="147" t="n">
        <f aca="false">INDEX(Projektion!$D$36:$AQ$36,1)/12</f>
        <v>256.533045793917</v>
      </c>
      <c r="D43" s="147" t="n">
        <f aca="false">INDEX(Projektion!$D$36:$AQ$36,1)</f>
        <v>3078.39654952701</v>
      </c>
      <c r="E43" s="40"/>
      <c r="F43" s="72" t="s">
        <v>647</v>
      </c>
      <c r="G43" s="129" t="n">
        <f aca="false">INDEX(Steuern!$D$64:$AQ$64,1)</f>
        <v>12000</v>
      </c>
      <c r="H43" s="129"/>
      <c r="I43" s="40"/>
      <c r="J43" s="72" t="s">
        <v>648</v>
      </c>
      <c r="K43" s="129" t="n">
        <f aca="false">Exit_CF_kum</f>
        <v>-32838.5310761392</v>
      </c>
      <c r="L43" s="129"/>
      <c r="M43" s="40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18" hidden="false" customHeight="true" outlineLevel="0" collapsed="false">
      <c r="A44" s="12"/>
      <c r="B44" s="247" t="s">
        <v>649</v>
      </c>
      <c r="C44" s="137" t="n">
        <f aca="false">INDEX(Projektion!$D$17:$AQ$17,1)/12</f>
        <v>1141.5</v>
      </c>
      <c r="D44" s="137" t="n">
        <f aca="false">INDEX(Projektion!$D$17:$AQ$17,1)</f>
        <v>13698</v>
      </c>
      <c r="E44" s="40"/>
      <c r="F44" s="237" t="s">
        <v>650</v>
      </c>
      <c r="G44" s="238" t="n">
        <f aca="false">INDEX(Steuern!$D$45:$AQ$45,1)</f>
        <v>0</v>
      </c>
      <c r="H44" s="238"/>
      <c r="I44" s="40"/>
      <c r="J44" s="237" t="s">
        <v>651</v>
      </c>
      <c r="K44" s="238" t="n">
        <f aca="false">Eigenkapital</f>
        <v>78974.5</v>
      </c>
      <c r="L44" s="238"/>
      <c r="M44" s="40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18" hidden="false" customHeight="true" outlineLevel="0" collapsed="false">
      <c r="A45" s="12"/>
      <c r="B45" s="122" t="s">
        <v>652</v>
      </c>
      <c r="C45" s="234"/>
      <c r="D45" s="248"/>
      <c r="E45" s="40"/>
      <c r="F45" s="249" t="s">
        <v>653</v>
      </c>
      <c r="G45" s="250" t="n">
        <f aca="false">INDEX(Steuern!$D$67:$AQ$67,1)</f>
        <v>-18397.3569343066</v>
      </c>
      <c r="H45" s="250"/>
      <c r="I45" s="40"/>
      <c r="J45" s="141" t="s">
        <v>654</v>
      </c>
      <c r="K45" s="142" t="n">
        <f aca="false">Gesamtertrag</f>
        <v>77296.8656314841</v>
      </c>
      <c r="L45" s="142"/>
      <c r="M45" s="40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18" hidden="false" customHeight="true" outlineLevel="0" collapsed="false">
      <c r="A46" s="12"/>
      <c r="B46" s="72" t="s">
        <v>655</v>
      </c>
      <c r="C46" s="129" t="n">
        <f aca="false">INDEX(Projektion!$D$33:$AQ$33,2)/12</f>
        <v>-438.386666666667</v>
      </c>
      <c r="D46" s="129" t="n">
        <f aca="false">INDEX(Projektion!$D$33:$AQ$33,2)</f>
        <v>-5260.64</v>
      </c>
      <c r="E46" s="40"/>
      <c r="F46" s="73" t="s">
        <v>415</v>
      </c>
      <c r="G46" s="163" t="n">
        <f aca="false">INDEX(Steuern!$D$73:$AQ$73,1)</f>
        <v>-8510.39654952701</v>
      </c>
      <c r="H46" s="163"/>
      <c r="I46" s="40"/>
      <c r="J46" s="237" t="s">
        <v>512</v>
      </c>
      <c r="K46" s="251" t="n">
        <f aca="false">EK_Multiple</f>
        <v>1.97875726508536</v>
      </c>
      <c r="L46" s="251"/>
      <c r="M46" s="40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18" hidden="false" customHeight="true" outlineLevel="0" collapsed="false">
      <c r="A47" s="12"/>
      <c r="B47" s="242" t="s">
        <v>656</v>
      </c>
      <c r="C47" s="243" t="n">
        <f aca="false">INDEX(Projektion!$D$36:$AQ$36,2)/12</f>
        <v>-273.913621446083</v>
      </c>
      <c r="D47" s="243" t="n">
        <f aca="false">INDEX(Projektion!$D$36:$AQ$36,2)</f>
        <v>-3286.96345735299</v>
      </c>
      <c r="E47" s="40"/>
      <c r="F47" s="252" t="s">
        <v>657</v>
      </c>
      <c r="G47" s="253" t="n">
        <f aca="false">Steuereffekt_10J</f>
        <v>0</v>
      </c>
      <c r="H47" s="253"/>
      <c r="I47" s="40"/>
      <c r="J47" s="73" t="s">
        <v>658</v>
      </c>
      <c r="K47" s="135" t="n">
        <f aca="false">EK_IRR</f>
        <v>0.0532739559084637</v>
      </c>
      <c r="L47" s="135"/>
      <c r="M47" s="40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18" hidden="false" customHeight="true" outlineLevel="0" collapsed="false">
      <c r="A48" s="12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4" hidden="false" customHeight="true" outlineLevel="0" collapsed="false">
      <c r="A49" s="12"/>
      <c r="B49" s="33" t="s">
        <v>567</v>
      </c>
      <c r="C49" s="42"/>
      <c r="D49" s="42"/>
      <c r="E49" s="42"/>
      <c r="F49" s="42"/>
      <c r="G49" s="42"/>
      <c r="H49" s="42"/>
      <c r="I49" s="42"/>
      <c r="J49" s="254" t="str">
        <f aca="false">IF(COUNTIF($AB$50:$AB$74,"⚠*")=0,"",COUNTIF($AB$50:$AB$74,"⚠*")&amp;IF(COUNTIF($AB$50:$AB$74,"⚠*")=1," Warnung"," Warnungen"))</f>
        <v>1 Warnung</v>
      </c>
      <c r="K49" s="255" t="str">
        <f aca="false">IF(COUNT($AC$50:$AC$74)=0,"keine Hinweise",IF(COUNTIF($AB$50:$AB$74,"ℹ*")=0,"",IF(COUNTIF($AB$50:$AB$74,"⚠*")&gt;0,"  ·  ","")&amp;COUNTIF($AB$50:$AB$74,"ℹ*")&amp;IF(COUNTIF($AB$50:$AB$74,"ℹ*")=1," Hinweis"," Hinweise")))</f>
        <v>  ·  3 Hinweise</v>
      </c>
      <c r="L49" s="35" t="s">
        <v>659</v>
      </c>
      <c r="Y49" s="12"/>
      <c r="Z49" s="12"/>
      <c r="AA49" s="12"/>
      <c r="AB49" s="12"/>
      <c r="AC49" s="12"/>
      <c r="AD49" s="12"/>
    </row>
    <row r="50" customFormat="false" ht="18" hidden="false" customHeight="true" outlineLevel="0" collapsed="false">
      <c r="A50" s="12"/>
      <c r="B50" s="256" t="str">
        <f aca="false">IFERROR(SUBSTITUTE(SUBSTITUTE(SUBSTITUTE(SUBSTITUTE(INDEX($AB$50:$AB$74,SMALL($AC$50:$AC$74,1)),"(-","(−"),"⚠","▲",1),"ℹ","ⓘ",1)," – Banken erwarten meist ≥ 1,1 bis 1,2","× – "&amp;"Ziel ≥ "&amp;FIXED(Ampel_DSCR_gruen,2)&amp;"×"),"")</f>
        <v>▲ Kapitaldienstdeckung (DSCR) im Jahr 1 nur 0.61× – Ziel ≥ 1.20× (NOI / Kapitaldienst).</v>
      </c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Y50" s="12"/>
      <c r="Z50" s="12"/>
      <c r="AA50" s="12"/>
      <c r="AB50" s="245" t="str">
        <f aca="false">IF(AND(AfA_Idx=5,Methode_eff&lt;&gt;5),"⚠ Degressive AfA gewählt, aber nicht anwendbar (Fertigstellung vor 2023 oder Gewerbeeinheit) – es wird linear nach Baujahr abgeschrieben.","")</f>
        <v/>
      </c>
      <c r="AC50" s="245" t="str">
        <f aca="false">IF(AB50&lt;&gt;"",1,"")</f>
        <v/>
      </c>
      <c r="AD50" s="12"/>
    </row>
    <row r="51" customFormat="false" ht="18" hidden="false" customHeight="true" outlineLevel="0" collapsed="false">
      <c r="A51" s="12"/>
      <c r="B51" s="256" t="str">
        <f aca="false">IFERROR(SUBSTITUTE(SUBSTITUTE(SUBSTITUTE(SUBSTITUTE(INDEX($AB$50:$AB$74,SMALL($AC$50:$AC$74,2)),"(-","(−"),"⚠","▲",1),"ℹ","ⓘ",1)," – Banken erwarten meist ≥ 1,1 bis 1,2","× – "&amp;"Ziel ≥ "&amp;FIXED(Ampel_DSCR_gruen,2)&amp;"×"),"")</f>
        <v>ⓘ Zinsbindung Darlehen I endet nach 10 Jahren bei einer Restschuld von 191,071 € – Anschlusszins 4.50 % angenommen; jeder Prozentpunkt mehr kostet 1,911 € p. a.</v>
      </c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Y51" s="12"/>
      <c r="Z51" s="12"/>
      <c r="AA51" s="12"/>
      <c r="AB51" s="245" t="str">
        <f aca="false">IF(AND(AfA_Idx=6,N(RND_Gutachten)&lt;=0),"⚠ AfA nach Gutachten gewählt, aber keine Restnutzungsdauer eingegeben – Fallback auf lineare AfA nach Baujahr.","")</f>
        <v/>
      </c>
      <c r="AC51" s="245" t="str">
        <f aca="false">IF(AB51&lt;&gt;"",2,"")</f>
        <v/>
      </c>
      <c r="AD51" s="12"/>
    </row>
    <row r="52" customFormat="false" ht="18" hidden="false" customHeight="true" outlineLevel="0" collapsed="false">
      <c r="A52" s="12"/>
      <c r="B52" s="256" t="str">
        <f aca="false">IFERROR(SUBSTITUTE(SUBSTITUTE(SUBSTITUTE(SUBSTITUTE(INDEX($AB$50:$AB$74,SMALL($AC$50:$AC$74,3)),"(-","(−"),"⚠","▲",1),"ℹ","ⓘ",1)," – Banken erwarten meist ≥ 1,1 bis 1,2","× – "&amp;"Ziel ≥ "&amp;FIXED(Ampel_DSCR_gruen,2)&amp;"×"),"")</f>
        <v>ⓘ Steuerliches Ergebnis Jahr 1 negativ (−18,397 €) – Verlust wird mit anderen Einkünften verrechnet (Erstattung 8,510 €). Einkünfteerzielungsabsicht / Totalüberschussprognose beachten.</v>
      </c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Y52" s="12"/>
      <c r="Z52" s="12"/>
      <c r="AA52" s="12"/>
      <c r="AB52" s="245" t="str">
        <f aca="false">IF(AND(SonderAfA_7b="Ja",SonderAfA_aktiv=0),"⚠ Sonder-AfA § 7b nicht anwendbar: Fertigstellung vor 2023, Gewerbeeinheit oder Anschaffungskosten über "&amp;FIXED(Grenze_7b_Baukosten,0)&amp;" €/m² (aktuell "&amp;FIXED(Baukosten_qm,0)&amp;" €/m²).","")</f>
        <v/>
      </c>
      <c r="AC52" s="245" t="str">
        <f aca="false">IF(AB52&lt;&gt;"",3,"")</f>
        <v/>
      </c>
      <c r="AD52" s="12"/>
    </row>
    <row r="53" customFormat="false" ht="18" hidden="false" customHeight="true" outlineLevel="0" collapsed="false">
      <c r="A53" s="12"/>
      <c r="B53" s="256" t="str">
        <f aca="false">IFERROR(SUBSTITUTE(SUBSTITUTE(SUBSTITUTE(SUBSTITUTE(INDEX($AB$50:$AB$74,SMALL($AC$50:$AC$74,4)),"(-","(−"),"⚠","▲",1),"ℹ","ⓘ",1)," – Banken erwarten meist ≥ 1,1 bis 1,2","× – "&amp;"Ziel ≥ "&amp;FIXED(Ampel_DSCR_gruen,2)&amp;"×"),"")</f>
        <v>ⓘ Bewegliche Gegenstände (8,000 €) sind grunderwerbsteuerfrei und werden über 10 Jahre gesondert abgeschrieben – im Kaufvertrag gesondert und angemessen ausweisen.</v>
      </c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Y53" s="12"/>
      <c r="Z53" s="12"/>
      <c r="AA53" s="12"/>
      <c r="AB53" s="245" t="str">
        <f aca="false">IF(AND(SonderAfA_aktiv=1,Baukosten_qm&gt;Grenze_7b_BMG),"ℹ § 7b: Bemessungsgrundlage auf "&amp;FIXED(Grenze_7b_BMG,0)&amp;" €/m² Wohnfläche gedeckelt ("&amp;FIXED(SonderAfA_BMG,0)&amp;" €). EH 40 / QNG-Nachweis erforderlich.","")</f>
        <v/>
      </c>
      <c r="AC53" s="245" t="str">
        <f aca="false">IF(AB53&lt;&gt;"",4,"")</f>
        <v/>
      </c>
      <c r="AD53" s="12"/>
    </row>
    <row r="54" customFormat="false" ht="18" hidden="false" customHeight="true" outlineLevel="0" collapsed="false">
      <c r="A54" s="12"/>
      <c r="B54" s="256" t="str">
        <f aca="false">IFERROR(SUBSTITUTE(SUBSTITUTE(SUBSTITUTE(SUBSTITUTE(INDEX($AB$50:$AB$74,SMALL($AC$50:$AC$74,5)),"(-","(−"),"⚠","▲",1),"ℹ","ⓘ",1)," – Banken erwarten meist ≥ 1,1 bis 1,2","× – "&amp;"Ziel ≥ "&amp;FIXED(Ampel_DSCR_gruen,2)&amp;"×"),"")</f>
        <v/>
      </c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Y54" s="12"/>
      <c r="Z54" s="12"/>
      <c r="AA54" s="12"/>
      <c r="AB54" s="245" t="str">
        <f aca="false">IF(AND(SonderAfA_aktiv=1,Baukosten_qm&lt;=Grenze_7b_BMG),"ℹ § 7b aktiv: 5 % p. a. auf "&amp;FIXED(SonderAfA_BMG,0)&amp;" € in den Jahren 1–4; danach Restwert-AfA (§ 7a Abs. 9 EStG). EH 40 / QNG-Nachweis erforderlich.","")</f>
        <v/>
      </c>
      <c r="AC54" s="245" t="str">
        <f aca="false">IF(AB54&lt;&gt;"",5,"")</f>
        <v/>
      </c>
      <c r="AD54" s="12"/>
    </row>
    <row r="55" customFormat="false" ht="18" hidden="false" customHeight="true" outlineLevel="0" collapsed="false">
      <c r="A55" s="12"/>
      <c r="B55" s="256" t="str">
        <f aca="false">IF(COUNT($AC$50:$AC$74)&gt;6,"+  "&amp;(COUNT($AC$50:$AC$74)-5)&amp;" weitere Hinweise – Eingaben im Leitfaden (S01–S12) prüfen",IFERROR(SUBSTITUTE(SUBSTITUTE(SUBSTITUTE(SUBSTITUTE(INDEX($AB$50:$AB$74,SMALL($AC$50:$AC$74,6)),"(-","(−"),"⚠","▲",1),"ℹ","ⓘ",1)," – Banken erwarten meist ≥ 1,1 bis 1,2","× – "&amp;"Ziel ≥ "&amp;FIXED(Ampel_DSCR_gruen,2)&amp;"×"),""))</f>
        <v/>
      </c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Y55" s="12"/>
      <c r="Z55" s="12"/>
      <c r="AA55" s="12"/>
      <c r="AB55" s="245" t="str">
        <f aca="false">IF(AND(Reno_Idx=1,Reno_Netto&gt;Grenze_15),"⚠ Anschaffungsnahe Herstellungskosten (§ 6 Abs. 1 Nr. 1a EStG): Maßnahmen netto "&amp;FIXED(Reno_Netto,0)&amp;" € übersteigen 15 % der Gebäude-AK ("&amp;FIXED(Grenze_15,0)&amp;" €) – kein Sofortabzug, Aktivierung und AfA.",IF(AND(Reno_Idx=1,Reno_Netto&gt;0.8*Grenze_15),"ℹ Maßnahmen ("&amp;FIXED(Reno_Netto,0)&amp;" € netto) liegen nahe der 15 %-Grenze ("&amp;FIXED(Grenze_15,0)&amp;" €) – weitere Instandsetzungen in den ersten 3 Jahren können die Aktivierung auslösen.",""))</f>
        <v/>
      </c>
      <c r="AC55" s="245" t="str">
        <f aca="false">IF(AB55&lt;&gt;"",6,"")</f>
        <v/>
      </c>
      <c r="AD55" s="12"/>
    </row>
    <row r="56" customFormat="false" ht="6" hidden="false" customHeight="true" outlineLevel="0" collapsed="false">
      <c r="A56" s="12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245" t="str">
        <f aca="false">IF(AND(Reno_Idx=2,Reno_Netto&gt;Grenze_15),"⚠ Sofortabzug manuell gewählt, obwohl die 15 %-Grenze überschritten ist ("&amp;FIXED(Reno_Netto,0)&amp;" € &gt; "&amp;FIXED(Grenze_15,0)&amp;" €) – steuerlich riskant, Finanzamt wird aktivieren.","")</f>
        <v/>
      </c>
      <c r="AC56" s="245" t="str">
        <f aca="false">IF(AB56&lt;&gt;"",7,"")</f>
        <v/>
      </c>
      <c r="AD56" s="12"/>
    </row>
    <row r="57" customFormat="false" ht="24" hidden="false" customHeight="true" outlineLevel="0" collapsed="false">
      <c r="A57" s="12"/>
      <c r="B57" s="33" t="s">
        <v>660</v>
      </c>
      <c r="C57" s="42"/>
      <c r="D57" s="42"/>
      <c r="E57" s="42"/>
      <c r="F57" s="42"/>
      <c r="G57" s="42"/>
      <c r="H57" s="42"/>
      <c r="I57" s="42"/>
      <c r="J57" s="42"/>
      <c r="K57" s="35" t="s">
        <v>661</v>
      </c>
      <c r="L57" s="35" t="s">
        <v>659</v>
      </c>
      <c r="Y57" s="12"/>
      <c r="Z57" s="12"/>
      <c r="AA57" s="12"/>
      <c r="AB57" s="245" t="str">
        <f aca="false">IF(AND(Denkmal="Ja",N(Sanierungskosten_7i)&lt;=0),"⚠ Erhöhte Absetzungen § 7h/7i gewählt, aber keine bescheinigten Sanierungskosten eingegeben.","")</f>
        <v/>
      </c>
      <c r="AC57" s="245" t="str">
        <f aca="false">IF(AB57&lt;&gt;"",8,"")</f>
        <v/>
      </c>
      <c r="AD57" s="12"/>
    </row>
    <row r="58" customFormat="false" ht="15.75" hidden="false" customHeight="true" outlineLevel="0" collapsed="false">
      <c r="A58" s="12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245" t="str">
        <f aca="false">IF(AND(Rechtsform_Idx=1,Haltedauer&lt;=Frist_23),"⚠ Verkauf innerhalb der 10-Jahres-Frist (§ 23 EStG): Veräußerungsgewinn "&amp;FIXED(Exit_Gewinn,0)&amp;" € steuerpflichtig, Steuer ca. "&amp;FIXED(Exit_Steuer,0)&amp;" €. Haltedauer &gt; 10 Jahre prüfen.","")</f>
        <v/>
      </c>
      <c r="AC58" s="245" t="str">
        <f aca="false">IF(AB58&lt;&gt;"",9,"")</f>
        <v/>
      </c>
      <c r="AD58" s="12"/>
    </row>
    <row r="59" customFormat="false" ht="15.75" hidden="false" customHeight="true" outlineLevel="0" collapsed="false">
      <c r="A59" s="12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245" t="str">
        <f aca="false">IF(INDEX(Projektion!$D$36:$AQ$36,1)&lt;0,"⚠ Negativer Cashflow nach Steuern im Jahr 1: "&amp;FIXED(INDEX(Projektion!$D$37:$AQ$37,1),0)&amp;" € pro Monat – laufende Liquidität aus anderen Einkünften sicherstellen.","")</f>
        <v/>
      </c>
      <c r="AC59" s="245" t="str">
        <f aca="false">IF(AB59&lt;&gt;"",10,"")</f>
        <v/>
      </c>
      <c r="AD59" s="12"/>
    </row>
    <row r="60" customFormat="false" ht="15.75" hidden="false" customHeight="true" outlineLevel="0" collapsed="false">
      <c r="A60" s="12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245" t="str">
        <f aca="false">IF(AND(Kapitaldienst_J1&gt;0,DSCR_J1&lt;1.1),"⚠ Kapitaldienstdeckung (DSCR) im Jahr 1 nur "&amp;FIXED(DSCR_J1,2)&amp;" – Banken erwarten meist ≥ 1,1 bis 1,2 (NOI / Kapitaldienst).","")</f>
        <v>⚠ Kapitaldienstdeckung (DSCR) im Jahr 1 nur 0.61 – Banken erwarten meist ≥ 1,1 bis 1,2 (NOI / Kapitaldienst).</v>
      </c>
      <c r="AC60" s="245" t="n">
        <f aca="false">IF(AB60&lt;&gt;"",11,"")</f>
        <v>11</v>
      </c>
      <c r="AD60" s="12"/>
    </row>
    <row r="61" customFormat="false" ht="15.75" hidden="false" customHeight="true" outlineLevel="0" collapsed="false">
      <c r="A61" s="12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245" t="str">
        <f aca="false">IF(AND(Darlehen_I&gt;0,Zinsbindung_I&lt;Haltedauer),"ℹ Zinsbindung Darlehen I endet nach "&amp;Zinsbindung_I&amp;" Jahren bei einer Restschuld von "&amp;FIXED(Restschuld_ZB_I,0)&amp;" € – Anschlusszins "&amp;FIXED(Anschlusszins_I*100,2)&amp;" % angenommen; jeder Prozentpunkt mehr kostet "&amp;FIXED(Restschuld_ZB_I*0.01,0)&amp;" € p. a.","")</f>
        <v>ℹ Zinsbindung Darlehen I endet nach 10 Jahren bei einer Restschuld von 191,071 € – Anschlusszins 4.50 % angenommen; jeder Prozentpunkt mehr kostet 1,911 € p. a.</v>
      </c>
      <c r="AC61" s="245" t="n">
        <f aca="false">IF(AB61&lt;&gt;"",12,"")</f>
        <v>12</v>
      </c>
      <c r="AD61" s="12"/>
    </row>
    <row r="62" customFormat="false" ht="15.75" hidden="false" customHeight="true" outlineLevel="0" collapsed="false">
      <c r="A62" s="12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245" t="str">
        <f aca="false">IF(Beleihung&gt;1,"ℹ Beleihungsauslauf über 100 % (Kaufnebenkosten mitfinanziert) – Bank verlangt i. d. R. Zusatzsicherheiten oder Zinsaufschlag.","")</f>
        <v/>
      </c>
      <c r="AC62" s="245" t="str">
        <f aca="false">IF(AB62&lt;&gt;"",13,"")</f>
        <v/>
      </c>
      <c r="AD62" s="12"/>
    </row>
    <row r="63" customFormat="false" ht="15.75" hidden="false" customHeight="true" outlineLevel="0" collapsed="false">
      <c r="A63" s="12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245" t="str">
        <f aca="false">IF(AND(Rechtsform_Idx=1,Verlust_Idx=1,INDEX(Steuern!$D$67:$AQ$67,1)&lt;0),"ℹ Steuerliches Ergebnis Jahr 1 negativ ("&amp;FIXED(INDEX(Steuern!$D$67:$AQ$67,1),0)&amp;" €) – Verlust wird mit anderen Einkünften verrechnet (Erstattung "&amp;FIXED(-INDEX(Steuern!$D$73:$AQ$73,1),0)&amp;" €). Einkünfteerzielungsabsicht / Totalüberschussprognose beachten.","")</f>
        <v>ℹ Steuerliches Ergebnis Jahr 1 negativ (-18,397 €) – Verlust wird mit anderen Einkünften verrechnet (Erstattung 8,510 €). Einkünfteerzielungsabsicht / Totalüberschussprognose beachten.</v>
      </c>
      <c r="AC63" s="245" t="n">
        <f aca="false">IF(AB63&lt;&gt;"",14,"")</f>
        <v>14</v>
      </c>
      <c r="AD63" s="12"/>
    </row>
    <row r="64" customFormat="false" ht="15.75" hidden="false" customHeight="true" outlineLevel="0" collapsed="false">
      <c r="A64" s="12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245" t="str">
        <f aca="false">IF(Rechtsform_Idx=3,"ℹ Gewerbliche GmbH: Gewerbesteuer "&amp;FIXED(GewSt_Satz*100,2)&amp;" % zusätzlich zur KSt eingerechnet. Erweiterte Kürzung (§ 9 Nr. 1 S. 2 GewStG) nur bei ausschließlicher Verwaltung eigenen Grundbesitzes.","")</f>
        <v/>
      </c>
      <c r="AC64" s="245" t="str">
        <f aca="false">IF(AB64&lt;&gt;"",15,"")</f>
        <v/>
      </c>
      <c r="AD64" s="12"/>
    </row>
    <row r="65" customFormat="false" ht="15.75" hidden="false" customHeight="true" outlineLevel="0" collapsed="false">
      <c r="A65" s="12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245" t="str">
        <f aca="false">IF(Rechtsform_Idx&gt;1,"ℹ GmbH: Ausschüttungen an Gesellschafter werden zusätzlich mit Abgeltungsteuer (26,375 %) bzw. im Teileinkünfteverfahren belastet – nicht im Cashflow enthalten. Verkauf ist unabhängig von der Haltedauer steuerpflichtig.","")</f>
        <v/>
      </c>
      <c r="AC65" s="245" t="str">
        <f aca="false">IF(AB65&lt;&gt;"",16,"")</f>
        <v/>
      </c>
      <c r="AD65" s="12"/>
    </row>
    <row r="66" customFormat="false" ht="15.75" hidden="false" customHeight="true" outlineLevel="0" collapsed="false">
      <c r="A66" s="12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245" t="str">
        <f aca="false">IF(KP_bewegl&gt;0,"ℹ Bewegliche Gegenstände ("&amp;FIXED(KP_bewegl,0)&amp;" €) sind grunderwerbsteuerfrei und werden über "&amp;ND_bewegl&amp;" Jahre gesondert abgeschrieben – im Kaufvertrag gesondert und angemessen ausweisen.","")</f>
        <v>ℹ Bewegliche Gegenstände (8,000 €) sind grunderwerbsteuerfrei und werden über 10 Jahre gesondert abgeschrieben – im Kaufvertrag gesondert und angemessen ausweisen.</v>
      </c>
      <c r="AC66" s="245" t="n">
        <f aca="false">IF(AB66&lt;&gt;"",17,"")</f>
        <v>17</v>
      </c>
      <c r="AD66" s="12"/>
    </row>
    <row r="67" customFormat="false" ht="15.75" hidden="false" customHeight="true" outlineLevel="0" collapsed="false">
      <c r="A67" s="12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245" t="str">
        <f aca="false">IF(AND(Rechtsform_Idx=1,Verteilung_eff&gt;1,HK_Flag=0),"ℹ Größerer Erhaltungsaufwand wird gleichmäßig auf "&amp;Verteilung_eff&amp;" Jahre verteilt (§ 82b EStDV) – sinnvoll bei schwankender Progression.","")</f>
        <v/>
      </c>
      <c r="AC67" s="245" t="str">
        <f aca="false">IF(AB67&lt;&gt;"",18,"")</f>
        <v/>
      </c>
      <c r="AD67" s="12"/>
    </row>
    <row r="68" customFormat="false" ht="15.75" hidden="false" customHeight="true" outlineLevel="0" collapsed="false">
      <c r="A68" s="12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245" t="str">
        <f aca="false">IF(AND(Disagio_Pct&gt;0,Disagio_sofort=0),"ℹ Disagio ("&amp;FIXED(Disagio_Betrag,0)&amp;" €) übersteigt 5 % oder Zinsbindung &lt; 5 Jahre – Verteilung über die Zinsbindung statt Sofortabzug.","")</f>
        <v/>
      </c>
      <c r="AC68" s="245" t="str">
        <f aca="false">IF(AB68&lt;&gt;"",19,"")</f>
        <v/>
      </c>
      <c r="AD68" s="12"/>
    </row>
    <row r="69" customFormat="false" ht="15.75" hidden="false" customHeight="true" outlineLevel="0" collapsed="false">
      <c r="A69" s="12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245" t="str">
        <f aca="false">IF(AND(Objektart_Idx=4,Rechtsform_Idx=1),"ℹ Gewerbeeinheit im Privatvermögen: AfA linear nach Baujahr (2 % / 2,5 % / 3 %); Option zur Umsatzsteuer (§ 9 UStG) bei gewerblichen Mietern prüfen – nicht modelliert.","")</f>
        <v/>
      </c>
      <c r="AC69" s="245" t="str">
        <f aca="false">IF(AB69&lt;&gt;"",20,"")</f>
        <v/>
      </c>
      <c r="AD69" s="12"/>
    </row>
    <row r="70" customFormat="false" ht="15.75" hidden="false" customHeight="true" outlineLevel="0" collapsed="false">
      <c r="A70" s="12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245" t="str">
        <f aca="false">IF(Hausgeld_nicht_umlagefaehig&gt;Hausgeld,"⚠ Eingabeprüfung: Der nicht umlagefähige Anteil übersteigt das gesamte Hausgeld – bitte Schritt 06 prüfen.","")</f>
        <v/>
      </c>
      <c r="AC70" s="245" t="str">
        <f aca="false">IF(AB70&lt;&gt;"",21,"")</f>
        <v/>
      </c>
      <c r="AD70" s="12"/>
    </row>
    <row r="71" customFormat="false" ht="15.75" hidden="false" customHeight="true" outlineLevel="0" collapsed="false">
      <c r="A71" s="12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245" t="str">
        <f aca="false">IF(Hausgeld_Ruecklage&gt;Hausgeld_nicht_umlagefaehig,"⚠ Eingabeprüfung: Die Rücklagenzuführung übersteigt den nicht umlagefähigen Hausgeldanteil – bitte Schritt 06 prüfen.","")</f>
        <v/>
      </c>
      <c r="AC71" s="245" t="str">
        <f aca="false">IF(AB71&lt;&gt;"",22,"")</f>
        <v/>
      </c>
      <c r="AD71" s="12"/>
    </row>
    <row r="72" customFormat="false" ht="15.75" hidden="false" customHeight="true" outlineLevel="0" collapsed="false">
      <c r="A72" s="12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245" t="str">
        <f aca="false">IF(KP_bewegl+Ruecklage_mitverkauft&gt;=Kaufpreis*0.5,"⚠ Eingabeprüfung: Bewegliche Gegenstände und Rücklagenanteil sind unplausibel hoch im Verhältnis zum Kaufpreis – bitte Schritt 02 prüfen.","")</f>
        <v/>
      </c>
      <c r="AC72" s="245" t="str">
        <f aca="false">IF(AB72&lt;&gt;"",23,"")</f>
        <v/>
      </c>
      <c r="AD72" s="12"/>
    </row>
    <row r="73" customFormat="false" ht="15.75" hidden="false" customHeight="true" outlineLevel="0" collapsed="false">
      <c r="A73" s="12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245" t="str">
        <f aca="false">IF(Darlehen_Summe&gt;Gesamtinvestition,"⚠ Eingabeprüfung: Die Darlehenssumme übersteigt die Gesamtinvestition (negatives Eigenkapital) – bitte Schritt 07 bzw. Blatt Eingaben prüfen.","")</f>
        <v/>
      </c>
      <c r="AC73" s="245" t="str">
        <f aca="false">IF(AB73&lt;&gt;"",24,"")</f>
        <v/>
      </c>
      <c r="AD73" s="12"/>
    </row>
    <row r="74" customFormat="false" ht="12" hidden="false" customHeight="true" outlineLevel="0" collapsed="false">
      <c r="A74" s="12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245" t="str">
        <f aca="false">IF(AND(Rechtsform_Idx=1,Grenzsteuersatz_Tarif=0,NOT(ISNUMBER(Grenzsteuersatz_Override))),"ℹ Grenzsteuersatz 0 %: Das zu versteuernde Einkommen liegt unter dem Grundfreibetrag – Steuereffekte des Objekts werden nicht wirksam. Ggf. Grenzsteuersatz manuell setzen (Schritt 09).","")</f>
        <v/>
      </c>
      <c r="AC74" s="245" t="str">
        <f aca="false">IF(AB74&lt;&gt;"",25,"")</f>
        <v/>
      </c>
      <c r="AD74" s="12"/>
    </row>
    <row r="75" customFormat="false" ht="18" hidden="false" customHeight="true" outlineLevel="0" collapsed="false">
      <c r="A75" s="12"/>
      <c r="B75" s="79" t="s">
        <v>91</v>
      </c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40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customFormat="false" ht="13.5" hidden="false" customHeight="true" outlineLevel="0" collapsed="false">
      <c r="A76" s="12"/>
      <c r="B76" s="81" t="s">
        <v>92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customFormat="false" ht="1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customFormat="false" ht="15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customFormat="false" ht="1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customFormat="false" ht="1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</sheetData>
  <sheetProtection sheet="true" objects="1" formatColumns="false" formatRows="false"/>
  <mergeCells count="94">
    <mergeCell ref="K5:L5"/>
    <mergeCell ref="K6:L6"/>
    <mergeCell ref="B7:J7"/>
    <mergeCell ref="K7:L7"/>
    <mergeCell ref="C8:D8"/>
    <mergeCell ref="G8:H8"/>
    <mergeCell ref="K8:L8"/>
    <mergeCell ref="N8:Q8"/>
    <mergeCell ref="R8:U8"/>
    <mergeCell ref="V8:X8"/>
    <mergeCell ref="C9:D9"/>
    <mergeCell ref="G9:H9"/>
    <mergeCell ref="K9:L9"/>
    <mergeCell ref="N9:Q9"/>
    <mergeCell ref="R9:U9"/>
    <mergeCell ref="V9:X9"/>
    <mergeCell ref="N11:X11"/>
    <mergeCell ref="C14:D14"/>
    <mergeCell ref="G14:H14"/>
    <mergeCell ref="K14:L14"/>
    <mergeCell ref="C15:D15"/>
    <mergeCell ref="G15:H15"/>
    <mergeCell ref="K15:L15"/>
    <mergeCell ref="C16:D16"/>
    <mergeCell ref="G16:H16"/>
    <mergeCell ref="K16:L16"/>
    <mergeCell ref="C17:D17"/>
    <mergeCell ref="G17:H17"/>
    <mergeCell ref="K17:L17"/>
    <mergeCell ref="C18:D18"/>
    <mergeCell ref="G18:H18"/>
    <mergeCell ref="K18:L18"/>
    <mergeCell ref="C19:D19"/>
    <mergeCell ref="G19:H19"/>
    <mergeCell ref="K19:L19"/>
    <mergeCell ref="C20:D20"/>
    <mergeCell ref="G20:H20"/>
    <mergeCell ref="C21:D21"/>
    <mergeCell ref="C22:D22"/>
    <mergeCell ref="K22:L22"/>
    <mergeCell ref="C23:D23"/>
    <mergeCell ref="G23:H23"/>
    <mergeCell ref="K23:L23"/>
    <mergeCell ref="G24:H24"/>
    <mergeCell ref="K24:L24"/>
    <mergeCell ref="G25:H25"/>
    <mergeCell ref="K25:L25"/>
    <mergeCell ref="C26:D26"/>
    <mergeCell ref="G26:H26"/>
    <mergeCell ref="K26:L26"/>
    <mergeCell ref="C27:D27"/>
    <mergeCell ref="G27:H27"/>
    <mergeCell ref="K27:L27"/>
    <mergeCell ref="C28:D28"/>
    <mergeCell ref="G28:H28"/>
    <mergeCell ref="K28:L28"/>
    <mergeCell ref="C29:D29"/>
    <mergeCell ref="G29:H29"/>
    <mergeCell ref="K29:L29"/>
    <mergeCell ref="C30:D30"/>
    <mergeCell ref="G30:H30"/>
    <mergeCell ref="K30:L30"/>
    <mergeCell ref="G35:H35"/>
    <mergeCell ref="K35:L35"/>
    <mergeCell ref="G36:H36"/>
    <mergeCell ref="K36:L36"/>
    <mergeCell ref="G37:H37"/>
    <mergeCell ref="K37:L37"/>
    <mergeCell ref="G38:H38"/>
    <mergeCell ref="K38:L38"/>
    <mergeCell ref="G39:H39"/>
    <mergeCell ref="K39:L39"/>
    <mergeCell ref="G40:H40"/>
    <mergeCell ref="K40:L40"/>
    <mergeCell ref="G41:H41"/>
    <mergeCell ref="K41:L41"/>
    <mergeCell ref="G42:H42"/>
    <mergeCell ref="K42:L42"/>
    <mergeCell ref="G43:H43"/>
    <mergeCell ref="K43:L43"/>
    <mergeCell ref="G44:H44"/>
    <mergeCell ref="K44:L44"/>
    <mergeCell ref="G45:H45"/>
    <mergeCell ref="K45:L45"/>
    <mergeCell ref="G46:H46"/>
    <mergeCell ref="K46:L46"/>
    <mergeCell ref="G47:H47"/>
    <mergeCell ref="K47:L47"/>
    <mergeCell ref="B50:L50"/>
    <mergeCell ref="B51:L51"/>
    <mergeCell ref="B52:L52"/>
    <mergeCell ref="B53:L53"/>
    <mergeCell ref="B54:L54"/>
    <mergeCell ref="B55:L55"/>
  </mergeCells>
  <conditionalFormatting sqref="K6:L6">
    <cfRule type="expression" priority="2" aboveAverage="0" equalAverage="0" bottom="0" percent="0" rank="0" text="" dxfId="0">
      <formula>ISNUMBER(SEARCH("kritisch",$K$6))</formula>
    </cfRule>
    <cfRule type="expression" priority="3" aboveAverage="0" equalAverage="0" bottom="0" percent="0" rank="0" text="" dxfId="1">
      <formula>ISNUMBER(SEARCH("Prüfpunkten",$K$6))</formula>
    </cfRule>
    <cfRule type="expression" priority="4" aboveAverage="0" equalAverage="0" bottom="0" percent="0" rank="0" text="" dxfId="2">
      <formula>ISNUMBER(SEARCH("Solide",$K$6))</formula>
    </cfRule>
    <cfRule type="expression" priority="5" aboveAverage="0" equalAverage="0" bottom="0" percent="0" rank="0" text="" dxfId="3">
      <formula>1</formula>
    </cfRule>
  </conditionalFormatting>
  <conditionalFormatting sqref="K6">
    <cfRule type="expression" priority="6" aboveAverage="0" equalAverage="0" bottom="0" percent="0" rank="0" text="" dxfId="11">
      <formula>ISNUMBER(SEARCH("kritisch",$K$6))</formula>
    </cfRule>
    <cfRule type="expression" priority="7" aboveAverage="0" equalAverage="0" bottom="0" percent="0" rank="0" text="" dxfId="12">
      <formula>ISNUMBER(SEARCH("Prüfpunkten",$K$6))</formula>
    </cfRule>
    <cfRule type="expression" priority="8" aboveAverage="0" equalAverage="0" bottom="0" percent="0" rank="0" text="" dxfId="13">
      <formula>ISNUMBER(SEARCH("Solide",$K$6))</formula>
    </cfRule>
    <cfRule type="expression" priority="9" aboveAverage="0" equalAverage="0" bottom="0" percent="0" rank="0" text="" dxfId="3">
      <formula>1</formula>
    </cfRule>
  </conditionalFormatting>
  <conditionalFormatting sqref="B9">
    <cfRule type="expression" priority="10" aboveAverage="0" equalAverage="0" bottom="0" percent="0" rank="0" text="" dxfId="4">
      <formula>AND(ISNUMBER(B9),B9&lt;0)</formula>
    </cfRule>
    <cfRule type="expression" priority="11" aboveAverage="0" equalAverage="0" bottom="0" percent="0" rank="0" text="" dxfId="3">
      <formula>1</formula>
    </cfRule>
  </conditionalFormatting>
  <conditionalFormatting sqref="D10">
    <cfRule type="expression" priority="12" aboveAverage="0" equalAverage="0" bottom="0" percent="0" rank="0" text="" dxfId="0">
      <formula>AND(ISNUMBER($C$9),$C$9&lt;Ampel_BMR_gelb)</formula>
    </cfRule>
    <cfRule type="expression" priority="13" aboveAverage="0" equalAverage="0" bottom="0" percent="0" rank="0" text="" dxfId="1">
      <formula>AND(ISNUMBER($C$9),$C$9&lt;Ampel_BMR_gruen)</formula>
    </cfRule>
    <cfRule type="expression" priority="14" aboveAverage="0" equalAverage="0" bottom="0" percent="0" rank="0" text="" dxfId="2">
      <formula>ISNUMBER($C$9)</formula>
    </cfRule>
    <cfRule type="expression" priority="15" aboveAverage="0" equalAverage="0" bottom="0" percent="0" rank="0" text="" dxfId="3">
      <formula>1</formula>
    </cfRule>
  </conditionalFormatting>
  <conditionalFormatting sqref="C9:D9">
    <cfRule type="expression" priority="16" aboveAverage="0" equalAverage="0" bottom="0" percent="0" rank="0" text="" dxfId="0">
      <formula>AND(ISNUMBER($C$9),$C$9&lt;Ampel_BMR_gelb)</formula>
    </cfRule>
    <cfRule type="expression" priority="17" aboveAverage="0" equalAverage="0" bottom="0" percent="0" rank="0" text="" dxfId="1">
      <formula>AND(ISNUMBER($C$9),$C$9&lt;Ampel_BMR_gruen)</formula>
    </cfRule>
    <cfRule type="expression" priority="18" aboveAverage="0" equalAverage="0" bottom="0" percent="0" rank="0" text="" dxfId="2">
      <formula>ISNUMBER($C$9)</formula>
    </cfRule>
    <cfRule type="expression" priority="19" aboveAverage="0" equalAverage="0" bottom="0" percent="0" rank="0" text="" dxfId="3">
      <formula>1</formula>
    </cfRule>
  </conditionalFormatting>
  <conditionalFormatting sqref="F9">
    <cfRule type="expression" priority="20" aboveAverage="0" equalAverage="0" bottom="0" percent="0" rank="0" text="" dxfId="4">
      <formula>AND(ISNUMBER(F9),F9&lt;0)</formula>
    </cfRule>
    <cfRule type="expression" priority="21" aboveAverage="0" equalAverage="0" bottom="0" percent="0" rank="0" text="" dxfId="3">
      <formula>1</formula>
    </cfRule>
  </conditionalFormatting>
  <conditionalFormatting sqref="H10">
    <cfRule type="expression" priority="22" aboveAverage="0" equalAverage="0" bottom="0" percent="0" rank="0" text="" dxfId="0">
      <formula>AND(ISNUMBER($G$9),$G$9&lt;Ampel_DSCR_gelb)</formula>
    </cfRule>
    <cfRule type="expression" priority="23" aboveAverage="0" equalAverage="0" bottom="0" percent="0" rank="0" text="" dxfId="1">
      <formula>AND(ISNUMBER($G$9),$G$9&lt;Ampel_DSCR_gruen)</formula>
    </cfRule>
    <cfRule type="expression" priority="24" aboveAverage="0" equalAverage="0" bottom="0" percent="0" rank="0" text="" dxfId="2">
      <formula>ISNUMBER($G$9)</formula>
    </cfRule>
    <cfRule type="expression" priority="25" aboveAverage="0" equalAverage="0" bottom="0" percent="0" rank="0" text="" dxfId="3">
      <formula>1</formula>
    </cfRule>
  </conditionalFormatting>
  <conditionalFormatting sqref="G9:H9">
    <cfRule type="expression" priority="26" aboveAverage="0" equalAverage="0" bottom="0" percent="0" rank="0" text="" dxfId="0">
      <formula>AND(ISNUMBER($G$9),$G$9&lt;Ampel_DSCR_gelb)</formula>
    </cfRule>
    <cfRule type="expression" priority="27" aboveAverage="0" equalAverage="0" bottom="0" percent="0" rank="0" text="" dxfId="1">
      <formula>AND(ISNUMBER($G$9),$G$9&lt;Ampel_DSCR_gruen)</formula>
    </cfRule>
    <cfRule type="expression" priority="28" aboveAverage="0" equalAverage="0" bottom="0" percent="0" rank="0" text="" dxfId="2">
      <formula>ISNUMBER($G$9)</formula>
    </cfRule>
    <cfRule type="expression" priority="29" aboveAverage="0" equalAverage="0" bottom="0" percent="0" rank="0" text="" dxfId="3">
      <formula>1</formula>
    </cfRule>
  </conditionalFormatting>
  <conditionalFormatting sqref="J10">
    <cfRule type="expression" priority="30" aboveAverage="0" equalAverage="0" bottom="0" percent="0" rank="0" text="" dxfId="5">
      <formula>$J$9&lt;0</formula>
    </cfRule>
    <cfRule type="expression" priority="31" aboveAverage="0" equalAverage="0" bottom="0" percent="0" rank="0" text="" dxfId="6">
      <formula>INDEX(Projektion!$D$37:$AQ$37,2)&lt;0</formula>
    </cfRule>
    <cfRule type="expression" priority="32" aboveAverage="0" equalAverage="0" bottom="0" percent="0" rank="0" text="" dxfId="7">
      <formula>ISNUMBER($J$9)</formula>
    </cfRule>
    <cfRule type="expression" priority="33" aboveAverage="0" equalAverage="0" bottom="0" percent="0" rank="0" text="" dxfId="3">
      <formula>1</formula>
    </cfRule>
  </conditionalFormatting>
  <conditionalFormatting sqref="J9">
    <cfRule type="expression" priority="34" aboveAverage="0" equalAverage="0" bottom="0" percent="0" rank="0" text="" dxfId="0">
      <formula>$J$9&lt;0</formula>
    </cfRule>
    <cfRule type="expression" priority="35" aboveAverage="0" equalAverage="0" bottom="0" percent="0" rank="0" text="" dxfId="1">
      <formula>INDEX(Projektion!$D$37:$AQ$37,2)&lt;0</formula>
    </cfRule>
    <cfRule type="expression" priority="36" aboveAverage="0" equalAverage="0" bottom="0" percent="0" rank="0" text="" dxfId="2">
      <formula>ISNUMBER($J$9)</formula>
    </cfRule>
    <cfRule type="expression" priority="37" aboveAverage="0" equalAverage="0" bottom="0" percent="0" rank="0" text="" dxfId="4">
      <formula>AND(ISNUMBER(J9),J9&lt;0)</formula>
    </cfRule>
    <cfRule type="expression" priority="38" aboveAverage="0" equalAverage="0" bottom="0" percent="0" rank="0" text="" dxfId="3">
      <formula>1</formula>
    </cfRule>
  </conditionalFormatting>
  <conditionalFormatting sqref="L10">
    <cfRule type="expression" priority="39" aboveAverage="0" equalAverage="0" bottom="0" percent="0" rank="0" text="" dxfId="0">
      <formula>AND(ISNUMBER($K$9),$K$9&lt;Ampel_IRR_gelb)</formula>
    </cfRule>
    <cfRule type="expression" priority="40" aboveAverage="0" equalAverage="0" bottom="0" percent="0" rank="0" text="" dxfId="1">
      <formula>AND(ISNUMBER($K$9),$K$9&lt;Ampel_IRR_gruen)</formula>
    </cfRule>
    <cfRule type="expression" priority="41" aboveAverage="0" equalAverage="0" bottom="0" percent="0" rank="0" text="" dxfId="2">
      <formula>ISNUMBER($K$9)</formula>
    </cfRule>
    <cfRule type="expression" priority="42" aboveAverage="0" equalAverage="0" bottom="0" percent="0" rank="0" text="" dxfId="3">
      <formula>1</formula>
    </cfRule>
  </conditionalFormatting>
  <conditionalFormatting sqref="K9:L9">
    <cfRule type="expression" priority="43" aboveAverage="0" equalAverage="0" bottom="0" percent="0" rank="0" text="" dxfId="0">
      <formula>AND(ISNUMBER($K$9),$K$9&lt;Ampel_IRR_gelb)</formula>
    </cfRule>
    <cfRule type="expression" priority="44" aboveAverage="0" equalAverage="0" bottom="0" percent="0" rank="0" text="" dxfId="1">
      <formula>AND(ISNUMBER($K$9),$K$9&lt;Ampel_IRR_gruen)</formula>
    </cfRule>
    <cfRule type="expression" priority="45" aboveAverage="0" equalAverage="0" bottom="0" percent="0" rank="0" text="" dxfId="2">
      <formula>ISNUMBER($K$9)</formula>
    </cfRule>
    <cfRule type="expression" priority="46" aboveAverage="0" equalAverage="0" bottom="0" percent="0" rank="0" text="" dxfId="3">
      <formula>1</formula>
    </cfRule>
  </conditionalFormatting>
  <conditionalFormatting sqref="C23:D23">
    <cfRule type="expression" priority="47" aboveAverage="0" equalAverage="0" bottom="0" percent="0" rank="0" text="" dxfId="4">
      <formula>AND(ISNUMBER(C23),C23&lt;0)</formula>
    </cfRule>
    <cfRule type="expression" priority="48" aboveAverage="0" equalAverage="0" bottom="0" percent="0" rank="0" text="" dxfId="3">
      <formula>1</formula>
    </cfRule>
  </conditionalFormatting>
  <conditionalFormatting sqref="C28:D28">
    <cfRule type="expression" priority="49" aboveAverage="0" equalAverage="0" bottom="0" percent="0" rank="0" text="" dxfId="4">
      <formula>AND(ISNUMBER(C28),C28&lt;0)</formula>
    </cfRule>
    <cfRule type="expression" priority="50" aboveAverage="0" equalAverage="0" bottom="0" percent="0" rank="0" text="" dxfId="3">
      <formula>1</formula>
    </cfRule>
  </conditionalFormatting>
  <conditionalFormatting sqref="G20:H20">
    <cfRule type="expression" priority="51" aboveAverage="0" equalAverage="0" bottom="0" percent="0" rank="0" text="" dxfId="4">
      <formula>AND(ISNUMBER(G20),G20&lt;0)</formula>
    </cfRule>
    <cfRule type="expression" priority="52" aboveAverage="0" equalAverage="0" bottom="0" percent="0" rank="0" text="" dxfId="3">
      <formula>1</formula>
    </cfRule>
  </conditionalFormatting>
  <conditionalFormatting sqref="C38:D38">
    <cfRule type="expression" priority="53" aboveAverage="0" equalAverage="0" bottom="0" percent="0" rank="0" text="" dxfId="4">
      <formula>AND(ISNUMBER(C38),C38&lt;0)</formula>
    </cfRule>
    <cfRule type="expression" priority="54" aboveAverage="0" equalAverage="0" bottom="0" percent="0" rank="0" text="" dxfId="3">
      <formula>1</formula>
    </cfRule>
  </conditionalFormatting>
  <conditionalFormatting sqref="C41:D41">
    <cfRule type="expression" priority="55" aboveAverage="0" equalAverage="0" bottom="0" percent="0" rank="0" text="" dxfId="4">
      <formula>AND(ISNUMBER(C41),C41&lt;0)</formula>
    </cfRule>
    <cfRule type="expression" priority="56" aboveAverage="0" equalAverage="0" bottom="0" percent="0" rank="0" text="" dxfId="3">
      <formula>1</formula>
    </cfRule>
  </conditionalFormatting>
  <conditionalFormatting sqref="C43:D43">
    <cfRule type="expression" priority="57" aboveAverage="0" equalAverage="0" bottom="0" percent="0" rank="0" text="" dxfId="4">
      <formula>AND(ISNUMBER(C43),C43&lt;0)</formula>
    </cfRule>
    <cfRule type="expression" priority="58" aboveAverage="0" equalAverage="0" bottom="0" percent="0" rank="0" text="" dxfId="3">
      <formula>1</formula>
    </cfRule>
  </conditionalFormatting>
  <conditionalFormatting sqref="G42:H42">
    <cfRule type="expression" priority="59" aboveAverage="0" equalAverage="0" bottom="0" percent="0" rank="0" text="" dxfId="4">
      <formula>AND(ISNUMBER(G42),G42&lt;0)</formula>
    </cfRule>
    <cfRule type="expression" priority="60" aboveAverage="0" equalAverage="0" bottom="0" percent="0" rank="0" text="" dxfId="3">
      <formula>1</formula>
    </cfRule>
  </conditionalFormatting>
  <conditionalFormatting sqref="G45:H45">
    <cfRule type="expression" priority="61" aboveAverage="0" equalAverage="0" bottom="0" percent="0" rank="0" text="" dxfId="4">
      <formula>AND(ISNUMBER(G45),G45&lt;0)</formula>
    </cfRule>
    <cfRule type="expression" priority="62" aboveAverage="0" equalAverage="0" bottom="0" percent="0" rank="0" text="" dxfId="3">
      <formula>1</formula>
    </cfRule>
  </conditionalFormatting>
  <conditionalFormatting sqref="H46">
    <cfRule type="expression" priority="63" aboveAverage="0" equalAverage="0" bottom="0" percent="0" rank="0" text="" dxfId="4">
      <formula>AND(ISNUMBER(H46),H46&lt;0)</formula>
    </cfRule>
    <cfRule type="expression" priority="64" aboveAverage="0" equalAverage="0" bottom="0" percent="0" rank="0" text="" dxfId="3">
      <formula>1</formula>
    </cfRule>
  </conditionalFormatting>
  <conditionalFormatting sqref="K42:L42">
    <cfRule type="expression" priority="65" aboveAverage="0" equalAverage="0" bottom="0" percent="0" rank="0" text="" dxfId="4">
      <formula>AND(ISNUMBER(K42),K42&lt;0)</formula>
    </cfRule>
    <cfRule type="expression" priority="66" aboveAverage="0" equalAverage="0" bottom="0" percent="0" rank="0" text="" dxfId="3">
      <formula>1</formula>
    </cfRule>
  </conditionalFormatting>
  <conditionalFormatting sqref="K45:L45">
    <cfRule type="expression" priority="67" aboveAverage="0" equalAverage="0" bottom="0" percent="0" rank="0" text="" dxfId="4">
      <formula>AND(ISNUMBER(K45),K45&lt;0)</formula>
    </cfRule>
    <cfRule type="expression" priority="68" aboveAverage="0" equalAverage="0" bottom="0" percent="0" rank="0" text="" dxfId="3">
      <formula>1</formula>
    </cfRule>
  </conditionalFormatting>
  <conditionalFormatting sqref="G23">
    <cfRule type="expression" priority="69" aboveAverage="0" equalAverage="0" bottom="0" percent="0" rank="0" text="" dxfId="0">
      <formula>AND(ISNUMBER($G$23),$G$23&lt;Ampel_BMR_gelb)</formula>
    </cfRule>
    <cfRule type="expression" priority="70" aboveAverage="0" equalAverage="0" bottom="0" percent="0" rank="0" text="" dxfId="1">
      <formula>AND(ISNUMBER($G$23),$G$23&lt;Ampel_BMR_gruen)</formula>
    </cfRule>
    <cfRule type="expression" priority="71" aboveAverage="0" equalAverage="0" bottom="0" percent="0" rank="0" text="" dxfId="2">
      <formula>ISNUMBER($G$23)</formula>
    </cfRule>
    <cfRule type="expression" priority="72" aboveAverage="0" equalAverage="0" bottom="0" percent="0" rank="0" text="" dxfId="3">
      <formula>1</formula>
    </cfRule>
  </conditionalFormatting>
  <conditionalFormatting sqref="G24">
    <cfRule type="expression" priority="73" aboveAverage="0" equalAverage="0" bottom="0" percent="0" rank="0" text="" dxfId="0">
      <formula>AND(ISNUMBER($G$24),$G$24&lt;Ampel_NMR_gelb)</formula>
    </cfRule>
    <cfRule type="expression" priority="74" aboveAverage="0" equalAverage="0" bottom="0" percent="0" rank="0" text="" dxfId="1">
      <formula>AND(ISNUMBER($G$24),$G$24&lt;Ampel_NMR_gruen)</formula>
    </cfRule>
    <cfRule type="expression" priority="75" aboveAverage="0" equalAverage="0" bottom="0" percent="0" rank="0" text="" dxfId="2">
      <formula>ISNUMBER($G$24)</formula>
    </cfRule>
    <cfRule type="expression" priority="76" aboveAverage="0" equalAverage="0" bottom="0" percent="0" rank="0" text="" dxfId="3">
      <formula>1</formula>
    </cfRule>
  </conditionalFormatting>
  <conditionalFormatting sqref="G28">
    <cfRule type="expression" priority="77" aboveAverage="0" equalAverage="0" bottom="0" percent="0" rank="0" text="" dxfId="0">
      <formula>AND(ISNUMBER($G$28),$G$28&lt;Ampel_EKR_gelb)</formula>
    </cfRule>
    <cfRule type="expression" priority="78" aboveAverage="0" equalAverage="0" bottom="0" percent="0" rank="0" text="" dxfId="1">
      <formula>AND(ISNUMBER($G$28),$G$28&lt;Ampel_EKR_gruen)</formula>
    </cfRule>
    <cfRule type="expression" priority="79" aboveAverage="0" equalAverage="0" bottom="0" percent="0" rank="0" text="" dxfId="2">
      <formula>ISNUMBER($G$28)</formula>
    </cfRule>
    <cfRule type="expression" priority="80" aboveAverage="0" equalAverage="0" bottom="0" percent="0" rank="0" text="" dxfId="3">
      <formula>1</formula>
    </cfRule>
  </conditionalFormatting>
  <conditionalFormatting sqref="K24">
    <cfRule type="expression" priority="81" aboveAverage="0" equalAverage="0" bottom="0" percent="0" rank="0" text="" dxfId="0">
      <formula>AND(ISNUMBER($K$24),$K$24&lt;Ampel_DSCR_gelb)</formula>
    </cfRule>
    <cfRule type="expression" priority="82" aboveAverage="0" equalAverage="0" bottom="0" percent="0" rank="0" text="" dxfId="1">
      <formula>AND(ISNUMBER($K$24),$K$24&lt;Ampel_DSCR_gruen)</formula>
    </cfRule>
    <cfRule type="expression" priority="83" aboveAverage="0" equalAverage="0" bottom="0" percent="0" rank="0" text="" dxfId="2">
      <formula>ISNUMBER($K$24)</formula>
    </cfRule>
    <cfRule type="expression" priority="84" aboveAverage="0" equalAverage="0" bottom="0" percent="0" rank="0" text="" dxfId="3">
      <formula>1</formula>
    </cfRule>
  </conditionalFormatting>
  <conditionalFormatting sqref="K47">
    <cfRule type="expression" priority="85" aboveAverage="0" equalAverage="0" bottom="0" percent="0" rank="0" text="" dxfId="0">
      <formula>AND(ISNUMBER($K$47),$K$47&lt;Ampel_IRR_gelb)</formula>
    </cfRule>
    <cfRule type="expression" priority="86" aboveAverage="0" equalAverage="0" bottom="0" percent="0" rank="0" text="" dxfId="1">
      <formula>AND(ISNUMBER($K$47),$K$47&lt;Ampel_IRR_gruen)</formula>
    </cfRule>
    <cfRule type="expression" priority="87" aboveAverage="0" equalAverage="0" bottom="0" percent="0" rank="0" text="" dxfId="2">
      <formula>ISNUMBER($K$47)</formula>
    </cfRule>
    <cfRule type="expression" priority="88" aboveAverage="0" equalAverage="0" bottom="0" percent="0" rank="0" text="" dxfId="3">
      <formula>1</formula>
    </cfRule>
  </conditionalFormatting>
  <conditionalFormatting sqref="K43">
    <cfRule type="expression" priority="89" aboveAverage="0" equalAverage="0" bottom="0" percent="0" rank="0" text="" dxfId="4">
      <formula>AND(ISNUMBER(K43),K43&lt;0)</formula>
    </cfRule>
    <cfRule type="expression" priority="90" aboveAverage="0" equalAverage="0" bottom="0" percent="0" rank="0" text="" dxfId="3">
      <formula>1</formula>
    </cfRule>
  </conditionalFormatting>
  <conditionalFormatting sqref="C46:D47">
    <cfRule type="expression" priority="91" aboveAverage="0" equalAverage="0" bottom="0" percent="0" rank="0" text="" dxfId="4">
      <formula>AND(ISNUMBER(C46),C46&lt;0)</formula>
    </cfRule>
    <cfRule type="expression" priority="92" aboveAverage="0" equalAverage="0" bottom="0" percent="0" rank="0" text="" dxfId="3">
      <formula>1</formula>
    </cfRule>
  </conditionalFormatting>
  <conditionalFormatting sqref="B50:B55">
    <cfRule type="expression" priority="93" aboveAverage="0" equalAverage="0" bottom="0" percent="0" rank="0" text="" dxfId="18">
      <formula>AND(LEFT($B50,1)="▲",$B51="")</formula>
    </cfRule>
    <cfRule type="expression" priority="94" aboveAverage="0" equalAverage="0" bottom="0" percent="0" rank="0" text="" dxfId="19">
      <formula>LEFT($B50,1)="▲"</formula>
    </cfRule>
    <cfRule type="expression" priority="95" aboveAverage="0" equalAverage="0" bottom="0" percent="0" rank="0" text="" dxfId="20">
      <formula>AND($B50&lt;&gt;"",$B51="")</formula>
    </cfRule>
    <cfRule type="expression" priority="96" aboveAverage="0" equalAverage="0" bottom="0" percent="0" rank="0" text="" dxfId="21">
      <formula>$B50&lt;&gt;""</formula>
    </cfRule>
    <cfRule type="expression" priority="97" aboveAverage="0" equalAverage="0" bottom="0" percent="0" rank="0" text="" dxfId="3">
      <formula>1</formula>
    </cfRule>
  </conditionalFormatting>
  <conditionalFormatting sqref="C50:L55">
    <cfRule type="expression" priority="98" aboveAverage="0" equalAverage="0" bottom="0" percent="0" rank="0" text="" dxfId="22">
      <formula>AND($B50&lt;&gt;"",$B51="")</formula>
    </cfRule>
    <cfRule type="expression" priority="99" aboveAverage="0" equalAverage="0" bottom="0" percent="0" rank="0" text="" dxfId="23">
      <formula>$B50&lt;&gt;""</formula>
    </cfRule>
    <cfRule type="expression" priority="100" aboveAverage="0" equalAverage="0" bottom="0" percent="0" rank="0" text="" dxfId="3">
      <formula>1</formula>
    </cfRule>
  </conditionalFormatting>
  <hyperlinks>
    <hyperlink ref="B5" location="'Start'!A4" display="ERGEBNIS  ·  ÜBERSICHT AUF EINER SEITE"/>
    <hyperlink ref="K6" location="'Cockpit'!A49" display="#'Cockpit'.A49"/>
    <hyperlink ref="D13" location="'Eingaben'!A4" display="Eingaben ›"/>
    <hyperlink ref="H13" location="'Projektion'!D11" display="Projektion ›"/>
    <hyperlink ref="L13" location="'Finanzierung'!D11" display="Finanzierung ›"/>
    <hyperlink ref="D32" location="'Projektion'!D11" display="Projektion ›"/>
    <hyperlink ref="H32" location="'Steuern'!D4" display="Steuern ›"/>
    <hyperlink ref="L32" location="'Sensitivität'!A4" display="Sensitivität ›"/>
    <hyperlink ref="L49" location="'Cockpit'!A4" display="↑ Übersicht"/>
    <hyperlink ref="K57" location="'Diagramme'!A4" display="Alle Diagramme ›"/>
    <hyperlink ref="L57" location="'Cockpit'!A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31" man="true" max="16383" min="0"/>
    <brk id="56" man="true" max="16383" min="0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outlinePr summaryBelow="0" summaryRight="1"/>
    <pageSetUpPr fitToPage="true"/>
  </sheetPr>
  <dimension ref="A1:AQ21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34"/>
    <col collapsed="false" customWidth="true" hidden="false" outlineLevel="0" max="19" min="3" style="1" width="11"/>
    <col collapsed="false" customWidth="true" hidden="false" outlineLevel="0" max="43" min="20" style="171" width="11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0"/>
      <c r="R1" s="0"/>
      <c r="S1" s="0"/>
      <c r="T1" s="0"/>
      <c r="U1" s="0"/>
      <c r="V1" s="0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customFormat="false" ht="33" hidden="false" customHeight="true" outlineLevel="0" collapsed="false">
      <c r="A2" s="2"/>
      <c r="B2" s="6"/>
      <c r="C2" s="6"/>
      <c r="D2" s="6"/>
      <c r="E2" s="6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0"/>
      <c r="R2" s="0"/>
      <c r="S2" s="0"/>
      <c r="T2" s="0"/>
      <c r="U2" s="0"/>
      <c r="V2" s="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0"/>
      <c r="R3" s="0"/>
      <c r="S3" s="0"/>
      <c r="T3" s="0"/>
      <c r="U3" s="0"/>
      <c r="V3" s="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customFormat="false" ht="15.75" hidden="false" customHeight="true" outlineLevel="0" collapsed="false">
      <c r="A5" s="12"/>
      <c r="B5" s="102" t="s">
        <v>662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03" t="s">
        <v>94</v>
      </c>
      <c r="Q5" s="12"/>
      <c r="R5" s="12"/>
      <c r="S5" s="12"/>
      <c r="T5" s="12"/>
    </row>
    <row r="6" customFormat="false" ht="30" hidden="false" customHeight="true" outlineLevel="0" collapsed="false">
      <c r="A6" s="12"/>
      <c r="B6" s="104" t="s">
        <v>660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59" t="str">
        <f aca="false">Obj_Name</f>
        <v>Beispiel: 3-Zimmer-Eigentumswohnung</v>
      </c>
      <c r="Q6" s="12"/>
      <c r="R6" s="12"/>
      <c r="S6" s="12"/>
      <c r="T6" s="12"/>
    </row>
    <row r="7" customFormat="false" ht="21.75" hidden="false" customHeight="true" outlineLevel="0" collapsed="false">
      <c r="A7" s="12"/>
      <c r="B7" s="260" t="s">
        <v>663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261" t="str">
        <f aca="false">IF(Erstellt_fuer="","","Erstellt für "&amp;Erstellt_fuer)</f>
        <v>Erstellt für Max Mustermann</v>
      </c>
      <c r="Q7" s="12"/>
      <c r="R7" s="12"/>
      <c r="S7" s="12"/>
      <c r="T7" s="12"/>
    </row>
    <row r="8" customFormat="false" ht="30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customFormat="false" ht="24" hidden="false" customHeight="true" outlineLevel="0" collapsed="false">
      <c r="A9" s="12"/>
      <c r="B9" s="33" t="s">
        <v>664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262" t="s">
        <v>659</v>
      </c>
      <c r="Q9" s="9"/>
      <c r="R9" s="9"/>
      <c r="S9" s="9"/>
      <c r="T9" s="39"/>
      <c r="U9" s="9"/>
    </row>
    <row r="10" customFormat="false" ht="7.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customFormat="false" ht="1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customFormat="false" ht="1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customFormat="false" ht="9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customFormat="false" ht="9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customFormat="false" ht="9.7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customFormat="false" ht="24" hidden="false" customHeight="true" outlineLevel="0" collapsed="false">
      <c r="A30" s="12"/>
      <c r="B30" s="33" t="s">
        <v>665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262" t="s">
        <v>659</v>
      </c>
      <c r="Q30" s="9"/>
      <c r="R30" s="9"/>
      <c r="S30" s="9"/>
      <c r="T30" s="39"/>
      <c r="U30" s="9"/>
    </row>
    <row r="31" customFormat="false" ht="7.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customFormat="false" ht="1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customFormat="false" ht="1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customFormat="false" ht="1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customFormat="false" ht="1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customFormat="false" ht="1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customFormat="false" ht="1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customFormat="false" ht="9.7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customFormat="false" ht="9.7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customFormat="false" ht="9.7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customFormat="false" ht="24" hidden="false" customHeight="true" outlineLevel="0" collapsed="false">
      <c r="A51" s="12"/>
      <c r="B51" s="33" t="s">
        <v>666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262" t="s">
        <v>659</v>
      </c>
      <c r="Q51" s="9"/>
      <c r="R51" s="9"/>
      <c r="S51" s="9"/>
      <c r="T51" s="39"/>
      <c r="U51" s="9"/>
    </row>
    <row r="52" customFormat="false" ht="7.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customFormat="false" ht="12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263" t="str">
        <f aca="false">IF(MAX(D181:AL181)&gt;0,"","Kein zweites Darlehen – dargestellt ist Darlehen I")</f>
        <v>Kein zweites Darlehen – dargestellt ist Darlehen I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customFormat="false" ht="9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customFormat="false" ht="6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customFormat="false" ht="6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customFormat="false" ht="6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customFormat="false" ht="6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customFormat="false" ht="6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customFormat="false" ht="24" hidden="false" customHeight="true" outlineLevel="0" collapsed="false">
      <c r="A92" s="12"/>
      <c r="B92" s="33" t="s">
        <v>667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262" t="s">
        <v>659</v>
      </c>
      <c r="Q92" s="9"/>
      <c r="R92" s="9"/>
      <c r="S92" s="9"/>
      <c r="T92" s="39"/>
      <c r="U92" s="9"/>
    </row>
    <row r="93" customFormat="false" ht="7.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customFormat="false" ht="12" hidden="false" customHeight="true" outlineLevel="0" collapsed="false">
      <c r="A110" s="12"/>
      <c r="B110" s="263" t="str">
        <f aca="false">IF(SUM(D203:W203)&gt;0,"","Keine Sonder-AfA (§ 7b, § 7h/7i) im Modell")</f>
        <v>Keine Sonder-AfA (§ 7b, § 7h/7i) im Modell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customFormat="false" ht="9.7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customFormat="false" ht="9.7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customFormat="false" ht="24" hidden="false" customHeight="true" outlineLevel="0" collapsed="false">
      <c r="A113" s="12"/>
      <c r="B113" s="33" t="s">
        <v>668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262" t="s">
        <v>659</v>
      </c>
      <c r="Q113" s="9"/>
      <c r="R113" s="9"/>
      <c r="S113" s="9"/>
      <c r="T113" s="39"/>
      <c r="U113" s="9"/>
    </row>
    <row r="114" customFormat="false" ht="7.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customFormat="false" ht="1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customFormat="false" ht="1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customFormat="false" ht="1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customFormat="false" ht="1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customFormat="false" ht="1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customFormat="false" ht="1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customFormat="false" ht="4.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customFormat="false" ht="4.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customFormat="false" ht="4.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customFormat="false" ht="4.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customFormat="false" ht="4.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customFormat="false" ht="4.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customFormat="false" ht="4.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customFormat="false" ht="24" hidden="false" customHeight="true" outlineLevel="0" collapsed="false">
      <c r="A138" s="12"/>
      <c r="B138" s="33" t="s">
        <v>669</v>
      </c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2" t="s">
        <v>659</v>
      </c>
      <c r="Q138" s="265"/>
      <c r="R138" s="265"/>
      <c r="S138" s="265"/>
      <c r="T138" s="39"/>
      <c r="U138" s="9"/>
    </row>
    <row r="139" customFormat="false" ht="9.75" hidden="true" customHeight="true" outlineLevel="1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customFormat="false" ht="19.5" hidden="true" customHeight="true" outlineLevel="1" collapsed="false">
      <c r="A140" s="12"/>
      <c r="B140" s="96" t="s">
        <v>670</v>
      </c>
      <c r="C140" s="109" t="s">
        <v>671</v>
      </c>
      <c r="D140" s="12"/>
      <c r="E140" s="12"/>
      <c r="F140" s="266" t="s">
        <v>672</v>
      </c>
      <c r="G140" s="267" t="s">
        <v>673</v>
      </c>
      <c r="H140" s="267" t="s">
        <v>674</v>
      </c>
      <c r="I140" s="267" t="s">
        <v>136</v>
      </c>
      <c r="J140" s="267" t="s">
        <v>675</v>
      </c>
      <c r="K140" s="267" t="s">
        <v>676</v>
      </c>
      <c r="L140" s="267" t="s">
        <v>677</v>
      </c>
      <c r="M140" s="267" t="s">
        <v>678</v>
      </c>
      <c r="N140" s="267" t="s">
        <v>679</v>
      </c>
      <c r="O140" s="12"/>
      <c r="P140" s="266" t="s">
        <v>680</v>
      </c>
      <c r="Q140" s="267" t="s">
        <v>673</v>
      </c>
      <c r="R140" s="267" t="s">
        <v>674</v>
      </c>
      <c r="S140" s="267" t="s">
        <v>675</v>
      </c>
      <c r="T140" s="267" t="s">
        <v>676</v>
      </c>
      <c r="U140" s="267" t="s">
        <v>677</v>
      </c>
      <c r="V140" s="267" t="s">
        <v>681</v>
      </c>
      <c r="AI140" s="266" t="s">
        <v>682</v>
      </c>
    </row>
    <row r="141" customFormat="false" ht="18" hidden="true" customHeight="true" outlineLevel="1" collapsed="false">
      <c r="B141" s="62" t="s">
        <v>585</v>
      </c>
      <c r="C141" s="268" t="n">
        <f aca="false">Kaufpreis</f>
        <v>285000</v>
      </c>
      <c r="F141" s="269" t="s">
        <v>683</v>
      </c>
      <c r="G141" s="270" t="n">
        <f aca="false">N(Haushaltsrechnung!$C$31)</f>
        <v>1100</v>
      </c>
      <c r="H141" s="271" t="n">
        <f aca="false">IF(G141&gt;0,G141+(13-1)/1000,0)</f>
        <v>1100.012</v>
      </c>
      <c r="I141" s="270" t="n">
        <f aca="false">IF(ISNUMBER(SEARCH("kalkulierten",Haushaltsrechnung!$B$31)),1,0)</f>
        <v>0</v>
      </c>
      <c r="J141" s="272" t="n">
        <v>1</v>
      </c>
      <c r="K141" s="272" t="n">
        <f aca="false">IF(J141&lt;=COUNTIF($G$141:$G$152,"&gt;0"),MATCH(LARGE($H$141:$H$152,J141),$H$141:$H$152,0),"")</f>
        <v>11</v>
      </c>
      <c r="L141" s="269" t="str">
        <f aca="false">IF(K141="","",INDEX($F$141:$F$152,K141))</f>
        <v>Kapitaldienst neu</v>
      </c>
      <c r="M141" s="270" t="n">
        <f aca="false">IF(K141="",0,IF(INDEX($I$141:$I$152,K141)=1,0,INDEX($G$141:$G$152,K141)))</f>
        <v>0</v>
      </c>
      <c r="N141" s="270" t="n">
        <f aca="false">IF(K141="",0,IF(INDEX($I$141:$I$152,K141)=1,INDEX($G$141:$G$152,K141),0))</f>
        <v>1166.66666666667</v>
      </c>
      <c r="P141" s="269" t="s">
        <v>684</v>
      </c>
      <c r="Q141" s="270" t="n">
        <f aca="false">N(Vermögensaufstellung!$C$10)</f>
        <v>8000</v>
      </c>
      <c r="R141" s="271" t="n">
        <f aca="false">IF(Q141&gt;0,Q141+(10-1)/1000,0)</f>
        <v>8000.009</v>
      </c>
      <c r="S141" s="272" t="n">
        <v>1</v>
      </c>
      <c r="T141" s="272" t="n">
        <f aca="false">IF(S141&lt;=COUNTIF($Q$141:$Q$149,"&gt;0"),MATCH(LARGE($R$141:$R$149,S141),$R$141:$R$149,0),"")</f>
        <v>3</v>
      </c>
      <c r="U141" s="269" t="str">
        <f aca="false">IF(T141="","",INDEX($P$141:$P$149,T141))</f>
        <v>Wertpapierdepot</v>
      </c>
      <c r="V141" s="270" t="n">
        <f aca="false">IF(T141="",0,INDEX($Q$141:$Q$149,T141))</f>
        <v>30000</v>
      </c>
      <c r="AI141" s="269" t="str">
        <f aca="false">"Grunderwerbsteuer · "&amp;TEXT(IFERROR(MAX(0,'S03 Kaufnebenkosten'!$D$61)/SUM('S03 Kaufnebenkosten'!$D$61:$D$65),0),"0 %")</f>
        <v>Grunderwerbsteuer · 46 %</v>
      </c>
    </row>
    <row r="142" customFormat="false" ht="18" hidden="true" customHeight="true" outlineLevel="1" collapsed="false">
      <c r="B142" s="62" t="s">
        <v>204</v>
      </c>
      <c r="C142" s="268" t="n">
        <f aca="false">NK_Summe</f>
        <v>30224.5</v>
      </c>
      <c r="F142" s="269" t="s">
        <v>685</v>
      </c>
      <c r="G142" s="270" t="n">
        <f aca="false">N(Haushaltsrechnung!$C$32)</f>
        <v>600</v>
      </c>
      <c r="H142" s="271" t="n">
        <f aca="false">IF(G142&gt;0,G142+(13-2)/1000,0)</f>
        <v>600.011</v>
      </c>
      <c r="I142" s="270" t="n">
        <f aca="false">IF(ISNUMBER(SEARCH("kalkulierten",Haushaltsrechnung!$B$32)),1,0)</f>
        <v>0</v>
      </c>
      <c r="J142" s="272" t="n">
        <v>2</v>
      </c>
      <c r="K142" s="272" t="n">
        <f aca="false">IF(J142&lt;=COUNTIF($G$141:$G$152,"&gt;0"),MATCH(LARGE($H$141:$H$152,J142),$H$141:$H$152,0),"")</f>
        <v>1</v>
      </c>
      <c r="L142" s="269" t="str">
        <f aca="false">IF(K142="","",INDEX($F$141:$F$152,K142))</f>
        <v>Wohnen</v>
      </c>
      <c r="M142" s="270" t="n">
        <f aca="false">IF(K142="",0,IF(INDEX($I$141:$I$152,K142)=1,0,INDEX($G$141:$G$152,K142)))</f>
        <v>1100</v>
      </c>
      <c r="N142" s="270" t="n">
        <f aca="false">IF(K142="",0,IF(INDEX($I$141:$I$152,K142)=1,INDEX($G$141:$G$152,K142),0))</f>
        <v>0</v>
      </c>
      <c r="P142" s="269" t="s">
        <v>686</v>
      </c>
      <c r="Q142" s="270" t="n">
        <f aca="false">N(Vermögensaufstellung!$C$11)</f>
        <v>25000</v>
      </c>
      <c r="R142" s="271" t="n">
        <f aca="false">IF(Q142&gt;0,Q142+(10-2)/1000,0)</f>
        <v>25000.008</v>
      </c>
      <c r="S142" s="272" t="n">
        <v>2</v>
      </c>
      <c r="T142" s="272" t="n">
        <f aca="false">IF(S142&lt;=COUNTIF($Q$141:$Q$149,"&gt;0"),MATCH(LARGE($R$141:$R$149,S142),$R$141:$R$149,0),"")</f>
        <v>2</v>
      </c>
      <c r="U142" s="269" t="str">
        <f aca="false">IF(T142="","",INDEX($P$141:$P$149,T142))</f>
        <v>Tagesgeld / Festgeld</v>
      </c>
      <c r="V142" s="270" t="n">
        <f aca="false">IF(T142="",0,INDEX($Q$141:$Q$149,T142))</f>
        <v>25000</v>
      </c>
      <c r="AI142" s="269" t="str">
        <f aca="false">"Notar · "&amp;TEXT(IFERROR(MAX(0,'S03 Kaufnebenkosten'!$D$62)/SUM('S03 Kaufnebenkosten'!$D$61:$D$65),0),"0 %")</f>
        <v>Notar · 14 %</v>
      </c>
    </row>
    <row r="143" customFormat="false" ht="18" hidden="true" customHeight="true" outlineLevel="1" collapsed="false">
      <c r="B143" s="62" t="s">
        <v>337</v>
      </c>
      <c r="C143" s="268" t="n">
        <f aca="false">FinNK_Summe</f>
        <v>1750</v>
      </c>
      <c r="F143" s="269" t="s">
        <v>687</v>
      </c>
      <c r="G143" s="270" t="n">
        <f aca="false">N(Haushaltsrechnung!$C$33)</f>
        <v>300</v>
      </c>
      <c r="H143" s="271" t="n">
        <f aca="false">IF(G143&gt;0,G143+(13-3)/1000,0)</f>
        <v>300.01</v>
      </c>
      <c r="I143" s="270" t="n">
        <f aca="false">IF(ISNUMBER(SEARCH("kalkulierten",Haushaltsrechnung!$B$33)),1,0)</f>
        <v>0</v>
      </c>
      <c r="J143" s="272" t="n">
        <v>3</v>
      </c>
      <c r="K143" s="272" t="n">
        <f aca="false">IF(J143&lt;=COUNTIF($G$141:$G$152,"&gt;0"),MATCH(LARGE($H$141:$H$152,J143),$H$141:$H$152,0),"")</f>
        <v>2</v>
      </c>
      <c r="L143" s="269" t="str">
        <f aca="false">IF(K143="","",INDEX($F$141:$F$152,K143))</f>
        <v>Lebenshaltung</v>
      </c>
      <c r="M143" s="270" t="n">
        <f aca="false">IF(K143="",0,IF(INDEX($I$141:$I$152,K143)=1,0,INDEX($G$141:$G$152,K143)))</f>
        <v>600</v>
      </c>
      <c r="N143" s="270" t="n">
        <f aca="false">IF(K143="",0,IF(INDEX($I$141:$I$152,K143)=1,INDEX($G$141:$G$152,K143),0))</f>
        <v>0</v>
      </c>
      <c r="P143" s="269" t="s">
        <v>688</v>
      </c>
      <c r="Q143" s="270" t="n">
        <f aca="false">N(Vermögensaufstellung!$C$12)</f>
        <v>30000</v>
      </c>
      <c r="R143" s="271" t="n">
        <f aca="false">IF(Q143&gt;0,Q143+(10-3)/1000,0)</f>
        <v>30000.007</v>
      </c>
      <c r="S143" s="272" t="n">
        <v>3</v>
      </c>
      <c r="T143" s="272" t="n">
        <f aca="false">IF(S143&lt;=COUNTIF($Q$141:$Q$149,"&gt;0"),MATCH(LARGE($R$141:$R$149,S143),$R$141:$R$149,0),"")</f>
        <v>8</v>
      </c>
      <c r="U143" s="269" t="str">
        <f aca="false">IF(T143="","",INDEX($P$141:$P$149,T143))</f>
        <v>Fahrzeuge</v>
      </c>
      <c r="V143" s="270" t="n">
        <f aca="false">IF(T143="",0,INDEX($Q$141:$Q$149,T143))</f>
        <v>15000</v>
      </c>
      <c r="AI143" s="269" t="str">
        <f aca="false">"Grundbuch · "&amp;TEXT(IFERROR(MAX(0,'S03 Kaufnebenkosten'!$D$63)/SUM('S03 Kaufnebenkosten'!$D$61:$D$65),0),"0 %")</f>
        <v>Grundbuch · 5 %</v>
      </c>
    </row>
    <row r="144" customFormat="false" ht="18" hidden="true" customHeight="true" outlineLevel="1" collapsed="false">
      <c r="B144" s="62" t="s">
        <v>689</v>
      </c>
      <c r="C144" s="268" t="n">
        <f aca="false">Investition_J1</f>
        <v>12000</v>
      </c>
      <c r="F144" s="269" t="s">
        <v>690</v>
      </c>
      <c r="G144" s="270" t="n">
        <f aca="false">N(Haushaltsrechnung!$C$34)</f>
        <v>150</v>
      </c>
      <c r="H144" s="271" t="n">
        <f aca="false">IF(G144&gt;0,G144+(13-4)/1000,0)</f>
        <v>150.009</v>
      </c>
      <c r="I144" s="270" t="n">
        <f aca="false">IF(ISNUMBER(SEARCH("kalkulierten",Haushaltsrechnung!$B$34)),1,0)</f>
        <v>0</v>
      </c>
      <c r="J144" s="272" t="n">
        <v>4</v>
      </c>
      <c r="K144" s="272" t="n">
        <f aca="false">IF(J144&lt;=COUNTIF($G$141:$G$152,"&gt;0"),MATCH(LARGE($H$141:$H$152,J144),$H$141:$H$152,0),"")</f>
        <v>3</v>
      </c>
      <c r="L144" s="269" t="str">
        <f aca="false">IF(K144="","",INDEX($F$141:$F$152,K144))</f>
        <v>Mobilität</v>
      </c>
      <c r="M144" s="270" t="n">
        <f aca="false">IF(K144="",0,IF(INDEX($I$141:$I$152,K144)=1,0,INDEX($G$141:$G$152,K144)))</f>
        <v>300</v>
      </c>
      <c r="N144" s="270" t="n">
        <f aca="false">IF(K144="",0,IF(INDEX($I$141:$I$152,K144)=1,INDEX($G$141:$G$152,K144),0))</f>
        <v>0</v>
      </c>
      <c r="P144" s="269" t="s">
        <v>691</v>
      </c>
      <c r="Q144" s="270" t="n">
        <f aca="false">N(Vermögensaufstellung!$C$13)</f>
        <v>0</v>
      </c>
      <c r="R144" s="271" t="n">
        <f aca="false">IF(Q144&gt;0,Q144+(10-4)/1000,0)</f>
        <v>0</v>
      </c>
      <c r="S144" s="272" t="n">
        <v>4</v>
      </c>
      <c r="T144" s="272" t="n">
        <f aca="false">IF(S144&lt;=COUNTIF($Q$141:$Q$149,"&gt;0"),MATCH(LARGE($R$141:$R$149,S144),$R$141:$R$149,0),"")</f>
        <v>1</v>
      </c>
      <c r="U144" s="269" t="str">
        <f aca="false">IF(T144="","",INDEX($P$141:$P$149,T144))</f>
        <v>Girokonten</v>
      </c>
      <c r="V144" s="270" t="n">
        <f aca="false">IF(T144="",0,INDEX($Q$141:$Q$149,T144))</f>
        <v>8000</v>
      </c>
      <c r="AI144" s="269" t="str">
        <f aca="false">"Makler · "&amp;TEXT(IFERROR(MAX(0,'S03 Kaufnebenkosten'!$D$64)/SUM('S03 Kaufnebenkosten'!$D$61:$D$65),0),"0 %")</f>
        <v>Makler · 34 %</v>
      </c>
    </row>
    <row r="145" customFormat="false" ht="12" hidden="true" customHeight="true" outlineLevel="1" collapsed="false">
      <c r="F145" s="269" t="s">
        <v>692</v>
      </c>
      <c r="G145" s="270" t="n">
        <f aca="false">N(Haushaltsrechnung!$C$35)</f>
        <v>250</v>
      </c>
      <c r="H145" s="271" t="n">
        <f aca="false">IF(G145&gt;0,G145+(13-5)/1000,0)</f>
        <v>250.008</v>
      </c>
      <c r="I145" s="270" t="n">
        <f aca="false">IF(ISNUMBER(SEARCH("kalkulierten",Haushaltsrechnung!$B$35)),1,0)</f>
        <v>0</v>
      </c>
      <c r="J145" s="272" t="n">
        <v>5</v>
      </c>
      <c r="K145" s="272" t="n">
        <f aca="false">IF(J145&lt;=COUNTIF($G$141:$G$152,"&gt;0"),MATCH(LARGE($H$141:$H$152,J145),$H$141:$H$152,0),"")</f>
        <v>6</v>
      </c>
      <c r="L145" s="269" t="str">
        <f aca="false">IF(K145="","",INDEX($F$141:$F$152,K145))</f>
        <v>Freizeit</v>
      </c>
      <c r="M145" s="270" t="n">
        <f aca="false">IF(K145="",0,IF(INDEX($I$141:$I$152,K145)=1,0,INDEX($G$141:$G$152,K145)))</f>
        <v>300</v>
      </c>
      <c r="N145" s="270" t="n">
        <f aca="false">IF(K145="",0,IF(INDEX($I$141:$I$152,K145)=1,INDEX($G$141:$G$152,K145),0))</f>
        <v>0</v>
      </c>
      <c r="P145" s="269" t="s">
        <v>693</v>
      </c>
      <c r="Q145" s="270" t="n">
        <f aca="false">N(Vermögensaufstellung!$C$14)</f>
        <v>0</v>
      </c>
      <c r="R145" s="271" t="n">
        <f aca="false">IF(Q145&gt;0,Q145+(10-5)/1000,0)</f>
        <v>0</v>
      </c>
      <c r="S145" s="272" t="n">
        <v>5</v>
      </c>
      <c r="T145" s="272" t="str">
        <f aca="false">IF(S145&lt;=COUNTIF($Q$141:$Q$149,"&gt;0"),MATCH(LARGE($R$141:$R$149,S145),$R$141:$R$149,0),"")</f>
        <v/>
      </c>
      <c r="U145" s="269" t="str">
        <f aca="false">IF(T145="","",INDEX($P$141:$P$149,T145))</f>
        <v/>
      </c>
      <c r="V145" s="270" t="n">
        <f aca="false">IF(T145="",0,INDEX($Q$141:$Q$149,T145))</f>
        <v>0</v>
      </c>
      <c r="AI145" s="269" t="str">
        <f aca="false">"Sonstige · "&amp;TEXT(IFERROR(MAX(0,'S03 Kaufnebenkosten'!$D$65)/SUM('S03 Kaufnebenkosten'!$D$61:$D$65),0),"0 %")</f>
        <v>Sonstige · 2 %</v>
      </c>
    </row>
    <row r="146" customFormat="false" ht="19.5" hidden="true" customHeight="true" outlineLevel="1" collapsed="false">
      <c r="B146" s="96" t="s">
        <v>694</v>
      </c>
      <c r="C146" s="109" t="s">
        <v>671</v>
      </c>
      <c r="F146" s="269" t="s">
        <v>695</v>
      </c>
      <c r="G146" s="270" t="n">
        <f aca="false">N(Haushaltsrechnung!$C$36)</f>
        <v>300</v>
      </c>
      <c r="H146" s="271" t="n">
        <f aca="false">IF(G146&gt;0,G146+(13-6)/1000,0)</f>
        <v>300.007</v>
      </c>
      <c r="I146" s="270" t="n">
        <f aca="false">IF(ISNUMBER(SEARCH("kalkulierten",Haushaltsrechnung!$B$36)),1,0)</f>
        <v>0</v>
      </c>
      <c r="J146" s="272" t="n">
        <v>6</v>
      </c>
      <c r="K146" s="272" t="n">
        <f aca="false">IF(J146&lt;=COUNTIF($G$141:$G$152,"&gt;0"),MATCH(LARGE($H$141:$H$152,J146),$H$141:$H$152,0),"")</f>
        <v>5</v>
      </c>
      <c r="L146" s="269" t="str">
        <f aca="false">IF(K146="","",INDEX($F$141:$F$152,K146))</f>
        <v>Altersvorsorge</v>
      </c>
      <c r="M146" s="270" t="n">
        <f aca="false">IF(K146="",0,IF(INDEX($I$141:$I$152,K146)=1,0,INDEX($G$141:$G$152,K146)))</f>
        <v>250</v>
      </c>
      <c r="N146" s="270" t="n">
        <f aca="false">IF(K146="",0,IF(INDEX($I$141:$I$152,K146)=1,INDEX($G$141:$G$152,K146),0))</f>
        <v>0</v>
      </c>
      <c r="P146" s="269" t="s">
        <v>696</v>
      </c>
      <c r="Q146" s="270" t="n">
        <f aca="false">N(Vermögensaufstellung!$C$15)</f>
        <v>0</v>
      </c>
      <c r="R146" s="271" t="n">
        <f aca="false">IF(Q146&gt;0,Q146+(10-6)/1000,0)</f>
        <v>0</v>
      </c>
      <c r="S146" s="272" t="n">
        <v>6</v>
      </c>
      <c r="T146" s="272" t="str">
        <f aca="false">IF(S146&lt;=COUNTIF($Q$141:$Q$149,"&gt;0"),MATCH(LARGE($R$141:$R$149,S146),$R$141:$R$149,0),"")</f>
        <v/>
      </c>
      <c r="U146" s="269" t="str">
        <f aca="false">IF(T146="","",INDEX($P$141:$P$149,T146))</f>
        <v/>
      </c>
      <c r="V146" s="270" t="n">
        <f aca="false">IF(T146="",0,INDEX($Q$141:$Q$149,T146))</f>
        <v>0</v>
      </c>
    </row>
    <row r="147" customFormat="false" ht="18" hidden="true" customHeight="true" outlineLevel="1" collapsed="false">
      <c r="B147" s="62" t="s">
        <v>697</v>
      </c>
      <c r="C147" s="268" t="n">
        <f aca="false">Darlehen_I</f>
        <v>250000</v>
      </c>
      <c r="F147" s="269" t="s">
        <v>698</v>
      </c>
      <c r="G147" s="270" t="n">
        <f aca="false">N(Haushaltsrechnung!$C$37)</f>
        <v>0</v>
      </c>
      <c r="H147" s="271" t="n">
        <f aca="false">IF(G147&gt;0,G147+(13-7)/1000,0)</f>
        <v>0</v>
      </c>
      <c r="I147" s="270" t="n">
        <f aca="false">IF(ISNUMBER(SEARCH("kalkulierten",Haushaltsrechnung!$B$37)),1,0)</f>
        <v>0</v>
      </c>
      <c r="J147" s="272" t="n">
        <v>7</v>
      </c>
      <c r="K147" s="272" t="n">
        <f aca="false">IF(J147&lt;=COUNTIF($G$141:$G$152,"&gt;0"),MATCH(LARGE($H$141:$H$152,J147),$H$141:$H$152,0),"")</f>
        <v>12</v>
      </c>
      <c r="L147" s="269" t="str">
        <f aca="false">IF(K147="","",INDEX($F$141:$F$152,K147))</f>
        <v>Bewirtschaftung neu</v>
      </c>
      <c r="M147" s="270" t="n">
        <f aca="false">IF(K147="",0,IF(INDEX($I$141:$I$152,K147)=1,0,INDEX($G$141:$G$152,K147)))</f>
        <v>0</v>
      </c>
      <c r="N147" s="270" t="n">
        <f aca="false">IF(K147="",0,IF(INDEX($I$141:$I$152,K147)=1,INDEX($G$141:$G$152,K147),0))</f>
        <v>207.5</v>
      </c>
      <c r="P147" s="269" t="s">
        <v>699</v>
      </c>
      <c r="Q147" s="270" t="n">
        <f aca="false">N(Vermögensaufstellung!$C$16)</f>
        <v>0</v>
      </c>
      <c r="R147" s="271" t="n">
        <f aca="false">IF(Q147&gt;0,Q147+(10-7)/1000,0)</f>
        <v>0</v>
      </c>
      <c r="S147" s="272" t="n">
        <v>7</v>
      </c>
      <c r="T147" s="272" t="str">
        <f aca="false">IF(S147&lt;=COUNTIF($Q$141:$Q$149,"&gt;0"),MATCH(LARGE($R$141:$R$149,S147),$R$141:$R$149,0),"")</f>
        <v/>
      </c>
      <c r="U147" s="269" t="str">
        <f aca="false">IF(T147="","",INDEX($P$141:$P$149,T147))</f>
        <v/>
      </c>
      <c r="V147" s="270" t="n">
        <f aca="false">IF(T147="",0,INDEX($Q$141:$Q$149,T147))</f>
        <v>0</v>
      </c>
      <c r="AI147" s="269" t="str">
        <f aca="false">"Boden · "&amp;TEXT(IFERROR(MAX(0,Diagramme!$C$152)/SUM(Diagramme!$C$152:$C$155),0),"0 %")</f>
        <v>Boden · 19 %</v>
      </c>
    </row>
    <row r="148" customFormat="false" ht="18" hidden="true" customHeight="true" outlineLevel="1" collapsed="false">
      <c r="B148" s="62" t="s">
        <v>700</v>
      </c>
      <c r="C148" s="268" t="n">
        <f aca="false">Darlehen_II</f>
        <v>0</v>
      </c>
      <c r="F148" s="269" t="s">
        <v>701</v>
      </c>
      <c r="G148" s="270" t="n">
        <f aca="false">N(Haushaltsrechnung!$C$38)</f>
        <v>0</v>
      </c>
      <c r="H148" s="271" t="n">
        <f aca="false">IF(G148&gt;0,G148+(13-8)/1000,0)</f>
        <v>0</v>
      </c>
      <c r="I148" s="270" t="n">
        <f aca="false">IF(ISNUMBER(SEARCH("kalkulierten",Haushaltsrechnung!$B$38)),1,0)</f>
        <v>0</v>
      </c>
      <c r="J148" s="272" t="n">
        <v>8</v>
      </c>
      <c r="K148" s="272" t="n">
        <f aca="false">IF(J148&lt;=COUNTIF($G$141:$G$152,"&gt;0"),MATCH(LARGE($H$141:$H$152,J148),$H$141:$H$152,0),"")</f>
        <v>4</v>
      </c>
      <c r="L148" s="269" t="str">
        <f aca="false">IF(K148="","",INDEX($F$141:$F$152,K148))</f>
        <v>Versicherungen</v>
      </c>
      <c r="M148" s="270" t="n">
        <f aca="false">IF(K148="",0,IF(INDEX($I$141:$I$152,K148)=1,0,INDEX($G$141:$G$152,K148)))</f>
        <v>150</v>
      </c>
      <c r="N148" s="270" t="n">
        <f aca="false">IF(K148="",0,IF(INDEX($I$141:$I$152,K148)=1,INDEX($G$141:$G$152,K148),0))</f>
        <v>0</v>
      </c>
      <c r="P148" s="269" t="s">
        <v>702</v>
      </c>
      <c r="Q148" s="270" t="n">
        <f aca="false">N(Vermögensaufstellung!$C$17)</f>
        <v>15000</v>
      </c>
      <c r="R148" s="271" t="n">
        <f aca="false">IF(Q148&gt;0,Q148+(10-8)/1000,0)</f>
        <v>15000.002</v>
      </c>
      <c r="S148" s="272" t="n">
        <v>8</v>
      </c>
      <c r="T148" s="272" t="str">
        <f aca="false">IF(S148&lt;=COUNTIF($Q$141:$Q$149,"&gt;0"),MATCH(LARGE($R$141:$R$149,S148),$R$141:$R$149,0),"")</f>
        <v/>
      </c>
      <c r="U148" s="269" t="str">
        <f aca="false">IF(T148="","",INDEX($P$141:$P$149,T148))</f>
        <v/>
      </c>
      <c r="V148" s="270" t="n">
        <f aca="false">IF(T148="",0,INDEX($Q$141:$Q$149,T148))</f>
        <v>0</v>
      </c>
      <c r="AI148" s="269" t="str">
        <f aca="false">"Gebäude · "&amp;TEXT(IFERROR(MAX(0,Diagramme!$C$153)/SUM(Diagramme!$C$152:$C$155),0),"0 %")</f>
        <v>Gebäude · 77 %</v>
      </c>
    </row>
    <row r="149" customFormat="false" ht="18" hidden="true" customHeight="true" outlineLevel="1" collapsed="false">
      <c r="B149" s="62" t="s">
        <v>703</v>
      </c>
      <c r="C149" s="268" t="n">
        <f aca="false">Eigenkapital</f>
        <v>78974.5</v>
      </c>
      <c r="F149" s="269" t="s">
        <v>704</v>
      </c>
      <c r="G149" s="270" t="n">
        <f aca="false">N(Haushaltsrechnung!$C$39)</f>
        <v>0</v>
      </c>
      <c r="H149" s="271" t="n">
        <f aca="false">IF(G149&gt;0,G149+(13-9)/1000,0)</f>
        <v>0</v>
      </c>
      <c r="I149" s="270" t="n">
        <f aca="false">IF(ISNUMBER(SEARCH("kalkulierten",Haushaltsrechnung!$B$39)),1,0)</f>
        <v>0</v>
      </c>
      <c r="J149" s="272" t="n">
        <v>9</v>
      </c>
      <c r="K149" s="272" t="str">
        <f aca="false">IF(J149&lt;=COUNTIF($G$141:$G$152,"&gt;0"),MATCH(LARGE($H$141:$H$152,J149),$H$141:$H$152,0),"")</f>
        <v/>
      </c>
      <c r="L149" s="269" t="str">
        <f aca="false">IF(K149="","",INDEX($F$141:$F$152,K149))</f>
        <v/>
      </c>
      <c r="M149" s="270" t="n">
        <f aca="false">IF(K149="",0,IF(INDEX($I$141:$I$152,K149)=1,0,INDEX($G$141:$G$152,K149)))</f>
        <v>0</v>
      </c>
      <c r="N149" s="270" t="n">
        <f aca="false">IF(K149="",0,IF(INDEX($I$141:$I$152,K149)=1,INDEX($G$141:$G$152,K149),0))</f>
        <v>0</v>
      </c>
      <c r="P149" s="269" t="s">
        <v>705</v>
      </c>
      <c r="Q149" s="270" t="n">
        <f aca="false">N(Vermögensaufstellung!$C$18)</f>
        <v>0</v>
      </c>
      <c r="R149" s="271" t="n">
        <f aca="false">IF(Q149&gt;0,Q149+(10-9)/1000,0)</f>
        <v>0</v>
      </c>
      <c r="S149" s="272" t="n">
        <v>9</v>
      </c>
      <c r="T149" s="272" t="str">
        <f aca="false">IF(S149&lt;=COUNTIF($Q$141:$Q$149,"&gt;0"),MATCH(LARGE($R$141:$R$149,S149),$R$141:$R$149,0),"")</f>
        <v/>
      </c>
      <c r="U149" s="269" t="str">
        <f aca="false">IF(T149="","",INDEX($P$141:$P$149,T149))</f>
        <v/>
      </c>
      <c r="V149" s="270" t="n">
        <f aca="false">IF(T149="",0,INDEX($Q$141:$Q$149,T149))</f>
        <v>0</v>
      </c>
      <c r="AI149" s="269" t="str">
        <f aca="false">"Inventar · "&amp;TEXT(IFERROR(MAX(0,Diagramme!$C$154)/SUM(Diagramme!$C$152:$C$155),0),"0 %")</f>
        <v>Inventar · 3 %</v>
      </c>
    </row>
    <row r="150" customFormat="false" ht="12" hidden="true" customHeight="true" outlineLevel="1" collapsed="false">
      <c r="F150" s="269" t="s">
        <v>706</v>
      </c>
      <c r="G150" s="270" t="n">
        <f aca="false">N(Haushaltsrechnung!$C$40)</f>
        <v>0</v>
      </c>
      <c r="H150" s="271" t="n">
        <f aca="false">IF(G150&gt;0,G150+(13-10)/1000,0)</f>
        <v>0</v>
      </c>
      <c r="I150" s="270" t="n">
        <f aca="false">IF(ISNUMBER(SEARCH("kalkulierten",Haushaltsrechnung!$B$40)),1,0)</f>
        <v>0</v>
      </c>
      <c r="J150" s="272" t="n">
        <v>10</v>
      </c>
      <c r="K150" s="272" t="str">
        <f aca="false">IF(J150&lt;=COUNTIF($G$141:$G$152,"&gt;0"),MATCH(LARGE($H$141:$H$152,J150),$H$141:$H$152,0),"")</f>
        <v/>
      </c>
      <c r="L150" s="269" t="str">
        <f aca="false">IF(K150="","",INDEX($F$141:$F$152,K150))</f>
        <v/>
      </c>
      <c r="M150" s="270" t="n">
        <f aca="false">IF(K150="",0,IF(INDEX($I$141:$I$152,K150)=1,0,INDEX($G$141:$G$152,K150)))</f>
        <v>0</v>
      </c>
      <c r="N150" s="270" t="n">
        <f aca="false">IF(K150="",0,IF(INDEX($I$141:$I$152,K150)=1,INDEX($G$141:$G$152,K150),0))</f>
        <v>0</v>
      </c>
      <c r="AI150" s="269" t="str">
        <f aca="false">"Rücklage · "&amp;TEXT(IFERROR(MAX(0,Diagramme!$C$155)/SUM(Diagramme!$C$152:$C$155),0),"0 %")</f>
        <v>Rücklage · 1 %</v>
      </c>
    </row>
    <row r="151" customFormat="false" ht="19.5" hidden="true" customHeight="true" outlineLevel="1" collapsed="false">
      <c r="B151" s="96" t="s">
        <v>235</v>
      </c>
      <c r="C151" s="109" t="s">
        <v>671</v>
      </c>
      <c r="F151" s="269" t="s">
        <v>707</v>
      </c>
      <c r="G151" s="270" t="n">
        <f aca="false">N(Haushaltsrechnung!$C$41)</f>
        <v>1166.66666666667</v>
      </c>
      <c r="H151" s="271" t="n">
        <f aca="false">IF(G151&gt;0,G151+(13-11)/1000,0)</f>
        <v>1166.66866666667</v>
      </c>
      <c r="I151" s="270" t="n">
        <f aca="false">IF(ISNUMBER(SEARCH("kalkulierten",Haushaltsrechnung!$B$41)),1,0)</f>
        <v>1</v>
      </c>
      <c r="J151" s="272" t="n">
        <v>11</v>
      </c>
      <c r="K151" s="272" t="str">
        <f aca="false">IF(J151&lt;=COUNTIF($G$141:$G$152,"&gt;0"),MATCH(LARGE($H$141:$H$152,J151),$H$141:$H$152,0),"")</f>
        <v/>
      </c>
      <c r="L151" s="269" t="str">
        <f aca="false">IF(K151="","",INDEX($F$141:$F$152,K151))</f>
        <v/>
      </c>
      <c r="M151" s="270" t="n">
        <f aca="false">IF(K151="",0,IF(INDEX($I$141:$I$152,K151)=1,0,INDEX($G$141:$G$152,K151)))</f>
        <v>0</v>
      </c>
      <c r="N151" s="270" t="n">
        <f aca="false">IF(K151="",0,IF(INDEX($I$141:$I$152,K151)=1,INDEX($G$141:$G$152,K151),0))</f>
        <v>0</v>
      </c>
    </row>
    <row r="152" customFormat="false" ht="18" hidden="true" customHeight="true" outlineLevel="1" collapsed="false">
      <c r="B152" s="62" t="s">
        <v>708</v>
      </c>
      <c r="C152" s="268" t="n">
        <f aca="false">Bodenwert</f>
        <v>54000</v>
      </c>
      <c r="F152" s="269" t="s">
        <v>709</v>
      </c>
      <c r="G152" s="270" t="n">
        <f aca="false">N(Haushaltsrechnung!$C$42)</f>
        <v>207.5</v>
      </c>
      <c r="H152" s="271" t="n">
        <f aca="false">IF(G152&gt;0,G152+(13-12)/1000,0)</f>
        <v>207.501</v>
      </c>
      <c r="I152" s="270" t="n">
        <f aca="false">IF(ISNUMBER(SEARCH("kalkulierten",Haushaltsrechnung!$B$42)),1,0)</f>
        <v>1</v>
      </c>
      <c r="J152" s="272" t="n">
        <v>12</v>
      </c>
      <c r="K152" s="272" t="str">
        <f aca="false">IF(J152&lt;=COUNTIF($G$141:$G$152,"&gt;0"),MATCH(LARGE($H$141:$H$152,J152),$H$141:$H$152,0),"")</f>
        <v/>
      </c>
      <c r="L152" s="269" t="str">
        <f aca="false">IF(K152="","",INDEX($F$141:$F$152,K152))</f>
        <v/>
      </c>
      <c r="M152" s="270" t="n">
        <f aca="false">IF(K152="",0,IF(INDEX($I$141:$I$152,K152)=1,0,INDEX($G$141:$G$152,K152)))</f>
        <v>0</v>
      </c>
      <c r="N152" s="270" t="n">
        <f aca="false">IF(K152="",0,IF(INDEX($I$141:$I$152,K152)=1,INDEX($G$141:$G$152,K152),0))</f>
        <v>0</v>
      </c>
      <c r="AI152" s="269" t="str">
        <f aca="false">"Kaufpreis · "&amp;TEXT(IFERROR(MAX(0,Diagramme!$C$141)/SUM(Diagramme!$C$141:$C$144),0),"0 %")</f>
        <v>Kaufpreis · 87 %</v>
      </c>
    </row>
    <row r="153" customFormat="false" ht="18" hidden="true" customHeight="true" outlineLevel="1" collapsed="false">
      <c r="B153" s="62" t="s">
        <v>710</v>
      </c>
      <c r="C153" s="268" t="n">
        <f aca="false">KP_Immobilie-Bodenwert</f>
        <v>220000</v>
      </c>
      <c r="AI153" s="269" t="str">
        <f aca="false">"Nebenkosten · "&amp;TEXT(IFERROR(MAX(0,Diagramme!$C$142)/SUM(Diagramme!$C$141:$C$144),0),"0 %")</f>
        <v>Nebenkosten · 9 %</v>
      </c>
    </row>
    <row r="154" customFormat="false" ht="19.5" hidden="true" customHeight="true" outlineLevel="1" collapsed="false">
      <c r="B154" s="62" t="s">
        <v>711</v>
      </c>
      <c r="C154" s="268" t="n">
        <f aca="false">KP_bewegl</f>
        <v>8000</v>
      </c>
      <c r="F154" s="266" t="s">
        <v>712</v>
      </c>
      <c r="G154" s="267" t="s">
        <v>713</v>
      </c>
      <c r="H154" s="267" t="s">
        <v>714</v>
      </c>
      <c r="I154" s="267" t="s">
        <v>715</v>
      </c>
      <c r="AI154" s="269" t="str">
        <f aca="false">"Finanzierungskosten · "&amp;TEXT(IFERROR(MAX(0,Diagramme!$C$143)/SUM(Diagramme!$C$141:$C$144),0),"0 %")</f>
        <v>Finanzierungskosten · 1 %</v>
      </c>
    </row>
    <row r="155" customFormat="false" ht="18" hidden="true" customHeight="true" outlineLevel="1" collapsed="false">
      <c r="B155" s="62" t="s">
        <v>716</v>
      </c>
      <c r="C155" s="268" t="n">
        <f aca="false">Ruecklage_mitverkauft</f>
        <v>3000</v>
      </c>
      <c r="F155" s="269" t="str">
        <f aca="false">IF('AfA-Vergleich'!$S$19="Im Modell angewendet","Im Modell",'AfA-Vergleich'!$S$19&amp;IF(N('AfA-Vergleich'!$O$19)=0," – n. v.",""))</f>
        <v>Linear 2,0 %</v>
      </c>
      <c r="G155" s="270" t="n">
        <f aca="false">IF('AfA-Vergleich'!$S$19="Im Modell angewendet",'AfA-Vergleich'!$O$19,0)</f>
        <v>0</v>
      </c>
      <c r="H155" s="270" t="n">
        <f aca="false">IF(AND(NOT('AfA-Vergleich'!$S$19="Im Modell angewendet"),LEFT('AfA-Vergleich'!$C$19,2)="Ja"),'AfA-Vergleich'!$O$19,0)</f>
        <v>48853.5693430657</v>
      </c>
      <c r="I155" s="270" t="n">
        <f aca="false">IF(AND(NOT('AfA-Vergleich'!$S$19="Im Modell angewendet"),LEFT('AfA-Vergleich'!$C$19,2)&lt;&gt;"Ja"),'AfA-Vergleich'!$O$19,0)</f>
        <v>0</v>
      </c>
      <c r="AI155" s="269" t="str">
        <f aca="false">"Maßnahmen · "&amp;TEXT(IFERROR(MAX(0,Diagramme!$C$144)/SUM(Diagramme!$C$141:$C$144),0),"0 %")</f>
        <v>Maßnahmen · 4 %</v>
      </c>
    </row>
    <row r="156" customFormat="false" ht="12" hidden="true" customHeight="true" outlineLevel="1" collapsed="false">
      <c r="F156" s="269" t="str">
        <f aca="false">IF('AfA-Vergleich'!$S$20="Im Modell angewendet","Im Modell",'AfA-Vergleich'!$S$20&amp;IF(N('AfA-Vergleich'!$O$20)=0," – n. v.",""))</f>
        <v>Linear 2,5 %</v>
      </c>
      <c r="G156" s="270" t="n">
        <f aca="false">IF('AfA-Vergleich'!$S$20="Im Modell angewendet",'AfA-Vergleich'!$O$20,0)</f>
        <v>0</v>
      </c>
      <c r="H156" s="270" t="n">
        <f aca="false">IF(AND(NOT('AfA-Vergleich'!$S$20="Im Modell angewendet"),LEFT('AfA-Vergleich'!$C$20,2)="Ja"),'AfA-Vergleich'!$O$20,0)</f>
        <v>0</v>
      </c>
      <c r="I156" s="270" t="n">
        <f aca="false">IF(AND(NOT('AfA-Vergleich'!$S$20="Im Modell angewendet"),LEFT('AfA-Vergleich'!$C$20,2)&lt;&gt;"Ja"),'AfA-Vergleich'!$O$20,0)</f>
        <v>61066.9616788321</v>
      </c>
    </row>
    <row r="157" customFormat="false" ht="19.5" hidden="true" customHeight="true" outlineLevel="1" collapsed="false">
      <c r="B157" s="96" t="s">
        <v>717</v>
      </c>
      <c r="C157" s="109" t="s">
        <v>671</v>
      </c>
      <c r="F157" s="269" t="str">
        <f aca="false">IF('AfA-Vergleich'!$S$21="Im Modell angewendet","Im Modell",'AfA-Vergleich'!$S$21&amp;IF(N('AfA-Vergleich'!$O$21)=0," – n. v.",""))</f>
        <v>Linear 3,0 %</v>
      </c>
      <c r="G157" s="270" t="n">
        <f aca="false">IF('AfA-Vergleich'!$S$21="Im Modell angewendet",'AfA-Vergleich'!$O$21,0)</f>
        <v>0</v>
      </c>
      <c r="H157" s="270" t="n">
        <f aca="false">IF(AND(NOT('AfA-Vergleich'!$S$21="Im Modell angewendet"),LEFT('AfA-Vergleich'!$C$21,2)="Ja"),'AfA-Vergleich'!$O$21,0)</f>
        <v>0</v>
      </c>
      <c r="I157" s="270" t="n">
        <f aca="false">IF(AND(NOT('AfA-Vergleich'!$S$21="Im Modell angewendet"),LEFT('AfA-Vergleich'!$C$21,2)&lt;&gt;"Ja"),'AfA-Vergleich'!$O$21,0)</f>
        <v>73280.3540145985</v>
      </c>
      <c r="AI157" s="269" t="str">
        <f aca="false">"Hausgeld · "&amp;TEXT(IFERROR(MAX(0,'S06 Bewirtschaftung'!$D$61)/SUM('S06 Bewirtschaftung'!$D$61:$D$66),0),"0 %")</f>
        <v>Hausgeld · 15 %</v>
      </c>
    </row>
    <row r="158" customFormat="false" ht="18" hidden="true" customHeight="true" outlineLevel="1" collapsed="false">
      <c r="B158" s="62" t="s">
        <v>477</v>
      </c>
      <c r="C158" s="268" t="n">
        <f aca="false">Exit_VK</f>
        <v>7533.35625970152</v>
      </c>
      <c r="F158" s="269" t="str">
        <f aca="false">IF('AfA-Vergleich'!$S$22="Im Modell angewendet","Im Modell",'AfA-Vergleich'!$S$22&amp;IF(N('AfA-Vergleich'!$O$22)=0," – n. v.",""))</f>
        <v>Gutachten (RND) – n. v.</v>
      </c>
      <c r="G158" s="270" t="n">
        <f aca="false">IF('AfA-Vergleich'!$S$22="Im Modell angewendet",'AfA-Vergleich'!$O$22,0)</f>
        <v>0</v>
      </c>
      <c r="H158" s="270" t="n">
        <f aca="false">IF(AND(NOT('AfA-Vergleich'!$S$22="Im Modell angewendet"),LEFT('AfA-Vergleich'!$C$22,2)="Ja"),'AfA-Vergleich'!$O$22,0)</f>
        <v>0</v>
      </c>
      <c r="I158" s="270" t="n">
        <f aca="false">IF(AND(NOT('AfA-Vergleich'!$S$22="Im Modell angewendet"),LEFT('AfA-Vergleich'!$C$22,2)&lt;&gt;"Ja"),'AfA-Vergleich'!$O$22,0)</f>
        <v>0</v>
      </c>
      <c r="AI158" s="269" t="str">
        <f aca="false">"Erhaltungsrücklage · "&amp;TEXT(IFERROR(MAX(0,'S06 Bewirtschaftung'!$D$62)/SUM('S06 Bewirtschaftung'!$D$61:$D$66),0),"0 %")</f>
        <v>Erhaltungsrücklage · 25 %</v>
      </c>
    </row>
    <row r="159" customFormat="false" ht="18" hidden="true" customHeight="true" outlineLevel="1" collapsed="false">
      <c r="B159" s="62" t="s">
        <v>718</v>
      </c>
      <c r="C159" s="268" t="n">
        <f aca="false">Exit_Steuer</f>
        <v>0</v>
      </c>
      <c r="F159" s="269" t="str">
        <f aca="false">IF('AfA-Vergleich'!$S$23="Im Modell angewendet","Im Modell",'AfA-Vergleich'!$S$23&amp;IF(N('AfA-Vergleich'!$O$23)=0," – n. v.",""))</f>
        <v>Degressiv 5 %</v>
      </c>
      <c r="G159" s="270" t="n">
        <f aca="false">IF('AfA-Vergleich'!$S$23="Im Modell angewendet",'AfA-Vergleich'!$O$23,0)</f>
        <v>0</v>
      </c>
      <c r="H159" s="270" t="n">
        <f aca="false">IF(AND(NOT('AfA-Vergleich'!$S$23="Im Modell angewendet"),LEFT('AfA-Vergleich'!$C$23,2)="Ja"),'AfA-Vergleich'!$O$23,0)</f>
        <v>0</v>
      </c>
      <c r="I159" s="270" t="n">
        <f aca="false">IF(AND(NOT('AfA-Vergleich'!$S$23="Im Modell angewendet"),LEFT('AfA-Vergleich'!$C$23,2)&lt;&gt;"Ja"),'AfA-Vergleich'!$O$23,0)</f>
        <v>98015.6638186432</v>
      </c>
      <c r="AI159" s="269" t="str">
        <f aca="false">"Verwaltung · "&amp;TEXT(IFERROR(MAX(0,'S06 Bewirtschaftung'!$D$63)/SUM('S06 Bewirtschaftung'!$D$61:$D$66),0),"0 %")</f>
        <v>Verwaltung · 11 %</v>
      </c>
    </row>
    <row r="160" customFormat="false" ht="18" hidden="true" customHeight="true" outlineLevel="1" collapsed="false">
      <c r="B160" s="62" t="s">
        <v>719</v>
      </c>
      <c r="C160" s="268" t="n">
        <f aca="false">Exit_Restschuld</f>
        <v>180024.560017751</v>
      </c>
      <c r="F160" s="269" t="str">
        <f aca="false">IF('AfA-Vergleich'!$S$24="Im Modell angewendet","Im Modell",'AfA-Vergleich'!$S$24&amp;IF(N('AfA-Vergleich'!$O$24)=0," – n. v.",""))</f>
        <v>Linear 3 % + § 7b</v>
      </c>
      <c r="G160" s="270" t="n">
        <f aca="false">IF('AfA-Vergleich'!$S$24="Im Modell angewendet",'AfA-Vergleich'!$O$24,0)</f>
        <v>0</v>
      </c>
      <c r="H160" s="270" t="n">
        <f aca="false">IF(AND(NOT('AfA-Vergleich'!$S$24="Im Modell angewendet"),LEFT('AfA-Vergleich'!$C$24,2)="Ja"),'AfA-Vergleich'!$O$24,0)</f>
        <v>0</v>
      </c>
      <c r="I160" s="270" t="n">
        <f aca="false">IF(AND(NOT('AfA-Vergleich'!$S$24="Im Modell angewendet"),LEFT('AfA-Vergleich'!$C$24,2)&lt;&gt;"Ja"),'AfA-Vergleich'!$O$24,0)</f>
        <v>112141.147810219</v>
      </c>
      <c r="AI160" s="269" t="str">
        <f aca="false">"Instandhaltung · "&amp;TEXT(IFERROR(MAX(0,'S06 Bewirtschaftung'!$D$64)/SUM('S06 Bewirtschaftung'!$D$61:$D$66),0),"0 %")</f>
        <v>Instandhaltung · 26 %</v>
      </c>
    </row>
    <row r="161" customFormat="false" ht="18" hidden="true" customHeight="true" outlineLevel="1" collapsed="false">
      <c r="B161" s="273" t="s">
        <v>720</v>
      </c>
      <c r="C161" s="274" t="n">
        <f aca="false">MAX(0,Exit_Netto)</f>
        <v>189109.896707623</v>
      </c>
      <c r="F161" s="269" t="str">
        <f aca="false">IF('AfA-Vergleich'!$S$25="Im Modell angewendet","Im Modell",'AfA-Vergleich'!$S$25&amp;IF(N('AfA-Vergleich'!$O$25)=0," – n. v.",""))</f>
        <v>Degressiv + § 7b</v>
      </c>
      <c r="G161" s="270" t="n">
        <f aca="false">IF('AfA-Vergleich'!$S$25="Im Modell angewendet",'AfA-Vergleich'!$O$25,0)</f>
        <v>0</v>
      </c>
      <c r="H161" s="270" t="n">
        <f aca="false">IF(AND(NOT('AfA-Vergleich'!$S$25="Im Modell angewendet"),LEFT('AfA-Vergleich'!$C$25,2)="Ja"),'AfA-Vergleich'!$O$25,0)</f>
        <v>0</v>
      </c>
      <c r="I161" s="270" t="n">
        <f aca="false">IF(AND(NOT('AfA-Vergleich'!$S$25="Im Modell angewendet"),LEFT('AfA-Vergleich'!$C$25,2)&lt;&gt;"Ja"),'AfA-Vergleich'!$O$25,0)</f>
        <v>131322.794182826</v>
      </c>
      <c r="AI161" s="269" t="str">
        <f aca="false">"Mietausfall · "&amp;TEXT(IFERROR(MAX(0,'S06 Bewirtschaftung'!$D$65)/SUM('S06 Bewirtschaftung'!$D$61:$D$66),0),"0 %")</f>
        <v>Mietausfall · 12 %</v>
      </c>
    </row>
    <row r="162" customFormat="false" ht="12" hidden="true" customHeight="true" outlineLevel="1" collapsed="false">
      <c r="F162" s="269" t="str">
        <f aca="false">IF('AfA-Vergleich'!$S$26="Im Modell angewendet","Im Modell",'AfA-Vergleich'!$S$26&amp;IF(N('AfA-Vergleich'!$O$26)=0," – n. v.",""))</f>
        <v>Im Modell</v>
      </c>
      <c r="G162" s="270" t="n">
        <f aca="false">IF('AfA-Vergleich'!$S$26="Im Modell angewendet",'AfA-Vergleich'!$O$26,0)</f>
        <v>48853.5693430657</v>
      </c>
      <c r="H162" s="270" t="n">
        <f aca="false">IF(AND(NOT('AfA-Vergleich'!$S$26="Im Modell angewendet"),LEFT('AfA-Vergleich'!$C$26,2)="Ja"),'AfA-Vergleich'!$O$26,0)</f>
        <v>0</v>
      </c>
      <c r="I162" s="270" t="n">
        <f aca="false">IF(AND(NOT('AfA-Vergleich'!$S$26="Im Modell angewendet"),LEFT('AfA-Vergleich'!$C$26,2)&lt;&gt;"Ja"),'AfA-Vergleich'!$O$26,0)</f>
        <v>0</v>
      </c>
      <c r="AI162" s="269" t="str">
        <f aca="false">"Werbungskosten · "&amp;TEXT(IFERROR(MAX(0,'S06 Bewirtschaftung'!$D$66)/SUM('S06 Bewirtschaftung'!$D$61:$D$66),0),"0 %")</f>
        <v>Werbungskosten · 11 %</v>
      </c>
    </row>
    <row r="163" customFormat="false" ht="19.5" hidden="true" customHeight="true" outlineLevel="1" collapsed="false">
      <c r="B163" s="96" t="s">
        <v>479</v>
      </c>
      <c r="C163" s="109" t="s">
        <v>671</v>
      </c>
      <c r="F163" s="266" t="s">
        <v>721</v>
      </c>
      <c r="G163" s="267" t="s">
        <v>722</v>
      </c>
      <c r="H163" s="267" t="s">
        <v>723</v>
      </c>
      <c r="I163" s="267" t="s">
        <v>724</v>
      </c>
      <c r="J163" s="267" t="s">
        <v>725</v>
      </c>
      <c r="K163" s="267" t="s">
        <v>726</v>
      </c>
      <c r="L163" s="267" t="s">
        <v>727</v>
      </c>
      <c r="M163" s="267" t="s">
        <v>728</v>
      </c>
      <c r="N163" s="267" t="s">
        <v>729</v>
      </c>
      <c r="O163" s="267" t="s">
        <v>730</v>
      </c>
      <c r="P163" s="267" t="s">
        <v>731</v>
      </c>
      <c r="Q163" s="267" t="s">
        <v>732</v>
      </c>
      <c r="R163" s="267" t="s">
        <v>733</v>
      </c>
      <c r="S163" s="267" t="s">
        <v>734</v>
      </c>
      <c r="T163" s="267" t="s">
        <v>735</v>
      </c>
      <c r="U163" s="267" t="s">
        <v>736</v>
      </c>
    </row>
    <row r="164" customFormat="false" ht="18" hidden="true" customHeight="true" outlineLevel="1" collapsed="false">
      <c r="B164" s="62" t="s">
        <v>556</v>
      </c>
      <c r="C164" s="268" t="n">
        <f aca="false">Exit_CF_kum</f>
        <v>-32838.5310761392</v>
      </c>
      <c r="F164" s="269" t="s">
        <v>737</v>
      </c>
      <c r="G164" s="270" t="n">
        <f aca="false">0</f>
        <v>0</v>
      </c>
      <c r="H164" s="270" t="n">
        <f aca="false">G164+C164</f>
        <v>-32838.5310761392</v>
      </c>
      <c r="I164" s="270" t="n">
        <f aca="false">IF(MIN(G164,H164)&gt;=0,MIN(G164,H164),IF(MAX(G164,H164)&lt;=0,MAX(G164,H164),0))</f>
        <v>0</v>
      </c>
      <c r="J164" s="270" t="n">
        <f aca="false">IF(C164&gt;=0,IF(MIN(G164,H164)&gt;=0,MAX(G164,H164)-MIN(G164,H164),MAX(0,MAX(G164,H164))),0)</f>
        <v>0</v>
      </c>
      <c r="K164" s="270" t="n">
        <f aca="false">IF(C164&gt;=0,IF(MAX(G164,H164)&lt;=0,MIN(G164,H164)-MAX(G164,H164),MIN(0,MIN(G164,H164))),0)</f>
        <v>0</v>
      </c>
      <c r="L164" s="270" t="n">
        <f aca="false">IF(C164&lt;0,IF(MIN(G164,H164)&gt;=0,MAX(G164,H164)-MIN(G164,H164),MAX(0,MAX(G164,H164))),0)</f>
        <v>0</v>
      </c>
      <c r="M164" s="270" t="n">
        <f aca="false">IF(C164&lt;0,IF(MAX(G164,H164)&lt;=0,MIN(G164,H164)-MAX(G164,H164),MIN(0,MIN(G164,H164))),0)</f>
        <v>-32838.5310761392</v>
      </c>
      <c r="N164" s="270" t="n">
        <f aca="false">0</f>
        <v>0</v>
      </c>
      <c r="O164" s="270" t="n">
        <f aca="false">0</f>
        <v>0</v>
      </c>
      <c r="P164" s="270" t="n">
        <f aca="false">MAX(0,MAX(G164,H164))</f>
        <v>0</v>
      </c>
      <c r="Q164" s="275" t="str">
        <f aca="false">IF(C164&lt;0,"−","+")&amp;FIXED(ABS(C164)/1000,1)&amp;" T€"</f>
        <v>−32.8 T€</v>
      </c>
      <c r="R164" s="270" t="n">
        <f aca="false">P164</f>
        <v>0</v>
      </c>
      <c r="S164" s="270" t="n">
        <f aca="false">0</f>
        <v>0</v>
      </c>
      <c r="T164" s="270" t="n">
        <f aca="false">0</f>
        <v>0</v>
      </c>
      <c r="U164" s="270" t="n">
        <f aca="false">0</f>
        <v>0</v>
      </c>
      <c r="AI164" s="269" t="str">
        <f aca="false">"Darlehen I · "&amp;TEXT(IFERROR(MAX(0,Diagramme!$C$147)/SUM(Diagramme!$C$147:$C$149),0),"0 %")</f>
        <v>Darlehen I · 76 %</v>
      </c>
    </row>
    <row r="165" customFormat="false" ht="18" hidden="true" customHeight="true" outlineLevel="1" collapsed="false">
      <c r="B165" s="62" t="s">
        <v>738</v>
      </c>
      <c r="C165" s="268" t="n">
        <f aca="false">Exit_Netto</f>
        <v>189109.896707623</v>
      </c>
      <c r="F165" s="269" t="s">
        <v>738</v>
      </c>
      <c r="G165" s="270" t="n">
        <f aca="false">H164</f>
        <v>-32838.5310761392</v>
      </c>
      <c r="H165" s="270" t="n">
        <f aca="false">G165+C165</f>
        <v>156271.365631484</v>
      </c>
      <c r="I165" s="270" t="n">
        <f aca="false">IF(MIN(G165,H165)&gt;=0,MIN(G165,H165),IF(MAX(G165,H165)&lt;=0,MAX(G165,H165),0))</f>
        <v>0</v>
      </c>
      <c r="J165" s="270" t="n">
        <f aca="false">IF(C165&gt;=0,IF(MIN(G165,H165)&gt;=0,MAX(G165,H165)-MIN(G165,H165),MAX(0,MAX(G165,H165))),0)</f>
        <v>156271.365631484</v>
      </c>
      <c r="K165" s="270" t="n">
        <f aca="false">IF(C165&gt;=0,IF(MAX(G165,H165)&lt;=0,MIN(G165,H165)-MAX(G165,H165),MIN(0,MIN(G165,H165))),0)</f>
        <v>-32838.5310761392</v>
      </c>
      <c r="L165" s="270" t="n">
        <f aca="false">IF(C165&lt;0,IF(MIN(G165,H165)&gt;=0,MAX(G165,H165)-MIN(G165,H165),MAX(0,MAX(G165,H165))),0)</f>
        <v>0</v>
      </c>
      <c r="M165" s="270" t="n">
        <f aca="false">IF(C165&lt;0,IF(MAX(G165,H165)&lt;=0,MIN(G165,H165)-MAX(G165,H165),MIN(0,MIN(G165,H165))),0)</f>
        <v>0</v>
      </c>
      <c r="N165" s="270" t="n">
        <f aca="false">0</f>
        <v>0</v>
      </c>
      <c r="O165" s="270" t="n">
        <f aca="false">0</f>
        <v>0</v>
      </c>
      <c r="P165" s="270" t="n">
        <f aca="false">MAX(0,MAX(G165,H165))</f>
        <v>156271.365631484</v>
      </c>
      <c r="Q165" s="275" t="str">
        <f aca="false">IF(C165&lt;0,"−","+")&amp;FIXED(ABS(C165)/1000,1)&amp;" T€"</f>
        <v>+189.1 T€</v>
      </c>
      <c r="R165" s="270" t="n">
        <f aca="false">0</f>
        <v>0</v>
      </c>
      <c r="S165" s="270" t="n">
        <f aca="false">P165</f>
        <v>156271.365631484</v>
      </c>
      <c r="T165" s="270" t="n">
        <f aca="false">0</f>
        <v>0</v>
      </c>
      <c r="U165" s="270" t="n">
        <f aca="false">0</f>
        <v>0</v>
      </c>
      <c r="AI165" s="269" t="str">
        <f aca="false">"Darlehen II · "&amp;TEXT(IFERROR(MAX(0,Diagramme!$C$148)/SUM(Diagramme!$C$147:$C$149),0),"0 %")</f>
        <v>Darlehen II · 0 %</v>
      </c>
    </row>
    <row r="166" customFormat="false" ht="18" hidden="true" customHeight="true" outlineLevel="1" collapsed="false">
      <c r="B166" s="62" t="s">
        <v>651</v>
      </c>
      <c r="C166" s="268" t="n">
        <f aca="false">-Eigenkapital</f>
        <v>-78974.5</v>
      </c>
      <c r="F166" s="269" t="s">
        <v>703</v>
      </c>
      <c r="G166" s="270" t="n">
        <f aca="false">H165</f>
        <v>156271.365631484</v>
      </c>
      <c r="H166" s="270" t="n">
        <f aca="false">G166+C166</f>
        <v>77296.8656314841</v>
      </c>
      <c r="I166" s="270" t="n">
        <f aca="false">IF(MIN(G166,H166)&gt;=0,MIN(G166,H166),IF(MAX(G166,H166)&lt;=0,MAX(G166,H166),0))</f>
        <v>77296.8656314841</v>
      </c>
      <c r="J166" s="270" t="n">
        <f aca="false">IF(C166&gt;=0,IF(MIN(G166,H166)&gt;=0,MAX(G166,H166)-MIN(G166,H166),MAX(0,MAX(G166,H166))),0)</f>
        <v>0</v>
      </c>
      <c r="K166" s="270" t="n">
        <f aca="false">IF(C166&gt;=0,IF(MAX(G166,H166)&lt;=0,MIN(G166,H166)-MAX(G166,H166),MIN(0,MIN(G166,H166))),0)</f>
        <v>0</v>
      </c>
      <c r="L166" s="270" t="n">
        <f aca="false">IF(C166&lt;0,IF(MIN(G166,H166)&gt;=0,MAX(G166,H166)-MIN(G166,H166),MAX(0,MAX(G166,H166))),0)</f>
        <v>78974.5</v>
      </c>
      <c r="M166" s="270" t="n">
        <f aca="false">IF(C166&lt;0,IF(MAX(G166,H166)&lt;=0,MIN(G166,H166)-MAX(G166,H166),MIN(0,MIN(G166,H166))),0)</f>
        <v>0</v>
      </c>
      <c r="N166" s="270" t="n">
        <f aca="false">0</f>
        <v>0</v>
      </c>
      <c r="O166" s="270" t="n">
        <f aca="false">0</f>
        <v>0</v>
      </c>
      <c r="P166" s="270" t="n">
        <f aca="false">MAX(0,MAX(G166,H166))</f>
        <v>156271.365631484</v>
      </c>
      <c r="Q166" s="275" t="str">
        <f aca="false">IF(C166&lt;0,"−","+")&amp;FIXED(ABS(C166)/1000,1)&amp;" T€"</f>
        <v>−79.0 T€</v>
      </c>
      <c r="R166" s="270" t="n">
        <f aca="false">0</f>
        <v>0</v>
      </c>
      <c r="S166" s="270" t="n">
        <f aca="false">0</f>
        <v>0</v>
      </c>
      <c r="T166" s="270" t="n">
        <f aca="false">P166</f>
        <v>156271.365631484</v>
      </c>
      <c r="U166" s="270" t="n">
        <f aca="false">0</f>
        <v>0</v>
      </c>
      <c r="AI166" s="269" t="str">
        <f aca="false">"Eigenkapital · "&amp;TEXT(IFERROR(MAX(0,Diagramme!$C$149)/SUM(Diagramme!$C$147:$C$149),0),"0 %")</f>
        <v>Eigenkapital · 24 %</v>
      </c>
    </row>
    <row r="167" customFormat="false" ht="18" hidden="true" customHeight="true" outlineLevel="1" collapsed="false">
      <c r="B167" s="273" t="s">
        <v>739</v>
      </c>
      <c r="C167" s="274" t="n">
        <f aca="false">Gesamtertrag</f>
        <v>77296.8656314841</v>
      </c>
      <c r="F167" s="269" t="s">
        <v>740</v>
      </c>
      <c r="G167" s="270" t="n">
        <f aca="false">0</f>
        <v>0</v>
      </c>
      <c r="H167" s="270" t="n">
        <f aca="false">C167</f>
        <v>77296.8656314841</v>
      </c>
      <c r="I167" s="270" t="n">
        <f aca="false">IF(MIN(G167,H167)&gt;=0,MIN(G167,H167),IF(MAX(G167,H167)&lt;=0,MAX(G167,H167),0))</f>
        <v>0</v>
      </c>
      <c r="J167" s="270" t="n">
        <f aca="false">0</f>
        <v>0</v>
      </c>
      <c r="K167" s="270" t="n">
        <f aca="false">0</f>
        <v>0</v>
      </c>
      <c r="L167" s="270" t="n">
        <f aca="false">0</f>
        <v>0</v>
      </c>
      <c r="M167" s="270" t="n">
        <f aca="false">0</f>
        <v>0</v>
      </c>
      <c r="N167" s="270" t="n">
        <f aca="false">IF(MIN(G167,H167)&gt;=0,MAX(G167,H167)-MIN(G167,H167),MAX(0,MAX(G167,H167)))</f>
        <v>77296.8656314841</v>
      </c>
      <c r="O167" s="270" t="n">
        <f aca="false">IF(MAX(G167,H167)&lt;=0,MIN(G167,H167)-MAX(G167,H167),MIN(0,MIN(G167,H167)))</f>
        <v>0</v>
      </c>
      <c r="P167" s="270" t="n">
        <f aca="false">MAX(0,MAX(G167,H167))</f>
        <v>77296.8656314841</v>
      </c>
      <c r="Q167" s="275" t="str">
        <f aca="false">IF(C167&lt;0,"−","")&amp;FIXED(ABS(C167)/1000,1)&amp;" T€"</f>
        <v>77.3 T€</v>
      </c>
      <c r="R167" s="270" t="n">
        <f aca="false">0</f>
        <v>0</v>
      </c>
      <c r="S167" s="270" t="n">
        <f aca="false">0</f>
        <v>0</v>
      </c>
      <c r="T167" s="270" t="n">
        <f aca="false">0</f>
        <v>0</v>
      </c>
      <c r="U167" s="270" t="n">
        <f aca="false">P167</f>
        <v>77296.8656314841</v>
      </c>
    </row>
    <row r="168" customFormat="false" ht="12" hidden="true" customHeight="true" outlineLevel="1" collapsed="false">
      <c r="AI168" s="269" t="str">
        <f aca="false">"Verkaufskosten · "&amp;TEXT(IFERROR(MAX(0,Diagramme!$C$158)/SUM(Diagramme!$C$158:$C$161),0),"0 %")</f>
        <v>Verkaufskosten · 2 %</v>
      </c>
    </row>
    <row r="169" customFormat="false" ht="19.5" hidden="true" customHeight="true" outlineLevel="1" collapsed="false">
      <c r="B169" s="96" t="s">
        <v>741</v>
      </c>
      <c r="C169" s="109" t="s">
        <v>742</v>
      </c>
      <c r="D169" s="109" t="s">
        <v>743</v>
      </c>
      <c r="F169" s="266" t="s">
        <v>744</v>
      </c>
      <c r="G169" s="267" t="s">
        <v>742</v>
      </c>
      <c r="H169" s="267" t="s">
        <v>743</v>
      </c>
      <c r="AI169" s="269" t="str">
        <f aca="false">"Steuer · "&amp;TEXT(IFERROR(MAX(0,Diagramme!$C$159)/SUM(Diagramme!$C$158:$C$161),0),"0 %")</f>
        <v>Steuer · 0 %</v>
      </c>
    </row>
    <row r="170" customFormat="false" ht="18" hidden="true" customHeight="true" outlineLevel="1" collapsed="false">
      <c r="B170" s="62" t="s">
        <v>193</v>
      </c>
      <c r="C170" s="268" t="n">
        <f aca="false">INDEX(Projektion!$D$15:$AQ$15,1)/12</f>
        <v>921.5</v>
      </c>
      <c r="D170" s="268" t="n">
        <f aca="false">0</f>
        <v>0</v>
      </c>
      <c r="F170" s="269" t="str">
        <f aca="false">IF(D175&gt;0,"Steuerzahlung","Steuererstattung")</f>
        <v>Steuererstattung</v>
      </c>
      <c r="G170" s="270" t="n">
        <f aca="false">C171</f>
        <v>709.199712460584</v>
      </c>
      <c r="H170" s="270" t="n">
        <f aca="false">D175</f>
        <v>0</v>
      </c>
      <c r="AI170" s="269" t="str">
        <f aca="false">"Restschuld · "&amp;TEXT(IFERROR(MAX(0,Diagramme!$C$160)/SUM(Diagramme!$C$158:$C$161),0),"0 %")</f>
        <v>Restschuld · 48 %</v>
      </c>
    </row>
    <row r="171" customFormat="false" ht="18" hidden="true" customHeight="true" outlineLevel="1" collapsed="false">
      <c r="B171" s="62" t="s">
        <v>745</v>
      </c>
      <c r="C171" s="268" t="n">
        <f aca="false">MAX(0,-INDEX(Projektion!$D$35:$AQ$35,1)/12)</f>
        <v>709.199712460584</v>
      </c>
      <c r="D171" s="268" t="n">
        <f aca="false">0</f>
        <v>0</v>
      </c>
      <c r="F171" s="269" t="s">
        <v>746</v>
      </c>
      <c r="G171" s="270" t="n">
        <f aca="false">SUM(C170:C175)</f>
        <v>1630.69971246058</v>
      </c>
      <c r="H171" s="270" t="n">
        <f aca="false">SUM(D170:D175)</f>
        <v>1374.16666666667</v>
      </c>
      <c r="AI171" s="269" t="str">
        <f aca="false">"Nettoerlös · "&amp;TEXT(IFERROR(MAX(0,Diagramme!$C$161)/SUM(Diagramme!$C$158:$C$161),0),"0 %")</f>
        <v>Nettoerlös · 50 %</v>
      </c>
    </row>
    <row r="172" customFormat="false" ht="18" hidden="true" customHeight="true" outlineLevel="1" collapsed="false">
      <c r="B172" s="62" t="s">
        <v>549</v>
      </c>
      <c r="C172" s="268" t="n">
        <f aca="false">0</f>
        <v>0</v>
      </c>
      <c r="D172" s="268" t="n">
        <f aca="false">INDEX(Projektion!$D$26:$AQ$26,1)/12</f>
        <v>207.5</v>
      </c>
      <c r="F172" s="269" t="s">
        <v>747</v>
      </c>
      <c r="G172" s="270" t="n">
        <f aca="false">C170+C172+C173+C174</f>
        <v>921.5</v>
      </c>
      <c r="H172" s="270" t="n">
        <f aca="false">D170+D172+D173+D174</f>
        <v>1374.16666666667</v>
      </c>
    </row>
    <row r="173" customFormat="false" ht="18" hidden="true" customHeight="true" outlineLevel="1" collapsed="false">
      <c r="B173" s="62" t="s">
        <v>533</v>
      </c>
      <c r="C173" s="268" t="n">
        <f aca="false">0</f>
        <v>0</v>
      </c>
      <c r="D173" s="268" t="n">
        <f aca="false">INDEX(Projektion!$D$30:$AQ$30,1)/12</f>
        <v>750</v>
      </c>
      <c r="F173" s="269" t="str">
        <f aca="false">IF(MAX(D181:AL181)&gt;0,"Darlehen II","Darlehen II (keines)")</f>
        <v>Darlehen II (keines)</v>
      </c>
    </row>
    <row r="174" customFormat="false" ht="18" hidden="true" customHeight="true" outlineLevel="1" collapsed="false">
      <c r="B174" s="62" t="s">
        <v>534</v>
      </c>
      <c r="C174" s="268" t="n">
        <f aca="false">0</f>
        <v>0</v>
      </c>
      <c r="D174" s="268" t="n">
        <f aca="false">INDEX(Projektion!$D$31:$AQ$31,1)/12</f>
        <v>416.666666666667</v>
      </c>
    </row>
    <row r="175" customFormat="false" ht="18" hidden="true" customHeight="true" outlineLevel="1" collapsed="false">
      <c r="B175" s="62" t="s">
        <v>748</v>
      </c>
      <c r="C175" s="268" t="n">
        <f aca="false">0</f>
        <v>0</v>
      </c>
      <c r="D175" s="268" t="n">
        <f aca="false">MAX(0,INDEX(Projektion!$D$35:$AQ$35,1)/12)</f>
        <v>0</v>
      </c>
    </row>
    <row r="176" customFormat="false" ht="12" hidden="true" customHeight="true" outlineLevel="1" collapsed="false"/>
    <row r="177" customFormat="false" ht="19.5" hidden="true" customHeight="true" outlineLevel="1" collapsed="false">
      <c r="B177" s="96" t="s">
        <v>749</v>
      </c>
      <c r="C177" s="96" t="s">
        <v>750</v>
      </c>
      <c r="D177" s="276" t="n">
        <v>1</v>
      </c>
      <c r="E177" s="276" t="n">
        <v>2</v>
      </c>
      <c r="F177" s="276" t="n">
        <v>3</v>
      </c>
      <c r="G177" s="276" t="n">
        <v>4</v>
      </c>
      <c r="H177" s="276" t="n">
        <v>5</v>
      </c>
      <c r="I177" s="276" t="n">
        <v>6</v>
      </c>
      <c r="J177" s="276" t="n">
        <v>7</v>
      </c>
      <c r="K177" s="276" t="n">
        <v>8</v>
      </c>
      <c r="L177" s="276" t="n">
        <v>9</v>
      </c>
      <c r="M177" s="276" t="n">
        <v>10</v>
      </c>
      <c r="N177" s="276" t="n">
        <v>11</v>
      </c>
      <c r="O177" s="276" t="n">
        <v>12</v>
      </c>
      <c r="P177" s="276" t="n">
        <v>13</v>
      </c>
      <c r="Q177" s="276" t="n">
        <v>14</v>
      </c>
      <c r="R177" s="276" t="n">
        <v>15</v>
      </c>
      <c r="S177" s="276" t="n">
        <v>16</v>
      </c>
      <c r="T177" s="276" t="n">
        <v>17</v>
      </c>
      <c r="U177" s="276" t="n">
        <v>18</v>
      </c>
      <c r="V177" s="276" t="n">
        <v>19</v>
      </c>
      <c r="W177" s="276" t="n">
        <v>20</v>
      </c>
      <c r="X177" s="276" t="n">
        <v>21</v>
      </c>
      <c r="Y177" s="276" t="n">
        <v>22</v>
      </c>
      <c r="Z177" s="276" t="n">
        <v>23</v>
      </c>
      <c r="AA177" s="276" t="n">
        <v>24</v>
      </c>
      <c r="AB177" s="276" t="n">
        <v>25</v>
      </c>
      <c r="AC177" s="276" t="n">
        <v>26</v>
      </c>
      <c r="AD177" s="276" t="n">
        <v>27</v>
      </c>
      <c r="AE177" s="276" t="n">
        <v>28</v>
      </c>
      <c r="AF177" s="276" t="n">
        <v>29</v>
      </c>
      <c r="AG177" s="276" t="n">
        <v>30</v>
      </c>
      <c r="AH177" s="276" t="n">
        <v>31</v>
      </c>
      <c r="AI177" s="276" t="n">
        <v>32</v>
      </c>
      <c r="AJ177" s="276" t="n">
        <v>33</v>
      </c>
      <c r="AK177" s="276" t="n">
        <v>34</v>
      </c>
      <c r="AL177" s="276" t="n">
        <v>35</v>
      </c>
      <c r="AM177" s="276" t="n">
        <v>36</v>
      </c>
      <c r="AN177" s="276" t="n">
        <v>37</v>
      </c>
      <c r="AO177" s="276" t="n">
        <v>38</v>
      </c>
      <c r="AP177" s="276" t="n">
        <v>39</v>
      </c>
      <c r="AQ177" s="276" t="n">
        <v>40</v>
      </c>
    </row>
    <row r="178" customFormat="false" ht="18" hidden="true" customHeight="true" outlineLevel="1" collapsed="false">
      <c r="B178" s="277" t="s">
        <v>547</v>
      </c>
      <c r="C178" s="277" t="s">
        <v>751</v>
      </c>
      <c r="D178" s="278" t="n">
        <f aca="false">YEAR(Kaufdatum)+1-1</f>
        <v>2026</v>
      </c>
      <c r="E178" s="278" t="n">
        <f aca="false">YEAR(Kaufdatum)+2-1</f>
        <v>2027</v>
      </c>
      <c r="F178" s="278" t="n">
        <f aca="false">YEAR(Kaufdatum)+3-1</f>
        <v>2028</v>
      </c>
      <c r="G178" s="278" t="n">
        <f aca="false">YEAR(Kaufdatum)+4-1</f>
        <v>2029</v>
      </c>
      <c r="H178" s="278" t="n">
        <f aca="false">YEAR(Kaufdatum)+5-1</f>
        <v>2030</v>
      </c>
      <c r="I178" s="278" t="n">
        <f aca="false">YEAR(Kaufdatum)+6-1</f>
        <v>2031</v>
      </c>
      <c r="J178" s="278" t="n">
        <f aca="false">YEAR(Kaufdatum)+7-1</f>
        <v>2032</v>
      </c>
      <c r="K178" s="278" t="n">
        <f aca="false">YEAR(Kaufdatum)+8-1</f>
        <v>2033</v>
      </c>
      <c r="L178" s="278" t="n">
        <f aca="false">YEAR(Kaufdatum)+9-1</f>
        <v>2034</v>
      </c>
      <c r="M178" s="278" t="n">
        <f aca="false">YEAR(Kaufdatum)+10-1</f>
        <v>2035</v>
      </c>
      <c r="N178" s="278" t="n">
        <f aca="false">YEAR(Kaufdatum)+11-1</f>
        <v>2036</v>
      </c>
      <c r="O178" s="278" t="n">
        <f aca="false">YEAR(Kaufdatum)+12-1</f>
        <v>2037</v>
      </c>
      <c r="P178" s="278" t="n">
        <f aca="false">YEAR(Kaufdatum)+13-1</f>
        <v>2038</v>
      </c>
      <c r="Q178" s="278" t="n">
        <f aca="false">YEAR(Kaufdatum)+14-1</f>
        <v>2039</v>
      </c>
      <c r="R178" s="278" t="n">
        <f aca="false">YEAR(Kaufdatum)+15-1</f>
        <v>2040</v>
      </c>
      <c r="S178" s="278" t="n">
        <f aca="false">YEAR(Kaufdatum)+16-1</f>
        <v>2041</v>
      </c>
      <c r="T178" s="278" t="n">
        <f aca="false">YEAR(Kaufdatum)+17-1</f>
        <v>2042</v>
      </c>
      <c r="U178" s="278" t="n">
        <f aca="false">YEAR(Kaufdatum)+18-1</f>
        <v>2043</v>
      </c>
      <c r="V178" s="278" t="n">
        <f aca="false">YEAR(Kaufdatum)+19-1</f>
        <v>2044</v>
      </c>
      <c r="W178" s="278" t="n">
        <f aca="false">YEAR(Kaufdatum)+20-1</f>
        <v>2045</v>
      </c>
      <c r="X178" s="278" t="n">
        <f aca="false">YEAR(Kaufdatum)+21-1</f>
        <v>2046</v>
      </c>
      <c r="Y178" s="278" t="n">
        <f aca="false">YEAR(Kaufdatum)+22-1</f>
        <v>2047</v>
      </c>
      <c r="Z178" s="278" t="n">
        <f aca="false">YEAR(Kaufdatum)+23-1</f>
        <v>2048</v>
      </c>
      <c r="AA178" s="278" t="n">
        <f aca="false">YEAR(Kaufdatum)+24-1</f>
        <v>2049</v>
      </c>
      <c r="AB178" s="278" t="n">
        <f aca="false">YEAR(Kaufdatum)+25-1</f>
        <v>2050</v>
      </c>
      <c r="AC178" s="278" t="n">
        <f aca="false">YEAR(Kaufdatum)+26-1</f>
        <v>2051</v>
      </c>
      <c r="AD178" s="278" t="n">
        <f aca="false">YEAR(Kaufdatum)+27-1</f>
        <v>2052</v>
      </c>
      <c r="AE178" s="278" t="n">
        <f aca="false">YEAR(Kaufdatum)+28-1</f>
        <v>2053</v>
      </c>
      <c r="AF178" s="278" t="n">
        <f aca="false">YEAR(Kaufdatum)+29-1</f>
        <v>2054</v>
      </c>
      <c r="AG178" s="278" t="n">
        <f aca="false">YEAR(Kaufdatum)+30-1</f>
        <v>2055</v>
      </c>
      <c r="AH178" s="278" t="n">
        <f aca="false">YEAR(Kaufdatum)+31-1</f>
        <v>2056</v>
      </c>
      <c r="AI178" s="278" t="n">
        <f aca="false">YEAR(Kaufdatum)+32-1</f>
        <v>2057</v>
      </c>
      <c r="AJ178" s="278" t="n">
        <f aca="false">YEAR(Kaufdatum)+33-1</f>
        <v>2058</v>
      </c>
      <c r="AK178" s="278" t="n">
        <f aca="false">YEAR(Kaufdatum)+34-1</f>
        <v>2059</v>
      </c>
      <c r="AL178" s="278" t="n">
        <f aca="false">YEAR(Kaufdatum)+35-1</f>
        <v>2060</v>
      </c>
      <c r="AM178" s="278" t="n">
        <f aca="false">YEAR(Kaufdatum)+36-1</f>
        <v>2061</v>
      </c>
      <c r="AN178" s="278" t="n">
        <f aca="false">YEAR(Kaufdatum)+37-1</f>
        <v>2062</v>
      </c>
      <c r="AO178" s="278" t="n">
        <f aca="false">YEAR(Kaufdatum)+38-1</f>
        <v>2063</v>
      </c>
      <c r="AP178" s="278" t="n">
        <f aca="false">YEAR(Kaufdatum)+39-1</f>
        <v>2064</v>
      </c>
      <c r="AQ178" s="278" t="n">
        <f aca="false">YEAR(Kaufdatum)+40-1</f>
        <v>2065</v>
      </c>
    </row>
    <row r="179" customFormat="false" ht="18" hidden="true" customHeight="true" outlineLevel="1" collapsed="false">
      <c r="B179" s="62" t="s">
        <v>752</v>
      </c>
      <c r="C179" s="70" t="s">
        <v>753</v>
      </c>
      <c r="D179" s="268" t="n">
        <f aca="false">Projektion!D41</f>
        <v>302940</v>
      </c>
      <c r="E179" s="268" t="n">
        <f aca="false">Projektion!E41</f>
        <v>308998.8</v>
      </c>
      <c r="F179" s="268" t="n">
        <f aca="false">Projektion!F41</f>
        <v>315178.776</v>
      </c>
      <c r="G179" s="268" t="n">
        <f aca="false">Projektion!G41</f>
        <v>321482.35152</v>
      </c>
      <c r="H179" s="268" t="n">
        <f aca="false">Projektion!H41</f>
        <v>327911.9985504</v>
      </c>
      <c r="I179" s="268" t="n">
        <f aca="false">Projektion!I41</f>
        <v>334470.238521408</v>
      </c>
      <c r="J179" s="268" t="n">
        <f aca="false">Projektion!J41</f>
        <v>341159.643291836</v>
      </c>
      <c r="K179" s="268" t="n">
        <f aca="false">Projektion!K41</f>
        <v>347982.836157673</v>
      </c>
      <c r="L179" s="268" t="n">
        <f aca="false">Projektion!L41</f>
        <v>354942.492880826</v>
      </c>
      <c r="M179" s="268" t="n">
        <f aca="false">Projektion!M41</f>
        <v>362041.342738443</v>
      </c>
      <c r="N179" s="268" t="n">
        <f aca="false">Projektion!N41</f>
        <v>369282.169593212</v>
      </c>
      <c r="O179" s="268" t="n">
        <f aca="false">Projektion!O41</f>
        <v>376667.812985076</v>
      </c>
      <c r="P179" s="268" t="n">
        <f aca="false">Projektion!P41</f>
        <v>384201.169244778</v>
      </c>
      <c r="Q179" s="268" t="n">
        <f aca="false">Projektion!Q41</f>
        <v>391885.192629673</v>
      </c>
      <c r="R179" s="268" t="n">
        <f aca="false">Projektion!R41</f>
        <v>399722.896482267</v>
      </c>
      <c r="S179" s="268" t="n">
        <f aca="false">Projektion!S41</f>
        <v>407717.354411912</v>
      </c>
      <c r="T179" s="268" t="n">
        <f aca="false">Projektion!T41</f>
        <v>415871.70150015</v>
      </c>
      <c r="U179" s="268" t="n">
        <f aca="false">Projektion!U41</f>
        <v>424189.135530153</v>
      </c>
      <c r="V179" s="268" t="n">
        <f aca="false">Projektion!V41</f>
        <v>432672.918240756</v>
      </c>
      <c r="W179" s="268" t="n">
        <f aca="false">Projektion!W41</f>
        <v>441326.376605572</v>
      </c>
      <c r="X179" s="268" t="n">
        <f aca="false">Projektion!X41</f>
        <v>450152.904137683</v>
      </c>
      <c r="Y179" s="268" t="n">
        <f aca="false">Projektion!Y41</f>
        <v>459155.962220437</v>
      </c>
      <c r="Z179" s="268" t="n">
        <f aca="false">Projektion!Z41</f>
        <v>468339.081464845</v>
      </c>
      <c r="AA179" s="268" t="n">
        <f aca="false">Projektion!AA41</f>
        <v>477705.863094142</v>
      </c>
      <c r="AB179" s="268" t="n">
        <f aca="false">Projektion!AB41</f>
        <v>487259.980356025</v>
      </c>
      <c r="AC179" s="268" t="n">
        <f aca="false">Projektion!AC41</f>
        <v>497005.179963146</v>
      </c>
      <c r="AD179" s="268" t="n">
        <f aca="false">Projektion!AD41</f>
        <v>506945.283562409</v>
      </c>
      <c r="AE179" s="268" t="n">
        <f aca="false">Projektion!AE41</f>
        <v>517084.189233657</v>
      </c>
      <c r="AF179" s="268" t="n">
        <f aca="false">Projektion!AF41</f>
        <v>527425.87301833</v>
      </c>
      <c r="AG179" s="268" t="n">
        <f aca="false">Projektion!AG41</f>
        <v>537974.390478696</v>
      </c>
      <c r="AH179" s="268" t="n">
        <f aca="false">Projektion!AH41</f>
        <v>548733.87828827</v>
      </c>
      <c r="AI179" s="268" t="n">
        <f aca="false">Projektion!AI41</f>
        <v>559708.555854036</v>
      </c>
      <c r="AJ179" s="268" t="n">
        <f aca="false">Projektion!AJ41</f>
        <v>570902.726971117</v>
      </c>
      <c r="AK179" s="268" t="n">
        <f aca="false">Projektion!AK41</f>
        <v>582320.781510539</v>
      </c>
      <c r="AL179" s="268" t="n">
        <f aca="false">Projektion!AL41</f>
        <v>593967.19714075</v>
      </c>
      <c r="AM179" s="268" t="n">
        <f aca="false">Projektion!AM41</f>
        <v>605846.541083565</v>
      </c>
      <c r="AN179" s="268" t="n">
        <f aca="false">Projektion!AN41</f>
        <v>617963.471905236</v>
      </c>
      <c r="AO179" s="268" t="n">
        <f aca="false">Projektion!AO41</f>
        <v>630322.741343341</v>
      </c>
      <c r="AP179" s="268" t="n">
        <f aca="false">Projektion!AP41</f>
        <v>642929.196170208</v>
      </c>
      <c r="AQ179" s="268" t="n">
        <f aca="false">Projektion!AQ41</f>
        <v>655787.780093612</v>
      </c>
    </row>
    <row r="180" customFormat="false" ht="18" hidden="true" customHeight="true" outlineLevel="1" collapsed="false">
      <c r="B180" s="62" t="s">
        <v>754</v>
      </c>
      <c r="C180" s="70" t="s">
        <v>753</v>
      </c>
      <c r="D180" s="268" t="n">
        <f aca="false">Finanzierung!D19</f>
        <v>245000</v>
      </c>
      <c r="E180" s="268" t="n">
        <f aca="false">Finanzierung!E19</f>
        <v>239820</v>
      </c>
      <c r="F180" s="268" t="n">
        <f aca="false">Finanzierung!F19</f>
        <v>234453.52</v>
      </c>
      <c r="G180" s="268" t="n">
        <f aca="false">Finanzierung!G19</f>
        <v>228893.84672</v>
      </c>
      <c r="H180" s="268" t="n">
        <f aca="false">Finanzierung!H19</f>
        <v>223134.02520192</v>
      </c>
      <c r="I180" s="268" t="n">
        <f aca="false">Finanzierung!I19</f>
        <v>217166.850109189</v>
      </c>
      <c r="J180" s="268" t="n">
        <f aca="false">Finanzierung!J19</f>
        <v>210984.85671312</v>
      </c>
      <c r="K180" s="268" t="n">
        <f aca="false">Finanzierung!K19</f>
        <v>204580.311554792</v>
      </c>
      <c r="L180" s="268" t="n">
        <f aca="false">Finanzierung!L19</f>
        <v>197945.202770765</v>
      </c>
      <c r="M180" s="268" t="n">
        <f aca="false">Finanzierung!M19</f>
        <v>191071.230070512</v>
      </c>
      <c r="N180" s="268" t="n">
        <f aca="false">Finanzierung!N19</f>
        <v>185669.435423685</v>
      </c>
      <c r="O180" s="268" t="n">
        <f aca="false">Finanzierung!O19</f>
        <v>180024.560017751</v>
      </c>
      <c r="P180" s="268" t="n">
        <f aca="false">Finanzierung!P19</f>
        <v>174125.66521855</v>
      </c>
      <c r="Q180" s="268" t="n">
        <f aca="false">Finanzierung!Q19</f>
        <v>167961.320153385</v>
      </c>
      <c r="R180" s="268" t="n">
        <f aca="false">Finanzierung!R19</f>
        <v>161519.579560287</v>
      </c>
      <c r="S180" s="268" t="n">
        <f aca="false">Finanzierung!S19</f>
        <v>154787.9606405</v>
      </c>
      <c r="T180" s="268" t="n">
        <f aca="false">Finanzierung!T19</f>
        <v>147753.418869323</v>
      </c>
      <c r="U180" s="268" t="n">
        <f aca="false">Finanzierung!U19</f>
        <v>140402.322718442</v>
      </c>
      <c r="V180" s="268" t="n">
        <f aca="false">Finanzierung!V19</f>
        <v>132720.427240772</v>
      </c>
      <c r="W180" s="268" t="n">
        <f aca="false">Finanzierung!W19</f>
        <v>124692.846466607</v>
      </c>
      <c r="X180" s="268" t="n">
        <f aca="false">Finanzierung!X19</f>
        <v>116304.024557604</v>
      </c>
      <c r="Y180" s="268" t="n">
        <f aca="false">Finanzierung!Y19</f>
        <v>107537.705662696</v>
      </c>
      <c r="Z180" s="268" t="n">
        <f aca="false">Finanzierung!Z19</f>
        <v>98376.9024175175</v>
      </c>
      <c r="AA180" s="268" t="n">
        <f aca="false">Finanzierung!AA19</f>
        <v>88803.8630263058</v>
      </c>
      <c r="AB180" s="268" t="n">
        <f aca="false">Finanzierung!AB19</f>
        <v>78800.0368624896</v>
      </c>
      <c r="AC180" s="268" t="n">
        <f aca="false">Finanzierung!AC19</f>
        <v>68346.0385213016</v>
      </c>
      <c r="AD180" s="268" t="n">
        <f aca="false">Finanzierung!AD19</f>
        <v>57421.6102547602</v>
      </c>
      <c r="AE180" s="268" t="n">
        <f aca="false">Finanzierung!AE19</f>
        <v>46005.5827162244</v>
      </c>
      <c r="AF180" s="268" t="n">
        <f aca="false">Finanzierung!AF19</f>
        <v>34075.8339384545</v>
      </c>
      <c r="AG180" s="268" t="n">
        <f aca="false">Finanzierung!AG19</f>
        <v>21609.2464656849</v>
      </c>
      <c r="AH180" s="268" t="n">
        <f aca="false">Finanzierung!AH19</f>
        <v>8581.66255664074</v>
      </c>
      <c r="AI180" s="268" t="n">
        <f aca="false">Finanzierung!AI19</f>
        <v>0</v>
      </c>
      <c r="AJ180" s="268" t="n">
        <f aca="false">Finanzierung!AJ19</f>
        <v>0</v>
      </c>
      <c r="AK180" s="268" t="n">
        <f aca="false">Finanzierung!AK19</f>
        <v>0</v>
      </c>
      <c r="AL180" s="268" t="n">
        <f aca="false">Finanzierung!AL19</f>
        <v>0</v>
      </c>
      <c r="AM180" s="268" t="n">
        <f aca="false">Finanzierung!AM19</f>
        <v>0</v>
      </c>
      <c r="AN180" s="268" t="n">
        <f aca="false">Finanzierung!AN19</f>
        <v>0</v>
      </c>
      <c r="AO180" s="268" t="n">
        <f aca="false">Finanzierung!AO19</f>
        <v>0</v>
      </c>
      <c r="AP180" s="268" t="n">
        <f aca="false">Finanzierung!AP19</f>
        <v>0</v>
      </c>
      <c r="AQ180" s="268" t="n">
        <f aca="false">Finanzierung!AQ19</f>
        <v>0</v>
      </c>
    </row>
    <row r="181" customFormat="false" ht="18" hidden="true" customHeight="true" outlineLevel="1" collapsed="false">
      <c r="B181" s="62" t="s">
        <v>755</v>
      </c>
      <c r="C181" s="70" t="s">
        <v>753</v>
      </c>
      <c r="D181" s="268" t="n">
        <f aca="false">Finanzierung!D30</f>
        <v>0</v>
      </c>
      <c r="E181" s="268" t="n">
        <f aca="false">Finanzierung!E30</f>
        <v>0</v>
      </c>
      <c r="F181" s="268" t="n">
        <f aca="false">Finanzierung!F30</f>
        <v>0</v>
      </c>
      <c r="G181" s="268" t="n">
        <f aca="false">Finanzierung!G30</f>
        <v>0</v>
      </c>
      <c r="H181" s="268" t="n">
        <f aca="false">Finanzierung!H30</f>
        <v>0</v>
      </c>
      <c r="I181" s="268" t="n">
        <f aca="false">Finanzierung!I30</f>
        <v>0</v>
      </c>
      <c r="J181" s="268" t="n">
        <f aca="false">Finanzierung!J30</f>
        <v>0</v>
      </c>
      <c r="K181" s="268" t="n">
        <f aca="false">Finanzierung!K30</f>
        <v>0</v>
      </c>
      <c r="L181" s="268" t="n">
        <f aca="false">Finanzierung!L30</f>
        <v>0</v>
      </c>
      <c r="M181" s="268" t="n">
        <f aca="false">Finanzierung!M30</f>
        <v>0</v>
      </c>
      <c r="N181" s="268" t="n">
        <f aca="false">Finanzierung!N30</f>
        <v>0</v>
      </c>
      <c r="O181" s="268" t="n">
        <f aca="false">Finanzierung!O30</f>
        <v>0</v>
      </c>
      <c r="P181" s="268" t="n">
        <f aca="false">Finanzierung!P30</f>
        <v>0</v>
      </c>
      <c r="Q181" s="268" t="n">
        <f aca="false">Finanzierung!Q30</f>
        <v>0</v>
      </c>
      <c r="R181" s="268" t="n">
        <f aca="false">Finanzierung!R30</f>
        <v>0</v>
      </c>
      <c r="S181" s="268" t="n">
        <f aca="false">Finanzierung!S30</f>
        <v>0</v>
      </c>
      <c r="T181" s="268" t="n">
        <f aca="false">Finanzierung!T30</f>
        <v>0</v>
      </c>
      <c r="U181" s="268" t="n">
        <f aca="false">Finanzierung!U30</f>
        <v>0</v>
      </c>
      <c r="V181" s="268" t="n">
        <f aca="false">Finanzierung!V30</f>
        <v>0</v>
      </c>
      <c r="W181" s="268" t="n">
        <f aca="false">Finanzierung!W30</f>
        <v>0</v>
      </c>
      <c r="X181" s="268" t="n">
        <f aca="false">Finanzierung!X30</f>
        <v>0</v>
      </c>
      <c r="Y181" s="268" t="n">
        <f aca="false">Finanzierung!Y30</f>
        <v>0</v>
      </c>
      <c r="Z181" s="268" t="n">
        <f aca="false">Finanzierung!Z30</f>
        <v>0</v>
      </c>
      <c r="AA181" s="268" t="n">
        <f aca="false">Finanzierung!AA30</f>
        <v>0</v>
      </c>
      <c r="AB181" s="268" t="n">
        <f aca="false">Finanzierung!AB30</f>
        <v>0</v>
      </c>
      <c r="AC181" s="268" t="n">
        <f aca="false">Finanzierung!AC30</f>
        <v>0</v>
      </c>
      <c r="AD181" s="268" t="n">
        <f aca="false">Finanzierung!AD30</f>
        <v>0</v>
      </c>
      <c r="AE181" s="268" t="n">
        <f aca="false">Finanzierung!AE30</f>
        <v>0</v>
      </c>
      <c r="AF181" s="268" t="n">
        <f aca="false">Finanzierung!AF30</f>
        <v>0</v>
      </c>
      <c r="AG181" s="268" t="n">
        <f aca="false">Finanzierung!AG30</f>
        <v>0</v>
      </c>
      <c r="AH181" s="268" t="n">
        <f aca="false">Finanzierung!AH30</f>
        <v>0</v>
      </c>
      <c r="AI181" s="268" t="n">
        <f aca="false">Finanzierung!AI30</f>
        <v>0</v>
      </c>
      <c r="AJ181" s="268" t="n">
        <f aca="false">Finanzierung!AJ30</f>
        <v>0</v>
      </c>
      <c r="AK181" s="268" t="n">
        <f aca="false">Finanzierung!AK30</f>
        <v>0</v>
      </c>
      <c r="AL181" s="268" t="n">
        <f aca="false">Finanzierung!AL30</f>
        <v>0</v>
      </c>
      <c r="AM181" s="268" t="n">
        <f aca="false">Finanzierung!AM30</f>
        <v>0</v>
      </c>
      <c r="AN181" s="268" t="n">
        <f aca="false">Finanzierung!AN30</f>
        <v>0</v>
      </c>
      <c r="AO181" s="268" t="n">
        <f aca="false">Finanzierung!AO30</f>
        <v>0</v>
      </c>
      <c r="AP181" s="268" t="n">
        <f aca="false">Finanzierung!AP30</f>
        <v>0</v>
      </c>
      <c r="AQ181" s="268" t="n">
        <f aca="false">Finanzierung!AQ30</f>
        <v>0</v>
      </c>
    </row>
    <row r="182" customFormat="false" ht="18" hidden="true" customHeight="true" outlineLevel="1" collapsed="false">
      <c r="B182" s="62" t="s">
        <v>756</v>
      </c>
      <c r="C182" s="70" t="s">
        <v>753</v>
      </c>
      <c r="D182" s="268" t="n">
        <f aca="false">Finanzierung!D38</f>
        <v>245000</v>
      </c>
      <c r="E182" s="268" t="n">
        <f aca="false">Finanzierung!E38</f>
        <v>239820</v>
      </c>
      <c r="F182" s="268" t="n">
        <f aca="false">Finanzierung!F38</f>
        <v>234453.52</v>
      </c>
      <c r="G182" s="268" t="n">
        <f aca="false">Finanzierung!G38</f>
        <v>228893.84672</v>
      </c>
      <c r="H182" s="268" t="n">
        <f aca="false">Finanzierung!H38</f>
        <v>223134.02520192</v>
      </c>
      <c r="I182" s="268" t="n">
        <f aca="false">Finanzierung!I38</f>
        <v>217166.850109189</v>
      </c>
      <c r="J182" s="268" t="n">
        <f aca="false">Finanzierung!J38</f>
        <v>210984.85671312</v>
      </c>
      <c r="K182" s="268" t="n">
        <f aca="false">Finanzierung!K38</f>
        <v>204580.311554792</v>
      </c>
      <c r="L182" s="268" t="n">
        <f aca="false">Finanzierung!L38</f>
        <v>197945.202770765</v>
      </c>
      <c r="M182" s="268" t="n">
        <f aca="false">Finanzierung!M38</f>
        <v>191071.230070512</v>
      </c>
      <c r="N182" s="268" t="n">
        <f aca="false">Finanzierung!N38</f>
        <v>185669.435423685</v>
      </c>
      <c r="O182" s="268" t="n">
        <f aca="false">Finanzierung!O38</f>
        <v>180024.560017751</v>
      </c>
      <c r="P182" s="268" t="n">
        <f aca="false">Finanzierung!P38</f>
        <v>174125.66521855</v>
      </c>
      <c r="Q182" s="268" t="n">
        <f aca="false">Finanzierung!Q38</f>
        <v>167961.320153385</v>
      </c>
      <c r="R182" s="268" t="n">
        <f aca="false">Finanzierung!R38</f>
        <v>161519.579560287</v>
      </c>
      <c r="S182" s="268" t="n">
        <f aca="false">Finanzierung!S38</f>
        <v>154787.9606405</v>
      </c>
      <c r="T182" s="268" t="n">
        <f aca="false">Finanzierung!T38</f>
        <v>147753.418869323</v>
      </c>
      <c r="U182" s="268" t="n">
        <f aca="false">Finanzierung!U38</f>
        <v>140402.322718442</v>
      </c>
      <c r="V182" s="268" t="n">
        <f aca="false">Finanzierung!V38</f>
        <v>132720.427240772</v>
      </c>
      <c r="W182" s="268" t="n">
        <f aca="false">Finanzierung!W38</f>
        <v>124692.846466607</v>
      </c>
      <c r="X182" s="268" t="n">
        <f aca="false">Finanzierung!X38</f>
        <v>116304.024557604</v>
      </c>
      <c r="Y182" s="268" t="n">
        <f aca="false">Finanzierung!Y38</f>
        <v>107537.705662696</v>
      </c>
      <c r="Z182" s="268" t="n">
        <f aca="false">Finanzierung!Z38</f>
        <v>98376.9024175175</v>
      </c>
      <c r="AA182" s="268" t="n">
        <f aca="false">Finanzierung!AA38</f>
        <v>88803.8630263058</v>
      </c>
      <c r="AB182" s="268" t="n">
        <f aca="false">Finanzierung!AB38</f>
        <v>78800.0368624896</v>
      </c>
      <c r="AC182" s="268" t="n">
        <f aca="false">Finanzierung!AC38</f>
        <v>68346.0385213016</v>
      </c>
      <c r="AD182" s="268" t="n">
        <f aca="false">Finanzierung!AD38</f>
        <v>57421.6102547602</v>
      </c>
      <c r="AE182" s="268" t="n">
        <f aca="false">Finanzierung!AE38</f>
        <v>46005.5827162244</v>
      </c>
      <c r="AF182" s="268" t="n">
        <f aca="false">Finanzierung!AF38</f>
        <v>34075.8339384545</v>
      </c>
      <c r="AG182" s="268" t="n">
        <f aca="false">Finanzierung!AG38</f>
        <v>21609.2464656849</v>
      </c>
      <c r="AH182" s="268" t="n">
        <f aca="false">Finanzierung!AH38</f>
        <v>8581.66255664074</v>
      </c>
      <c r="AI182" s="268" t="n">
        <f aca="false">Finanzierung!AI38</f>
        <v>0</v>
      </c>
      <c r="AJ182" s="268" t="n">
        <f aca="false">Finanzierung!AJ38</f>
        <v>0</v>
      </c>
      <c r="AK182" s="268" t="n">
        <f aca="false">Finanzierung!AK38</f>
        <v>0</v>
      </c>
      <c r="AL182" s="268" t="n">
        <f aca="false">Finanzierung!AL38</f>
        <v>0</v>
      </c>
      <c r="AM182" s="268" t="n">
        <f aca="false">Finanzierung!AM38</f>
        <v>0</v>
      </c>
      <c r="AN182" s="268" t="n">
        <f aca="false">Finanzierung!AN38</f>
        <v>0</v>
      </c>
      <c r="AO182" s="268" t="n">
        <f aca="false">Finanzierung!AO38</f>
        <v>0</v>
      </c>
      <c r="AP182" s="268" t="n">
        <f aca="false">Finanzierung!AP38</f>
        <v>0</v>
      </c>
      <c r="AQ182" s="268" t="n">
        <f aca="false">Finanzierung!AQ38</f>
        <v>0</v>
      </c>
    </row>
    <row r="183" customFormat="false" ht="18" hidden="true" customHeight="true" outlineLevel="1" collapsed="false">
      <c r="B183" s="62" t="s">
        <v>757</v>
      </c>
      <c r="C183" s="70" t="s">
        <v>753</v>
      </c>
      <c r="D183" s="268" t="n">
        <f aca="false">Projektion!D43</f>
        <v>57940</v>
      </c>
      <c r="E183" s="268" t="n">
        <f aca="false">Projektion!E43</f>
        <v>69178.8</v>
      </c>
      <c r="F183" s="268" t="n">
        <f aca="false">Projektion!F43</f>
        <v>80725.256</v>
      </c>
      <c r="G183" s="268" t="n">
        <f aca="false">Projektion!G43</f>
        <v>92588.5048</v>
      </c>
      <c r="H183" s="268" t="n">
        <f aca="false">Projektion!H43</f>
        <v>104777.97334848</v>
      </c>
      <c r="I183" s="268" t="n">
        <f aca="false">Projektion!I43</f>
        <v>117303.388412219</v>
      </c>
      <c r="J183" s="268" t="n">
        <f aca="false">Projektion!J43</f>
        <v>130174.786578716</v>
      </c>
      <c r="K183" s="268" t="n">
        <f aca="false">Projektion!K43</f>
        <v>143402.524602881</v>
      </c>
      <c r="L183" s="268" t="n">
        <f aca="false">Projektion!L43</f>
        <v>156997.290110062</v>
      </c>
      <c r="M183" s="268" t="n">
        <f aca="false">Projektion!M43</f>
        <v>170970.112667931</v>
      </c>
      <c r="N183" s="268" t="n">
        <f aca="false">Projektion!N43</f>
        <v>183612.734169526</v>
      </c>
      <c r="O183" s="268" t="n">
        <f aca="false">Projektion!O43</f>
        <v>196643.252967325</v>
      </c>
      <c r="P183" s="268" t="n">
        <f aca="false">Projektion!P43</f>
        <v>210075.504026228</v>
      </c>
      <c r="Q183" s="268" t="n">
        <f aca="false">Projektion!Q43</f>
        <v>223923.872476288</v>
      </c>
      <c r="R183" s="268" t="n">
        <f aca="false">Projektion!R43</f>
        <v>238203.31692198</v>
      </c>
      <c r="S183" s="268" t="n">
        <f aca="false">Projektion!S43</f>
        <v>252929.393771412</v>
      </c>
      <c r="T183" s="268" t="n">
        <f aca="false">Projektion!T43</f>
        <v>268118.282630828</v>
      </c>
      <c r="U183" s="268" t="n">
        <f aca="false">Projektion!U43</f>
        <v>283786.812811711</v>
      </c>
      <c r="V183" s="268" t="n">
        <f aca="false">Projektion!V43</f>
        <v>299952.490999984</v>
      </c>
      <c r="W183" s="268" t="n">
        <f aca="false">Projektion!W43</f>
        <v>316633.530138965</v>
      </c>
      <c r="X183" s="268" t="n">
        <f aca="false">Projektion!X43</f>
        <v>333848.879580079</v>
      </c>
      <c r="Y183" s="268" t="n">
        <f aca="false">Projektion!Y43</f>
        <v>351618.25655774</v>
      </c>
      <c r="Z183" s="268" t="n">
        <f aca="false">Projektion!Z43</f>
        <v>369962.179047328</v>
      </c>
      <c r="AA183" s="268" t="n">
        <f aca="false">Projektion!AA43</f>
        <v>388902.000067836</v>
      </c>
      <c r="AB183" s="268" t="n">
        <f aca="false">Projektion!AB43</f>
        <v>408459.943493536</v>
      </c>
      <c r="AC183" s="268" t="n">
        <f aca="false">Projektion!AC43</f>
        <v>428659.141441844</v>
      </c>
      <c r="AD183" s="268" t="n">
        <f aca="false">Projektion!AD43</f>
        <v>449523.673307648</v>
      </c>
      <c r="AE183" s="268" t="n">
        <f aca="false">Projektion!AE43</f>
        <v>471078.606517432</v>
      </c>
      <c r="AF183" s="268" t="n">
        <f aca="false">Projektion!AF43</f>
        <v>493350.039079875</v>
      </c>
      <c r="AG183" s="268" t="n">
        <f aca="false">Projektion!AG43</f>
        <v>516365.144013012</v>
      </c>
      <c r="AH183" s="268" t="n">
        <f aca="false">Projektion!AH43</f>
        <v>540152.21573163</v>
      </c>
      <c r="AI183" s="268" t="n">
        <f aca="false">Projektion!AI43</f>
        <v>559708.555854036</v>
      </c>
      <c r="AJ183" s="268" t="n">
        <f aca="false">Projektion!AJ43</f>
        <v>570902.726971117</v>
      </c>
      <c r="AK183" s="268" t="n">
        <f aca="false">Projektion!AK43</f>
        <v>582320.781510539</v>
      </c>
      <c r="AL183" s="268" t="n">
        <f aca="false">Projektion!AL43</f>
        <v>593967.19714075</v>
      </c>
      <c r="AM183" s="268" t="n">
        <f aca="false">Projektion!AM43</f>
        <v>605846.541083565</v>
      </c>
      <c r="AN183" s="268" t="n">
        <f aca="false">Projektion!AN43</f>
        <v>617963.471905236</v>
      </c>
      <c r="AO183" s="268" t="n">
        <f aca="false">Projektion!AO43</f>
        <v>630322.741343341</v>
      </c>
      <c r="AP183" s="268" t="n">
        <f aca="false">Projektion!AP43</f>
        <v>642929.196170208</v>
      </c>
      <c r="AQ183" s="268" t="n">
        <f aca="false">Projektion!AQ43</f>
        <v>655787.780093612</v>
      </c>
    </row>
    <row r="184" customFormat="false" ht="18" hidden="true" customHeight="true" outlineLevel="1" collapsed="false">
      <c r="B184" s="62" t="s">
        <v>370</v>
      </c>
      <c r="C184" s="70" t="s">
        <v>753</v>
      </c>
      <c r="D184" s="268" t="n">
        <f aca="false">Projektion!D33</f>
        <v>-5432</v>
      </c>
      <c r="E184" s="268" t="n">
        <f aca="false">Projektion!E33</f>
        <v>-5260.64</v>
      </c>
      <c r="F184" s="268" t="n">
        <f aca="false">Projektion!F33</f>
        <v>-5085.8528</v>
      </c>
      <c r="G184" s="268" t="n">
        <f aca="false">Projektion!G33</f>
        <v>-4907.569856</v>
      </c>
      <c r="H184" s="268" t="n">
        <f aca="false">Projektion!H33</f>
        <v>-4725.72125312</v>
      </c>
      <c r="I184" s="268" t="n">
        <f aca="false">Projektion!I33</f>
        <v>-4540.2356781824</v>
      </c>
      <c r="J184" s="268" t="n">
        <f aca="false">Projektion!J33</f>
        <v>-4351.04039174604</v>
      </c>
      <c r="K184" s="268" t="n">
        <f aca="false">Projektion!K33</f>
        <v>-4158.06119958097</v>
      </c>
      <c r="L184" s="268" t="n">
        <f aca="false">Projektion!L33</f>
        <v>-3961.22242357258</v>
      </c>
      <c r="M184" s="268" t="n">
        <f aca="false">Projektion!M33</f>
        <v>-3760.44687204404</v>
      </c>
      <c r="N184" s="268" t="n">
        <f aca="false">Projektion!N33</f>
        <v>-3555.65580948492</v>
      </c>
      <c r="O184" s="268" t="n">
        <f aca="false">Projektion!O33</f>
        <v>-3346.76892567462</v>
      </c>
      <c r="P184" s="268" t="n">
        <f aca="false">Projektion!P33</f>
        <v>-3133.70430418811</v>
      </c>
      <c r="Q184" s="268" t="n">
        <f aca="false">Projektion!Q33</f>
        <v>-2916.37839027187</v>
      </c>
      <c r="R184" s="268" t="n">
        <f aca="false">Projektion!R33</f>
        <v>-2694.70595807731</v>
      </c>
      <c r="S184" s="268" t="n">
        <f aca="false">Projektion!S33</f>
        <v>-2468.60007723885</v>
      </c>
      <c r="T184" s="268" t="n">
        <f aca="false">Projektion!T33</f>
        <v>-2237.97207878363</v>
      </c>
      <c r="U184" s="268" t="n">
        <f aca="false">Projektion!U33</f>
        <v>-2002.7315203593</v>
      </c>
      <c r="V184" s="268" t="n">
        <f aca="false">Projektion!V33</f>
        <v>-1762.78615076649</v>
      </c>
      <c r="W184" s="268" t="n">
        <f aca="false">Projektion!W33</f>
        <v>-1518.04187378182</v>
      </c>
      <c r="X184" s="268" t="n">
        <f aca="false">Projektion!X33</f>
        <v>-1268.40271125745</v>
      </c>
      <c r="Y184" s="268" t="n">
        <f aca="false">Projektion!Y33</f>
        <v>-1013.7707654826</v>
      </c>
      <c r="Z184" s="268" t="n">
        <f aca="false">Projektion!Z33</f>
        <v>-754.046180792255</v>
      </c>
      <c r="AA184" s="268" t="n">
        <f aca="false">Projektion!AA33</f>
        <v>-489.1271044081</v>
      </c>
      <c r="AB184" s="268" t="n">
        <f aca="false">Projektion!AB33</f>
        <v>-218.909646496259</v>
      </c>
      <c r="AC184" s="268" t="n">
        <f aca="false">Projektion!AC33</f>
        <v>56.7121605738121</v>
      </c>
      <c r="AD184" s="268" t="n">
        <f aca="false">Projektion!AD33</f>
        <v>337.846403785288</v>
      </c>
      <c r="AE184" s="268" t="n">
        <f aca="false">Projektion!AE33</f>
        <v>624.603331860995</v>
      </c>
      <c r="AF184" s="268" t="n">
        <f aca="false">Projektion!AF33</f>
        <v>917.095398498215</v>
      </c>
      <c r="AG184" s="268" t="n">
        <f aca="false">Projektion!AG33</f>
        <v>1215.43730646818</v>
      </c>
      <c r="AH184" s="268" t="n">
        <f aca="false">Projektion!AH33</f>
        <v>1519.74605259755</v>
      </c>
      <c r="AI184" s="268" t="n">
        <f aca="false">Projektion!AI33</f>
        <v>6862.30360195992</v>
      </c>
      <c r="AJ184" s="268" t="n">
        <f aca="false">Projektion!AJ33</f>
        <v>16146.7437931225</v>
      </c>
      <c r="AK184" s="268" t="n">
        <f aca="false">Projektion!AK33</f>
        <v>16469.6786689849</v>
      </c>
      <c r="AL184" s="268" t="n">
        <f aca="false">Projektion!AL33</f>
        <v>16799.0722423646</v>
      </c>
      <c r="AM184" s="268" t="n">
        <f aca="false">Projektion!AM33</f>
        <v>17135.0536872119</v>
      </c>
      <c r="AN184" s="268" t="n">
        <f aca="false">Projektion!AN33</f>
        <v>17477.7547609562</v>
      </c>
      <c r="AO184" s="268" t="n">
        <f aca="false">Projektion!AO33</f>
        <v>17827.3098561753</v>
      </c>
      <c r="AP184" s="268" t="n">
        <f aca="false">Projektion!AP33</f>
        <v>18183.8560532988</v>
      </c>
      <c r="AQ184" s="268" t="n">
        <f aca="false">Projektion!AQ33</f>
        <v>18547.5331743648</v>
      </c>
    </row>
    <row r="185" customFormat="false" ht="18" hidden="true" customHeight="true" outlineLevel="1" collapsed="false">
      <c r="B185" s="62" t="s">
        <v>497</v>
      </c>
      <c r="C185" s="70" t="s">
        <v>753</v>
      </c>
      <c r="D185" s="268" t="n">
        <f aca="false">Projektion!D36</f>
        <v>3078.39654952701</v>
      </c>
      <c r="E185" s="268" t="n">
        <f aca="false">Projektion!E36</f>
        <v>-3286.96345735299</v>
      </c>
      <c r="F185" s="268" t="n">
        <f aca="false">Projektion!F36</f>
        <v>-3293.16621781059</v>
      </c>
      <c r="G185" s="268" t="n">
        <f aca="false">Projektion!G36</f>
        <v>-3300.87324804118</v>
      </c>
      <c r="H185" s="268" t="n">
        <f aca="false">Projektion!H36</f>
        <v>-3310.16432116452</v>
      </c>
      <c r="I185" s="268" t="n">
        <f aca="false">Projektion!I36</f>
        <v>-3321.12259452085</v>
      </c>
      <c r="J185" s="268" t="n">
        <f aca="false">Projektion!J36</f>
        <v>-3333.83474175054</v>
      </c>
      <c r="K185" s="268" t="n">
        <f aca="false">Projektion!K36</f>
        <v>-3348.39108983371</v>
      </c>
      <c r="L185" s="268" t="n">
        <f aca="false">Projektion!L36</f>
        <v>-3364.88576127213</v>
      </c>
      <c r="M185" s="268" t="n">
        <f aca="false">Projektion!M36</f>
        <v>-3383.41682160308</v>
      </c>
      <c r="N185" s="268" t="n">
        <f aca="false">Projektion!N36</f>
        <v>-2978.67150885839</v>
      </c>
      <c r="O185" s="268" t="n">
        <f aca="false">Projektion!O36</f>
        <v>-2995.43786345826</v>
      </c>
      <c r="P185" s="268" t="n">
        <f aca="false">Projektion!P36</f>
        <v>-3015.35070120497</v>
      </c>
      <c r="Q185" s="268" t="n">
        <f aca="false">Projektion!Q36</f>
        <v>-3038.59945378393</v>
      </c>
      <c r="R185" s="268" t="n">
        <f aca="false">Projektion!R36</f>
        <v>-3065.38303410527</v>
      </c>
      <c r="S185" s="268" t="n">
        <f aca="false">Projektion!S36</f>
        <v>-3095.91028209491</v>
      </c>
      <c r="T185" s="268" t="n">
        <f aca="false">Projektion!T36</f>
        <v>-3130.40043092901</v>
      </c>
      <c r="U185" s="268" t="n">
        <f aca="false">Projektion!U36</f>
        <v>-3169.08359463926</v>
      </c>
      <c r="V185" s="268" t="n">
        <f aca="false">Projektion!V36</f>
        <v>-3212.20127805868</v>
      </c>
      <c r="W185" s="268" t="n">
        <f aca="false">Projektion!W36</f>
        <v>-3260.006910121</v>
      </c>
      <c r="X185" s="268" t="n">
        <f aca="false">Projektion!X36</f>
        <v>-3312.76640157295</v>
      </c>
      <c r="Y185" s="268" t="n">
        <f aca="false">Projektion!Y36</f>
        <v>-3370.75872820599</v>
      </c>
      <c r="Z185" s="268" t="n">
        <f aca="false">Projektion!Z36</f>
        <v>-3434.27654076459</v>
      </c>
      <c r="AA185" s="268" t="n">
        <f aca="false">Projektion!AA36</f>
        <v>-3503.62680273994</v>
      </c>
      <c r="AB185" s="268" t="n">
        <f aca="false">Projektion!AB36</f>
        <v>-3579.13145731283</v>
      </c>
      <c r="AC185" s="268" t="n">
        <f aca="false">Projektion!AC36</f>
        <v>-3661.12812476631</v>
      </c>
      <c r="AD185" s="268" t="n">
        <f aca="false">Projektion!AD36</f>
        <v>-3749.97083174851</v>
      </c>
      <c r="AE185" s="268" t="n">
        <f aca="false">Projektion!AE36</f>
        <v>-3846.0307738281</v>
      </c>
      <c r="AF185" s="268" t="n">
        <f aca="false">Projektion!AF36</f>
        <v>-3949.6971128501</v>
      </c>
      <c r="AG185" s="268" t="n">
        <f aca="false">Projektion!AG36</f>
        <v>-4061.37781066792</v>
      </c>
      <c r="AH185" s="268" t="n">
        <f aca="false">Projektion!AH36</f>
        <v>-4181.50050089816</v>
      </c>
      <c r="AI185" s="268" t="n">
        <f aca="false">Projektion!AI36</f>
        <v>721.649227890842</v>
      </c>
      <c r="AJ185" s="268" t="n">
        <f aca="false">Projektion!AJ36</f>
        <v>9655.8655496508</v>
      </c>
      <c r="AK185" s="268" t="n">
        <f aca="false">Projektion!AK36</f>
        <v>9803.78471077327</v>
      </c>
      <c r="AL185" s="268" t="n">
        <f aca="false">Projektion!AL36</f>
        <v>9954.6622551182</v>
      </c>
      <c r="AM185" s="268" t="n">
        <f aca="false">Projektion!AM36</f>
        <v>10108.55735035</v>
      </c>
      <c r="AN185" s="268" t="n">
        <f aca="false">Projektion!AN36</f>
        <v>10265.5303474865</v>
      </c>
      <c r="AO185" s="268" t="n">
        <f aca="false">Projektion!AO36</f>
        <v>10425.6428045657</v>
      </c>
      <c r="AP185" s="268" t="n">
        <f aca="false">Projektion!AP36</f>
        <v>10588.9575107864</v>
      </c>
      <c r="AQ185" s="268" t="n">
        <f aca="false">Projektion!AQ36</f>
        <v>10755.5385111316</v>
      </c>
    </row>
    <row r="186" customFormat="false" ht="18" hidden="true" customHeight="true" outlineLevel="1" collapsed="false">
      <c r="B186" s="62" t="s">
        <v>607</v>
      </c>
      <c r="C186" s="70" t="s">
        <v>753</v>
      </c>
      <c r="D186" s="268" t="n">
        <f aca="false">Projektion!D38</f>
        <v>3078.39654952701</v>
      </c>
      <c r="E186" s="268" t="n">
        <f aca="false">Projektion!E38</f>
        <v>-208.566907825983</v>
      </c>
      <c r="F186" s="268" t="n">
        <f aca="false">Projektion!F38</f>
        <v>-3501.73312563657</v>
      </c>
      <c r="G186" s="268" t="n">
        <f aca="false">Projektion!G38</f>
        <v>-6802.60637367776</v>
      </c>
      <c r="H186" s="268" t="n">
        <f aca="false">Projektion!H38</f>
        <v>-10112.7706948423</v>
      </c>
      <c r="I186" s="268" t="n">
        <f aca="false">Projektion!I38</f>
        <v>-13433.8932893631</v>
      </c>
      <c r="J186" s="268" t="n">
        <f aca="false">Projektion!J38</f>
        <v>-16767.7280311137</v>
      </c>
      <c r="K186" s="268" t="n">
        <f aca="false">Projektion!K38</f>
        <v>-20116.1191209474</v>
      </c>
      <c r="L186" s="268" t="n">
        <f aca="false">Projektion!L38</f>
        <v>-23481.0048822195</v>
      </c>
      <c r="M186" s="268" t="n">
        <f aca="false">Projektion!M38</f>
        <v>-26864.4217038226</v>
      </c>
      <c r="N186" s="268" t="n">
        <f aca="false">Projektion!N38</f>
        <v>-29843.093212681</v>
      </c>
      <c r="O186" s="268" t="n">
        <f aca="false">Projektion!O38</f>
        <v>-32838.5310761392</v>
      </c>
      <c r="P186" s="268" t="n">
        <f aca="false">Projektion!P38</f>
        <v>-35853.8817773442</v>
      </c>
      <c r="Q186" s="268" t="n">
        <f aca="false">Projektion!Q38</f>
        <v>-38892.4812311281</v>
      </c>
      <c r="R186" s="268" t="n">
        <f aca="false">Projektion!R38</f>
        <v>-41957.8642652334</v>
      </c>
      <c r="S186" s="268" t="n">
        <f aca="false">Projektion!S38</f>
        <v>-45053.7745473283</v>
      </c>
      <c r="T186" s="268" t="n">
        <f aca="false">Projektion!T38</f>
        <v>-48184.1749782573</v>
      </c>
      <c r="U186" s="268" t="n">
        <f aca="false">Projektion!U38</f>
        <v>-51353.2585728966</v>
      </c>
      <c r="V186" s="268" t="n">
        <f aca="false">Projektion!V38</f>
        <v>-54565.4598509552</v>
      </c>
      <c r="W186" s="268" t="n">
        <f aca="false">Projektion!W38</f>
        <v>-57825.4667610762</v>
      </c>
      <c r="X186" s="268" t="n">
        <f aca="false">Projektion!X38</f>
        <v>-61138.2331626492</v>
      </c>
      <c r="Y186" s="268" t="n">
        <f aca="false">Projektion!Y38</f>
        <v>-64508.9918908552</v>
      </c>
      <c r="Z186" s="268" t="n">
        <f aca="false">Projektion!Z38</f>
        <v>-67943.2684316198</v>
      </c>
      <c r="AA186" s="268" t="n">
        <f aca="false">Projektion!AA38</f>
        <v>-71446.8952343597</v>
      </c>
      <c r="AB186" s="268" t="n">
        <f aca="false">Projektion!AB38</f>
        <v>-75026.0266916726</v>
      </c>
      <c r="AC186" s="268" t="n">
        <f aca="false">Projektion!AC38</f>
        <v>-78687.1548164389</v>
      </c>
      <c r="AD186" s="268" t="n">
        <f aca="false">Projektion!AD38</f>
        <v>-82437.1256481874</v>
      </c>
      <c r="AE186" s="268" t="n">
        <f aca="false">Projektion!AE38</f>
        <v>-86283.1564220155</v>
      </c>
      <c r="AF186" s="268" t="n">
        <f aca="false">Projektion!AF38</f>
        <v>-90232.8535348656</v>
      </c>
      <c r="AG186" s="268" t="n">
        <f aca="false">Projektion!AG38</f>
        <v>-94294.2313455335</v>
      </c>
      <c r="AH186" s="268" t="n">
        <f aca="false">Projektion!AH38</f>
        <v>-98475.7318464317</v>
      </c>
      <c r="AI186" s="268" t="n">
        <f aca="false">Projektion!AI38</f>
        <v>-97754.0826185408</v>
      </c>
      <c r="AJ186" s="268" t="n">
        <f aca="false">Projektion!AJ38</f>
        <v>-88098.21706889</v>
      </c>
      <c r="AK186" s="268" t="n">
        <f aca="false">Projektion!AK38</f>
        <v>-78294.4323581168</v>
      </c>
      <c r="AL186" s="268" t="n">
        <f aca="false">Projektion!AL38</f>
        <v>-68339.7701029986</v>
      </c>
      <c r="AM186" s="268" t="n">
        <f aca="false">Projektion!AM38</f>
        <v>-58231.2127526485</v>
      </c>
      <c r="AN186" s="268" t="n">
        <f aca="false">Projektion!AN38</f>
        <v>-47965.6824051621</v>
      </c>
      <c r="AO186" s="268" t="n">
        <f aca="false">Projektion!AO38</f>
        <v>-37540.0396005964</v>
      </c>
      <c r="AP186" s="268" t="n">
        <f aca="false">Projektion!AP38</f>
        <v>-26951.0820898099</v>
      </c>
      <c r="AQ186" s="268" t="n">
        <f aca="false">Projektion!AQ38</f>
        <v>-16195.5435786783</v>
      </c>
    </row>
    <row r="187" customFormat="false" ht="18" hidden="true" customHeight="true" outlineLevel="1" collapsed="false">
      <c r="B187" s="62" t="s">
        <v>533</v>
      </c>
      <c r="C187" s="70" t="s">
        <v>753</v>
      </c>
      <c r="D187" s="268" t="n">
        <f aca="false">Finanzierung!D35</f>
        <v>9000</v>
      </c>
      <c r="E187" s="268" t="n">
        <f aca="false">Finanzierung!E35</f>
        <v>8820</v>
      </c>
      <c r="F187" s="268" t="n">
        <f aca="false">Finanzierung!F35</f>
        <v>8633.52</v>
      </c>
      <c r="G187" s="268" t="n">
        <f aca="false">Finanzierung!G35</f>
        <v>8440.32672</v>
      </c>
      <c r="H187" s="268" t="n">
        <f aca="false">Finanzierung!H35</f>
        <v>8240.17848192</v>
      </c>
      <c r="I187" s="268" t="n">
        <f aca="false">Finanzierung!I35</f>
        <v>8032.82490726912</v>
      </c>
      <c r="J187" s="268" t="n">
        <f aca="false">Finanzierung!J35</f>
        <v>7818.00660393081</v>
      </c>
      <c r="K187" s="268" t="n">
        <f aca="false">Finanzierung!K35</f>
        <v>7595.45484167232</v>
      </c>
      <c r="L187" s="268" t="n">
        <f aca="false">Finanzierung!L35</f>
        <v>7364.89121597252</v>
      </c>
      <c r="M187" s="268" t="n">
        <f aca="false">Finanzierung!M35</f>
        <v>7126.02729974753</v>
      </c>
      <c r="N187" s="268" t="n">
        <f aca="false">Finanzierung!N35</f>
        <v>8598.20535317305</v>
      </c>
      <c r="O187" s="268" t="n">
        <f aca="false">Finanzierung!O35</f>
        <v>8355.12459406584</v>
      </c>
      <c r="P187" s="268" t="n">
        <f aca="false">Finanzierung!P35</f>
        <v>8101.10520079881</v>
      </c>
      <c r="Q187" s="268" t="n">
        <f aca="false">Finanzierung!Q35</f>
        <v>7835.65493483475</v>
      </c>
      <c r="R187" s="268" t="n">
        <f aca="false">Finanzierung!R35</f>
        <v>7558.25940690232</v>
      </c>
      <c r="S187" s="268" t="n">
        <f aca="false">Finanzierung!S35</f>
        <v>7268.38108021292</v>
      </c>
      <c r="T187" s="268" t="n">
        <f aca="false">Finanzierung!T35</f>
        <v>6965.4582288225</v>
      </c>
      <c r="U187" s="268" t="n">
        <f aca="false">Finanzierung!U35</f>
        <v>6648.90384911951</v>
      </c>
      <c r="V187" s="268" t="n">
        <f aca="false">Finanzierung!V35</f>
        <v>6318.10452232989</v>
      </c>
      <c r="W187" s="268" t="n">
        <f aca="false">Finanzierung!W35</f>
        <v>5972.41922583474</v>
      </c>
      <c r="X187" s="268" t="n">
        <f aca="false">Finanzierung!X35</f>
        <v>5611.1780909973</v>
      </c>
      <c r="Y187" s="268" t="n">
        <f aca="false">Finanzierung!Y35</f>
        <v>5233.68110509218</v>
      </c>
      <c r="Z187" s="268" t="n">
        <f aca="false">Finanzierung!Z35</f>
        <v>4839.19675482133</v>
      </c>
      <c r="AA187" s="268" t="n">
        <f aca="false">Finanzierung!AA35</f>
        <v>4426.96060878829</v>
      </c>
      <c r="AB187" s="268" t="n">
        <f aca="false">Finanzierung!AB35</f>
        <v>3996.17383618376</v>
      </c>
      <c r="AC187" s="268" t="n">
        <f aca="false">Finanzierung!AC35</f>
        <v>3546.00165881203</v>
      </c>
      <c r="AD187" s="268" t="n">
        <f aca="false">Finanzierung!AD35</f>
        <v>3075.57173345857</v>
      </c>
      <c r="AE187" s="268" t="n">
        <f aca="false">Finanzierung!AE35</f>
        <v>2583.97246146421</v>
      </c>
      <c r="AF187" s="268" t="n">
        <f aca="false">Finanzierung!AF35</f>
        <v>2070.2512222301</v>
      </c>
      <c r="AG187" s="268" t="n">
        <f aca="false">Finanzierung!AG35</f>
        <v>1533.41252723045</v>
      </c>
      <c r="AH187" s="268" t="n">
        <f aca="false">Finanzierung!AH35</f>
        <v>972.416090955821</v>
      </c>
      <c r="AI187" s="268" t="n">
        <f aca="false">Finanzierung!AI35</f>
        <v>386.174815048833</v>
      </c>
      <c r="AJ187" s="268" t="n">
        <f aca="false">Finanzierung!AJ35</f>
        <v>0</v>
      </c>
      <c r="AK187" s="268" t="n">
        <f aca="false">Finanzierung!AK35</f>
        <v>0</v>
      </c>
      <c r="AL187" s="268" t="n">
        <f aca="false">Finanzierung!AL35</f>
        <v>0</v>
      </c>
      <c r="AM187" s="268" t="n">
        <f aca="false">Finanzierung!AM35</f>
        <v>0</v>
      </c>
      <c r="AN187" s="268" t="n">
        <f aca="false">Finanzierung!AN35</f>
        <v>0</v>
      </c>
      <c r="AO187" s="268" t="n">
        <f aca="false">Finanzierung!AO35</f>
        <v>0</v>
      </c>
      <c r="AP187" s="268" t="n">
        <f aca="false">Finanzierung!AP35</f>
        <v>0</v>
      </c>
      <c r="AQ187" s="268" t="n">
        <f aca="false">Finanzierung!AQ35</f>
        <v>0</v>
      </c>
    </row>
    <row r="188" customFormat="false" ht="18" hidden="true" customHeight="true" outlineLevel="1" collapsed="false">
      <c r="B188" s="62" t="s">
        <v>534</v>
      </c>
      <c r="C188" s="70" t="s">
        <v>753</v>
      </c>
      <c r="D188" s="268" t="n">
        <f aca="false">Finanzierung!D36</f>
        <v>5000</v>
      </c>
      <c r="E188" s="268" t="n">
        <f aca="false">Finanzierung!E36</f>
        <v>5180</v>
      </c>
      <c r="F188" s="268" t="n">
        <f aca="false">Finanzierung!F36</f>
        <v>5366.48</v>
      </c>
      <c r="G188" s="268" t="n">
        <f aca="false">Finanzierung!G36</f>
        <v>5559.67328</v>
      </c>
      <c r="H188" s="268" t="n">
        <f aca="false">Finanzierung!H36</f>
        <v>5759.82151808</v>
      </c>
      <c r="I188" s="268" t="n">
        <f aca="false">Finanzierung!I36</f>
        <v>5967.17509273088</v>
      </c>
      <c r="J188" s="268" t="n">
        <f aca="false">Finanzierung!J36</f>
        <v>6181.99339606919</v>
      </c>
      <c r="K188" s="268" t="n">
        <f aca="false">Finanzierung!K36</f>
        <v>6404.54515832768</v>
      </c>
      <c r="L188" s="268" t="n">
        <f aca="false">Finanzierung!L36</f>
        <v>6635.10878402748</v>
      </c>
      <c r="M188" s="268" t="n">
        <f aca="false">Finanzierung!M36</f>
        <v>6873.97270025247</v>
      </c>
      <c r="N188" s="268" t="n">
        <f aca="false">Finanzierung!N36</f>
        <v>5401.79464682694</v>
      </c>
      <c r="O188" s="268" t="n">
        <f aca="false">Finanzierung!O36</f>
        <v>5644.87540593416</v>
      </c>
      <c r="P188" s="268" t="n">
        <f aca="false">Finanzierung!P36</f>
        <v>5898.89479920119</v>
      </c>
      <c r="Q188" s="268" t="n">
        <f aca="false">Finanzierung!Q36</f>
        <v>6164.34506516525</v>
      </c>
      <c r="R188" s="268" t="n">
        <f aca="false">Finanzierung!R36</f>
        <v>6441.74059309768</v>
      </c>
      <c r="S188" s="268" t="n">
        <f aca="false">Finanzierung!S36</f>
        <v>6731.61891978708</v>
      </c>
      <c r="T188" s="268" t="n">
        <f aca="false">Finanzierung!T36</f>
        <v>7034.5417711775</v>
      </c>
      <c r="U188" s="268" t="n">
        <f aca="false">Finanzierung!U36</f>
        <v>7351.09615088049</v>
      </c>
      <c r="V188" s="268" t="n">
        <f aca="false">Finanzierung!V36</f>
        <v>7681.89547767011</v>
      </c>
      <c r="W188" s="268" t="n">
        <f aca="false">Finanzierung!W36</f>
        <v>8027.58077416526</v>
      </c>
      <c r="X188" s="268" t="n">
        <f aca="false">Finanzierung!X36</f>
        <v>8388.8219090027</v>
      </c>
      <c r="Y188" s="268" t="n">
        <f aca="false">Finanzierung!Y36</f>
        <v>8766.31889490782</v>
      </c>
      <c r="Z188" s="268" t="n">
        <f aca="false">Finanzierung!Z36</f>
        <v>9160.80324517867</v>
      </c>
      <c r="AA188" s="268" t="n">
        <f aca="false">Finanzierung!AA36</f>
        <v>9573.03939121171</v>
      </c>
      <c r="AB188" s="268" t="n">
        <f aca="false">Finanzierung!AB36</f>
        <v>10003.8261638162</v>
      </c>
      <c r="AC188" s="268" t="n">
        <f aca="false">Finanzierung!AC36</f>
        <v>10453.998341188</v>
      </c>
      <c r="AD188" s="268" t="n">
        <f aca="false">Finanzierung!AD36</f>
        <v>10924.4282665414</v>
      </c>
      <c r="AE188" s="268" t="n">
        <f aca="false">Finanzierung!AE36</f>
        <v>11416.0275385358</v>
      </c>
      <c r="AF188" s="268" t="n">
        <f aca="false">Finanzierung!AF36</f>
        <v>11929.7487777699</v>
      </c>
      <c r="AG188" s="268" t="n">
        <f aca="false">Finanzierung!AG36</f>
        <v>12466.5874727695</v>
      </c>
      <c r="AH188" s="268" t="n">
        <f aca="false">Finanzierung!AH36</f>
        <v>13027.5839090442</v>
      </c>
      <c r="AI188" s="268" t="n">
        <f aca="false">Finanzierung!AI36</f>
        <v>8581.66255664074</v>
      </c>
      <c r="AJ188" s="268" t="n">
        <f aca="false">Finanzierung!AJ36</f>
        <v>0</v>
      </c>
      <c r="AK188" s="268" t="n">
        <f aca="false">Finanzierung!AK36</f>
        <v>0</v>
      </c>
      <c r="AL188" s="268" t="n">
        <f aca="false">Finanzierung!AL36</f>
        <v>0</v>
      </c>
      <c r="AM188" s="268" t="n">
        <f aca="false">Finanzierung!AM36</f>
        <v>0</v>
      </c>
      <c r="AN188" s="268" t="n">
        <f aca="false">Finanzierung!AN36</f>
        <v>0</v>
      </c>
      <c r="AO188" s="268" t="n">
        <f aca="false">Finanzierung!AO36</f>
        <v>0</v>
      </c>
      <c r="AP188" s="268" t="n">
        <f aca="false">Finanzierung!AP36</f>
        <v>0</v>
      </c>
      <c r="AQ188" s="268" t="n">
        <f aca="false">Finanzierung!AQ36</f>
        <v>0</v>
      </c>
    </row>
    <row r="189" customFormat="false" ht="18" hidden="true" customHeight="true" outlineLevel="1" collapsed="false">
      <c r="B189" s="62" t="s">
        <v>758</v>
      </c>
      <c r="C189" s="70" t="s">
        <v>753</v>
      </c>
      <c r="D189" s="268" t="n">
        <f aca="false">D187</f>
        <v>9000</v>
      </c>
      <c r="E189" s="268" t="n">
        <f aca="false">D189+E187</f>
        <v>17820</v>
      </c>
      <c r="F189" s="268" t="n">
        <f aca="false">E189+F187</f>
        <v>26453.52</v>
      </c>
      <c r="G189" s="268" t="n">
        <f aca="false">F189+G187</f>
        <v>34893.84672</v>
      </c>
      <c r="H189" s="268" t="n">
        <f aca="false">G189+H187</f>
        <v>43134.02520192</v>
      </c>
      <c r="I189" s="268" t="n">
        <f aca="false">H189+I187</f>
        <v>51166.8501091891</v>
      </c>
      <c r="J189" s="268" t="n">
        <f aca="false">I189+J187</f>
        <v>58984.8567131199</v>
      </c>
      <c r="K189" s="268" t="n">
        <f aca="false">J189+K187</f>
        <v>66580.3115547922</v>
      </c>
      <c r="L189" s="268" t="n">
        <f aca="false">K189+L187</f>
        <v>73945.2027707648</v>
      </c>
      <c r="M189" s="268" t="n">
        <f aca="false">L189+M187</f>
        <v>81071.2300705123</v>
      </c>
      <c r="N189" s="268" t="n">
        <f aca="false">M189+N187</f>
        <v>89669.4354236853</v>
      </c>
      <c r="O189" s="268" t="n">
        <f aca="false">N189+O187</f>
        <v>98024.5600177512</v>
      </c>
      <c r="P189" s="268" t="n">
        <f aca="false">O189+P187</f>
        <v>106125.66521855</v>
      </c>
      <c r="Q189" s="268" t="n">
        <f aca="false">P189+Q187</f>
        <v>113961.320153385</v>
      </c>
      <c r="R189" s="268" t="n">
        <f aca="false">Q189+R187</f>
        <v>121519.579560287</v>
      </c>
      <c r="S189" s="268" t="n">
        <f aca="false">R189+S187</f>
        <v>128787.9606405</v>
      </c>
      <c r="T189" s="268" t="n">
        <f aca="false">S189+T187</f>
        <v>135753.418869322</v>
      </c>
      <c r="U189" s="268" t="n">
        <f aca="false">T189+U187</f>
        <v>142402.322718442</v>
      </c>
      <c r="V189" s="268" t="n">
        <f aca="false">U189+V187</f>
        <v>148720.427240772</v>
      </c>
      <c r="W189" s="268" t="n">
        <f aca="false">V189+W187</f>
        <v>154692.846466607</v>
      </c>
      <c r="X189" s="268" t="n">
        <f aca="false">W189+X187</f>
        <v>160304.024557604</v>
      </c>
      <c r="Y189" s="268" t="n">
        <f aca="false">X189+Y187</f>
        <v>165537.705662696</v>
      </c>
      <c r="Z189" s="268" t="n">
        <f aca="false">Y189+Z187</f>
        <v>170376.902417517</v>
      </c>
      <c r="AA189" s="268" t="n">
        <f aca="false">Z189+AA187</f>
        <v>174803.863026306</v>
      </c>
      <c r="AB189" s="268" t="n">
        <f aca="false">AA189+AB187</f>
        <v>178800.036862489</v>
      </c>
      <c r="AC189" s="268" t="n">
        <f aca="false">AB189+AC187</f>
        <v>182346.038521302</v>
      </c>
      <c r="AD189" s="268" t="n">
        <f aca="false">AC189+AD187</f>
        <v>185421.61025476</v>
      </c>
      <c r="AE189" s="268" t="n">
        <f aca="false">AD189+AE187</f>
        <v>188005.582716224</v>
      </c>
      <c r="AF189" s="268" t="n">
        <f aca="false">AE189+AF187</f>
        <v>190075.833938454</v>
      </c>
      <c r="AG189" s="268" t="n">
        <f aca="false">AF189+AG187</f>
        <v>191609.246465685</v>
      </c>
      <c r="AH189" s="268" t="n">
        <f aca="false">AG189+AH187</f>
        <v>192581.662556641</v>
      </c>
      <c r="AI189" s="268" t="n">
        <f aca="false">AH189+AI187</f>
        <v>192967.837371689</v>
      </c>
      <c r="AJ189" s="268" t="n">
        <f aca="false">AI189+AJ187</f>
        <v>192967.837371689</v>
      </c>
      <c r="AK189" s="268" t="n">
        <f aca="false">AJ189+AK187</f>
        <v>192967.837371689</v>
      </c>
      <c r="AL189" s="268" t="n">
        <f aca="false">AK189+AL187</f>
        <v>192967.837371689</v>
      </c>
      <c r="AM189" s="268" t="n">
        <f aca="false">AL189+AM187</f>
        <v>192967.837371689</v>
      </c>
      <c r="AN189" s="268" t="n">
        <f aca="false">AM189+AN187</f>
        <v>192967.837371689</v>
      </c>
      <c r="AO189" s="268" t="n">
        <f aca="false">AN189+AO187</f>
        <v>192967.837371689</v>
      </c>
      <c r="AP189" s="268" t="n">
        <f aca="false">AO189+AP187</f>
        <v>192967.837371689</v>
      </c>
      <c r="AQ189" s="268" t="n">
        <f aca="false">AP189+AQ187</f>
        <v>192967.837371689</v>
      </c>
    </row>
    <row r="190" customFormat="false" ht="18" hidden="true" customHeight="true" outlineLevel="1" collapsed="false">
      <c r="B190" s="62" t="s">
        <v>759</v>
      </c>
      <c r="C190" s="70" t="s">
        <v>753</v>
      </c>
      <c r="D190" s="268" t="n">
        <f aca="false">D188</f>
        <v>5000</v>
      </c>
      <c r="E190" s="268" t="n">
        <f aca="false">D190+E188</f>
        <v>10180</v>
      </c>
      <c r="F190" s="268" t="n">
        <f aca="false">E190+F188</f>
        <v>15546.48</v>
      </c>
      <c r="G190" s="268" t="n">
        <f aca="false">F190+G188</f>
        <v>21106.15328</v>
      </c>
      <c r="H190" s="268" t="n">
        <f aca="false">G190+H188</f>
        <v>26865.97479808</v>
      </c>
      <c r="I190" s="268" t="n">
        <f aca="false">H190+I188</f>
        <v>32833.1498908109</v>
      </c>
      <c r="J190" s="268" t="n">
        <f aca="false">I190+J188</f>
        <v>39015.1432868801</v>
      </c>
      <c r="K190" s="268" t="n">
        <f aca="false">J190+K188</f>
        <v>45419.6884452078</v>
      </c>
      <c r="L190" s="268" t="n">
        <f aca="false">K190+L188</f>
        <v>52054.7972292352</v>
      </c>
      <c r="M190" s="268" t="n">
        <f aca="false">L190+M188</f>
        <v>58928.7699294877</v>
      </c>
      <c r="N190" s="268" t="n">
        <f aca="false">M190+N188</f>
        <v>64330.5645763146</v>
      </c>
      <c r="O190" s="268" t="n">
        <f aca="false">N190+O188</f>
        <v>69975.4399822488</v>
      </c>
      <c r="P190" s="268" t="n">
        <f aca="false">O190+P188</f>
        <v>75874.33478145</v>
      </c>
      <c r="Q190" s="268" t="n">
        <f aca="false">P190+Q188</f>
        <v>82038.6798466152</v>
      </c>
      <c r="R190" s="268" t="n">
        <f aca="false">Q190+R188</f>
        <v>88480.4204397129</v>
      </c>
      <c r="S190" s="268" t="n">
        <f aca="false">R190+S188</f>
        <v>95212.0393595</v>
      </c>
      <c r="T190" s="268" t="n">
        <f aca="false">S190+T188</f>
        <v>102246.581130678</v>
      </c>
      <c r="U190" s="268" t="n">
        <f aca="false">T190+U188</f>
        <v>109597.677281558</v>
      </c>
      <c r="V190" s="268" t="n">
        <f aca="false">U190+V188</f>
        <v>117279.572759228</v>
      </c>
      <c r="W190" s="268" t="n">
        <f aca="false">V190+W188</f>
        <v>125307.153533393</v>
      </c>
      <c r="X190" s="268" t="n">
        <f aca="false">W190+X188</f>
        <v>133695.975442396</v>
      </c>
      <c r="Y190" s="268" t="n">
        <f aca="false">X190+Y188</f>
        <v>142462.294337304</v>
      </c>
      <c r="Z190" s="268" t="n">
        <f aca="false">Y190+Z188</f>
        <v>151623.097582483</v>
      </c>
      <c r="AA190" s="268" t="n">
        <f aca="false">Z190+AA188</f>
        <v>161196.136973694</v>
      </c>
      <c r="AB190" s="268" t="n">
        <f aca="false">AA190+AB188</f>
        <v>171199.96313751</v>
      </c>
      <c r="AC190" s="268" t="n">
        <f aca="false">AB190+AC188</f>
        <v>181653.961478698</v>
      </c>
      <c r="AD190" s="268" t="n">
        <f aca="false">AC190+AD188</f>
        <v>192578.38974524</v>
      </c>
      <c r="AE190" s="268" t="n">
        <f aca="false">AD190+AE188</f>
        <v>203994.417283776</v>
      </c>
      <c r="AF190" s="268" t="n">
        <f aca="false">AE190+AF188</f>
        <v>215924.166061546</v>
      </c>
      <c r="AG190" s="268" t="n">
        <f aca="false">AF190+AG188</f>
        <v>228390.753534315</v>
      </c>
      <c r="AH190" s="268" t="n">
        <f aca="false">AG190+AH188</f>
        <v>241418.337443359</v>
      </c>
      <c r="AI190" s="268" t="n">
        <f aca="false">AH190+AI188</f>
        <v>250000</v>
      </c>
      <c r="AJ190" s="268" t="n">
        <f aca="false">AI190+AJ188</f>
        <v>250000</v>
      </c>
      <c r="AK190" s="268" t="n">
        <f aca="false">AJ190+AK188</f>
        <v>250000</v>
      </c>
      <c r="AL190" s="268" t="n">
        <f aca="false">AK190+AL188</f>
        <v>250000</v>
      </c>
      <c r="AM190" s="268" t="n">
        <f aca="false">AL190+AM188</f>
        <v>250000</v>
      </c>
      <c r="AN190" s="268" t="n">
        <f aca="false">AM190+AN188</f>
        <v>250000</v>
      </c>
      <c r="AO190" s="268" t="n">
        <f aca="false">AN190+AO188</f>
        <v>250000</v>
      </c>
      <c r="AP190" s="268" t="n">
        <f aca="false">AO190+AP188</f>
        <v>250000</v>
      </c>
      <c r="AQ190" s="268" t="n">
        <f aca="false">AP190+AQ188</f>
        <v>250000</v>
      </c>
    </row>
    <row r="191" customFormat="false" ht="18" hidden="true" customHeight="true" outlineLevel="1" collapsed="false">
      <c r="B191" s="62" t="s">
        <v>760</v>
      </c>
      <c r="C191" s="70" t="s">
        <v>753</v>
      </c>
      <c r="D191" s="268" t="n">
        <f aca="false">Steuern!D74</f>
        <v>-8510.39654952701</v>
      </c>
      <c r="E191" s="268" t="n">
        <f aca="false">Steuern!E74</f>
        <v>-10484.073092174</v>
      </c>
      <c r="F191" s="268" t="n">
        <f aca="false">Steuern!F74</f>
        <v>-12276.7596743634</v>
      </c>
      <c r="G191" s="268" t="n">
        <f aca="false">Steuern!G74</f>
        <v>-13883.4562823222</v>
      </c>
      <c r="H191" s="268" t="n">
        <f aca="false">Steuern!H74</f>
        <v>-15299.0132142777</v>
      </c>
      <c r="I191" s="268" t="n">
        <f aca="false">Steuern!I74</f>
        <v>-16518.1262979393</v>
      </c>
      <c r="J191" s="268" t="n">
        <f aca="false">Steuern!J74</f>
        <v>-17535.3319479348</v>
      </c>
      <c r="K191" s="268" t="n">
        <f aca="false">Steuern!K74</f>
        <v>-18345.002057682</v>
      </c>
      <c r="L191" s="268" t="n">
        <f aca="false">Steuern!L74</f>
        <v>-18941.3387199825</v>
      </c>
      <c r="M191" s="268" t="n">
        <f aca="false">Steuern!M74</f>
        <v>-19318.3687704234</v>
      </c>
      <c r="N191" s="268" t="n">
        <f aca="false">Steuern!N74</f>
        <v>-19895.35307105</v>
      </c>
      <c r="O191" s="268" t="n">
        <f aca="false">Steuern!O74</f>
        <v>-20246.6841332663</v>
      </c>
      <c r="P191" s="268" t="n">
        <f aca="false">Steuern!P74</f>
        <v>-20365.0377362495</v>
      </c>
      <c r="Q191" s="268" t="n">
        <f aca="false">Steuern!Q74</f>
        <v>-20242.8166727374</v>
      </c>
      <c r="R191" s="268" t="n">
        <f aca="false">Steuern!R74</f>
        <v>-19872.1395967094</v>
      </c>
      <c r="S191" s="268" t="n">
        <f aca="false">Steuern!S74</f>
        <v>-19244.8293918534</v>
      </c>
      <c r="T191" s="268" t="n">
        <f aca="false">Steuern!T74</f>
        <v>-18352.401039708</v>
      </c>
      <c r="U191" s="268" t="n">
        <f aca="false">Steuern!U74</f>
        <v>-17186.048965428</v>
      </c>
      <c r="V191" s="268" t="n">
        <f aca="false">Steuern!V74</f>
        <v>-15736.6338381359</v>
      </c>
      <c r="W191" s="268" t="n">
        <f aca="false">Steuern!W74</f>
        <v>-13994.6688017967</v>
      </c>
      <c r="X191" s="268" t="n">
        <f aca="false">Steuern!X74</f>
        <v>-11950.3051114812</v>
      </c>
      <c r="Y191" s="268" t="n">
        <f aca="false">Steuern!Y74</f>
        <v>-9593.31714875779</v>
      </c>
      <c r="Z191" s="268" t="n">
        <f aca="false">Steuern!Z74</f>
        <v>-6913.08678878545</v>
      </c>
      <c r="AA191" s="268" t="n">
        <f aca="false">Steuern!AA74</f>
        <v>-3898.58709045361</v>
      </c>
      <c r="AB191" s="268" t="n">
        <f aca="false">Steuern!AB74</f>
        <v>-538.365279637037</v>
      </c>
      <c r="AC191" s="268" t="n">
        <f aca="false">Steuern!AC74</f>
        <v>3179.47500570309</v>
      </c>
      <c r="AD191" s="268" t="n">
        <f aca="false">Steuern!AD74</f>
        <v>7267.29224123689</v>
      </c>
      <c r="AE191" s="268" t="n">
        <f aca="false">Steuern!AE74</f>
        <v>11737.926346926</v>
      </c>
      <c r="AF191" s="268" t="n">
        <f aca="false">Steuern!AF74</f>
        <v>16604.7188582743</v>
      </c>
      <c r="AG191" s="268" t="n">
        <f aca="false">Steuern!AG74</f>
        <v>21881.5339754104</v>
      </c>
      <c r="AH191" s="268" t="n">
        <f aca="false">Steuern!AH74</f>
        <v>27582.7805289061</v>
      </c>
      <c r="AI191" s="268" t="n">
        <f aca="false">Steuern!AI74</f>
        <v>33723.4349029752</v>
      </c>
      <c r="AJ191" s="268" t="n">
        <f aca="false">Steuern!AJ74</f>
        <v>40214.3131464469</v>
      </c>
      <c r="AK191" s="268" t="n">
        <f aca="false">Steuern!AK74</f>
        <v>46880.2071046585</v>
      </c>
      <c r="AL191" s="268" t="n">
        <f aca="false">Steuern!AL74</f>
        <v>53724.617091905</v>
      </c>
      <c r="AM191" s="268" t="n">
        <f aca="false">Steuern!AM74</f>
        <v>60751.1134287669</v>
      </c>
      <c r="AN191" s="268" t="n">
        <f aca="false">Steuern!AN74</f>
        <v>67963.3378422365</v>
      </c>
      <c r="AO191" s="268" t="n">
        <f aca="false">Steuern!AO74</f>
        <v>75365.0048938462</v>
      </c>
      <c r="AP191" s="268" t="n">
        <f aca="false">Steuern!AP74</f>
        <v>82959.9034363585</v>
      </c>
      <c r="AQ191" s="268" t="n">
        <f aca="false">Steuern!AQ74</f>
        <v>90751.8980995917</v>
      </c>
    </row>
    <row r="192" customFormat="false" ht="18" hidden="true" customHeight="true" outlineLevel="1" collapsed="false">
      <c r="B192" s="62" t="s">
        <v>761</v>
      </c>
      <c r="C192" s="70" t="s">
        <v>753</v>
      </c>
      <c r="D192" s="268" t="n">
        <f aca="false">Steuern!D49</f>
        <v>4885.35693430657</v>
      </c>
      <c r="E192" s="268" t="n">
        <f aca="false">Steuern!E49</f>
        <v>4885.35693430657</v>
      </c>
      <c r="F192" s="268" t="n">
        <f aca="false">Steuern!F49</f>
        <v>4885.35693430657</v>
      </c>
      <c r="G192" s="268" t="n">
        <f aca="false">Steuern!G49</f>
        <v>4885.35693430657</v>
      </c>
      <c r="H192" s="268" t="n">
        <f aca="false">Steuern!H49</f>
        <v>4885.35693430657</v>
      </c>
      <c r="I192" s="268" t="n">
        <f aca="false">Steuern!I49</f>
        <v>4885.35693430657</v>
      </c>
      <c r="J192" s="268" t="n">
        <f aca="false">Steuern!J49</f>
        <v>4885.35693430657</v>
      </c>
      <c r="K192" s="268" t="n">
        <f aca="false">Steuern!K49</f>
        <v>4885.35693430657</v>
      </c>
      <c r="L192" s="268" t="n">
        <f aca="false">Steuern!L49</f>
        <v>4885.35693430657</v>
      </c>
      <c r="M192" s="268" t="n">
        <f aca="false">Steuern!M49</f>
        <v>4885.35693430657</v>
      </c>
      <c r="N192" s="268" t="n">
        <f aca="false">Steuern!N49</f>
        <v>4885.35693430657</v>
      </c>
      <c r="O192" s="268" t="n">
        <f aca="false">Steuern!O49</f>
        <v>4885.35693430657</v>
      </c>
      <c r="P192" s="268" t="n">
        <f aca="false">Steuern!P49</f>
        <v>4885.35693430657</v>
      </c>
      <c r="Q192" s="268" t="n">
        <f aca="false">Steuern!Q49</f>
        <v>4885.35693430657</v>
      </c>
      <c r="R192" s="268" t="n">
        <f aca="false">Steuern!R49</f>
        <v>4885.35693430657</v>
      </c>
      <c r="S192" s="268" t="n">
        <f aca="false">Steuern!S49</f>
        <v>4885.35693430657</v>
      </c>
      <c r="T192" s="268" t="n">
        <f aca="false">Steuern!T49</f>
        <v>4885.35693430657</v>
      </c>
      <c r="U192" s="268" t="n">
        <f aca="false">Steuern!U49</f>
        <v>4885.35693430657</v>
      </c>
      <c r="V192" s="268" t="n">
        <f aca="false">Steuern!V49</f>
        <v>4885.35693430657</v>
      </c>
      <c r="W192" s="268" t="n">
        <f aca="false">Steuern!W49</f>
        <v>4885.35693430657</v>
      </c>
      <c r="X192" s="268" t="n">
        <f aca="false">Steuern!X49</f>
        <v>4885.35693430657</v>
      </c>
      <c r="Y192" s="268" t="n">
        <f aca="false">Steuern!Y49</f>
        <v>4885.35693430657</v>
      </c>
      <c r="Z192" s="268" t="n">
        <f aca="false">Steuern!Z49</f>
        <v>4885.35693430657</v>
      </c>
      <c r="AA192" s="268" t="n">
        <f aca="false">Steuern!AA49</f>
        <v>4885.35693430657</v>
      </c>
      <c r="AB192" s="268" t="n">
        <f aca="false">Steuern!AB49</f>
        <v>4885.35693430657</v>
      </c>
      <c r="AC192" s="268" t="n">
        <f aca="false">Steuern!AC49</f>
        <v>4885.35693430657</v>
      </c>
      <c r="AD192" s="268" t="n">
        <f aca="false">Steuern!AD49</f>
        <v>4885.35693430657</v>
      </c>
      <c r="AE192" s="268" t="n">
        <f aca="false">Steuern!AE49</f>
        <v>4885.35693430657</v>
      </c>
      <c r="AF192" s="268" t="n">
        <f aca="false">Steuern!AF49</f>
        <v>4885.35693430657</v>
      </c>
      <c r="AG192" s="268" t="n">
        <f aca="false">Steuern!AG49</f>
        <v>4885.35693430657</v>
      </c>
      <c r="AH192" s="268" t="n">
        <f aca="false">Steuern!AH49</f>
        <v>4885.35693430657</v>
      </c>
      <c r="AI192" s="268" t="n">
        <f aca="false">Steuern!AI49</f>
        <v>4885.35693430657</v>
      </c>
      <c r="AJ192" s="268" t="n">
        <f aca="false">Steuern!AJ49</f>
        <v>4885.35693430657</v>
      </c>
      <c r="AK192" s="268" t="n">
        <f aca="false">Steuern!AK49</f>
        <v>4885.35693430657</v>
      </c>
      <c r="AL192" s="268" t="n">
        <f aca="false">Steuern!AL49</f>
        <v>4885.35693430657</v>
      </c>
      <c r="AM192" s="268" t="n">
        <f aca="false">Steuern!AM49</f>
        <v>4885.35693430657</v>
      </c>
      <c r="AN192" s="268" t="n">
        <f aca="false">Steuern!AN49</f>
        <v>4885.35693430657</v>
      </c>
      <c r="AO192" s="268" t="n">
        <f aca="false">Steuern!AO49</f>
        <v>4885.35693430657</v>
      </c>
      <c r="AP192" s="268" t="n">
        <f aca="false">Steuern!AP49</f>
        <v>4885.35693430657</v>
      </c>
      <c r="AQ192" s="268" t="n">
        <f aca="false">Steuern!AQ49</f>
        <v>4885.35693430657</v>
      </c>
    </row>
    <row r="193" customFormat="false" ht="18" hidden="true" customHeight="true" outlineLevel="1" collapsed="false">
      <c r="B193" s="62" t="s">
        <v>762</v>
      </c>
      <c r="C193" s="70" t="s">
        <v>753</v>
      </c>
      <c r="D193" s="268" t="n">
        <f aca="false">Steuern!D50</f>
        <v>0</v>
      </c>
      <c r="E193" s="268" t="n">
        <f aca="false">Steuern!E50</f>
        <v>0</v>
      </c>
      <c r="F193" s="268" t="n">
        <f aca="false">Steuern!F50</f>
        <v>0</v>
      </c>
      <c r="G193" s="268" t="n">
        <f aca="false">Steuern!G50</f>
        <v>0</v>
      </c>
      <c r="H193" s="268" t="n">
        <f aca="false">Steuern!H50</f>
        <v>0</v>
      </c>
      <c r="I193" s="268" t="n">
        <f aca="false">Steuern!I50</f>
        <v>0</v>
      </c>
      <c r="J193" s="268" t="n">
        <f aca="false">Steuern!J50</f>
        <v>0</v>
      </c>
      <c r="K193" s="268" t="n">
        <f aca="false">Steuern!K50</f>
        <v>0</v>
      </c>
      <c r="L193" s="268" t="n">
        <f aca="false">Steuern!L50</f>
        <v>0</v>
      </c>
      <c r="M193" s="268" t="n">
        <f aca="false">Steuern!M50</f>
        <v>0</v>
      </c>
      <c r="N193" s="268" t="n">
        <f aca="false">Steuern!N50</f>
        <v>0</v>
      </c>
      <c r="O193" s="268" t="n">
        <f aca="false">Steuern!O50</f>
        <v>0</v>
      </c>
      <c r="P193" s="268" t="n">
        <f aca="false">Steuern!P50</f>
        <v>0</v>
      </c>
      <c r="Q193" s="268" t="n">
        <f aca="false">Steuern!Q50</f>
        <v>0</v>
      </c>
      <c r="R193" s="268" t="n">
        <f aca="false">Steuern!R50</f>
        <v>0</v>
      </c>
      <c r="S193" s="268" t="n">
        <f aca="false">Steuern!S50</f>
        <v>0</v>
      </c>
      <c r="T193" s="268" t="n">
        <f aca="false">Steuern!T50</f>
        <v>0</v>
      </c>
      <c r="U193" s="268" t="n">
        <f aca="false">Steuern!U50</f>
        <v>0</v>
      </c>
      <c r="V193" s="268" t="n">
        <f aca="false">Steuern!V50</f>
        <v>0</v>
      </c>
      <c r="W193" s="268" t="n">
        <f aca="false">Steuern!W50</f>
        <v>0</v>
      </c>
      <c r="X193" s="268" t="n">
        <f aca="false">Steuern!X50</f>
        <v>0</v>
      </c>
      <c r="Y193" s="268" t="n">
        <f aca="false">Steuern!Y50</f>
        <v>0</v>
      </c>
      <c r="Z193" s="268" t="n">
        <f aca="false">Steuern!Z50</f>
        <v>0</v>
      </c>
      <c r="AA193" s="268" t="n">
        <f aca="false">Steuern!AA50</f>
        <v>0</v>
      </c>
      <c r="AB193" s="268" t="n">
        <f aca="false">Steuern!AB50</f>
        <v>0</v>
      </c>
      <c r="AC193" s="268" t="n">
        <f aca="false">Steuern!AC50</f>
        <v>0</v>
      </c>
      <c r="AD193" s="268" t="n">
        <f aca="false">Steuern!AD50</f>
        <v>0</v>
      </c>
      <c r="AE193" s="268" t="n">
        <f aca="false">Steuern!AE50</f>
        <v>0</v>
      </c>
      <c r="AF193" s="268" t="n">
        <f aca="false">Steuern!AF50</f>
        <v>0</v>
      </c>
      <c r="AG193" s="268" t="n">
        <f aca="false">Steuern!AG50</f>
        <v>0</v>
      </c>
      <c r="AH193" s="268" t="n">
        <f aca="false">Steuern!AH50</f>
        <v>0</v>
      </c>
      <c r="AI193" s="268" t="n">
        <f aca="false">Steuern!AI50</f>
        <v>0</v>
      </c>
      <c r="AJ193" s="268" t="n">
        <f aca="false">Steuern!AJ50</f>
        <v>0</v>
      </c>
      <c r="AK193" s="268" t="n">
        <f aca="false">Steuern!AK50</f>
        <v>0</v>
      </c>
      <c r="AL193" s="268" t="n">
        <f aca="false">Steuern!AL50</f>
        <v>0</v>
      </c>
      <c r="AM193" s="268" t="n">
        <f aca="false">Steuern!AM50</f>
        <v>0</v>
      </c>
      <c r="AN193" s="268" t="n">
        <f aca="false">Steuern!AN50</f>
        <v>0</v>
      </c>
      <c r="AO193" s="268" t="n">
        <f aca="false">Steuern!AO50</f>
        <v>0</v>
      </c>
      <c r="AP193" s="268" t="n">
        <f aca="false">Steuern!AP50</f>
        <v>0</v>
      </c>
      <c r="AQ193" s="268" t="n">
        <f aca="false">Steuern!AQ50</f>
        <v>0</v>
      </c>
    </row>
    <row r="194" customFormat="false" ht="18" hidden="true" customHeight="true" outlineLevel="1" collapsed="false">
      <c r="B194" s="62" t="s">
        <v>763</v>
      </c>
      <c r="C194" s="70" t="s">
        <v>753</v>
      </c>
      <c r="D194" s="268" t="n">
        <f aca="false">Steuern!D54</f>
        <v>0</v>
      </c>
      <c r="E194" s="268" t="n">
        <f aca="false">Steuern!E54</f>
        <v>0</v>
      </c>
      <c r="F194" s="268" t="n">
        <f aca="false">Steuern!F54</f>
        <v>0</v>
      </c>
      <c r="G194" s="268" t="n">
        <f aca="false">Steuern!G54</f>
        <v>0</v>
      </c>
      <c r="H194" s="268" t="n">
        <f aca="false">Steuern!H54</f>
        <v>0</v>
      </c>
      <c r="I194" s="268" t="n">
        <f aca="false">Steuern!I54</f>
        <v>0</v>
      </c>
      <c r="J194" s="268" t="n">
        <f aca="false">Steuern!J54</f>
        <v>0</v>
      </c>
      <c r="K194" s="268" t="n">
        <f aca="false">Steuern!K54</f>
        <v>0</v>
      </c>
      <c r="L194" s="268" t="n">
        <f aca="false">Steuern!L54</f>
        <v>0</v>
      </c>
      <c r="M194" s="268" t="n">
        <f aca="false">Steuern!M54</f>
        <v>0</v>
      </c>
      <c r="N194" s="268" t="n">
        <f aca="false">Steuern!N54</f>
        <v>0</v>
      </c>
      <c r="O194" s="268" t="n">
        <f aca="false">Steuern!O54</f>
        <v>0</v>
      </c>
      <c r="P194" s="268" t="n">
        <f aca="false">Steuern!P54</f>
        <v>0</v>
      </c>
      <c r="Q194" s="268" t="n">
        <f aca="false">Steuern!Q54</f>
        <v>0</v>
      </c>
      <c r="R194" s="268" t="n">
        <f aca="false">Steuern!R54</f>
        <v>0</v>
      </c>
      <c r="S194" s="268" t="n">
        <f aca="false">Steuern!S54</f>
        <v>0</v>
      </c>
      <c r="T194" s="268" t="n">
        <f aca="false">Steuern!T54</f>
        <v>0</v>
      </c>
      <c r="U194" s="268" t="n">
        <f aca="false">Steuern!U54</f>
        <v>0</v>
      </c>
      <c r="V194" s="268" t="n">
        <f aca="false">Steuern!V54</f>
        <v>0</v>
      </c>
      <c r="W194" s="268" t="n">
        <f aca="false">Steuern!W54</f>
        <v>0</v>
      </c>
      <c r="X194" s="268" t="n">
        <f aca="false">Steuern!X54</f>
        <v>0</v>
      </c>
      <c r="Y194" s="268" t="n">
        <f aca="false">Steuern!Y54</f>
        <v>0</v>
      </c>
      <c r="Z194" s="268" t="n">
        <f aca="false">Steuern!Z54</f>
        <v>0</v>
      </c>
      <c r="AA194" s="268" t="n">
        <f aca="false">Steuern!AA54</f>
        <v>0</v>
      </c>
      <c r="AB194" s="268" t="n">
        <f aca="false">Steuern!AB54</f>
        <v>0</v>
      </c>
      <c r="AC194" s="268" t="n">
        <f aca="false">Steuern!AC54</f>
        <v>0</v>
      </c>
      <c r="AD194" s="268" t="n">
        <f aca="false">Steuern!AD54</f>
        <v>0</v>
      </c>
      <c r="AE194" s="268" t="n">
        <f aca="false">Steuern!AE54</f>
        <v>0</v>
      </c>
      <c r="AF194" s="268" t="n">
        <f aca="false">Steuern!AF54</f>
        <v>0</v>
      </c>
      <c r="AG194" s="268" t="n">
        <f aca="false">Steuern!AG54</f>
        <v>0</v>
      </c>
      <c r="AH194" s="268" t="n">
        <f aca="false">Steuern!AH54</f>
        <v>0</v>
      </c>
      <c r="AI194" s="268" t="n">
        <f aca="false">Steuern!AI54</f>
        <v>0</v>
      </c>
      <c r="AJ194" s="268" t="n">
        <f aca="false">Steuern!AJ54</f>
        <v>0</v>
      </c>
      <c r="AK194" s="268" t="n">
        <f aca="false">Steuern!AK54</f>
        <v>0</v>
      </c>
      <c r="AL194" s="268" t="n">
        <f aca="false">Steuern!AL54</f>
        <v>0</v>
      </c>
      <c r="AM194" s="268" t="n">
        <f aca="false">Steuern!AM54</f>
        <v>0</v>
      </c>
      <c r="AN194" s="268" t="n">
        <f aca="false">Steuern!AN54</f>
        <v>0</v>
      </c>
      <c r="AO194" s="268" t="n">
        <f aca="false">Steuern!AO54</f>
        <v>0</v>
      </c>
      <c r="AP194" s="268" t="n">
        <f aca="false">Steuern!AP54</f>
        <v>0</v>
      </c>
      <c r="AQ194" s="268" t="n">
        <f aca="false">Steuern!AQ54</f>
        <v>0</v>
      </c>
    </row>
    <row r="195" customFormat="false" ht="18" hidden="true" customHeight="true" outlineLevel="1" collapsed="false">
      <c r="B195" s="62" t="s">
        <v>764</v>
      </c>
      <c r="C195" s="70" t="s">
        <v>753</v>
      </c>
      <c r="D195" s="268" t="n">
        <f aca="false">Steuern!D55</f>
        <v>800</v>
      </c>
      <c r="E195" s="268" t="n">
        <f aca="false">Steuern!E55</f>
        <v>800</v>
      </c>
      <c r="F195" s="268" t="n">
        <f aca="false">Steuern!F55</f>
        <v>800</v>
      </c>
      <c r="G195" s="268" t="n">
        <f aca="false">Steuern!G55</f>
        <v>800</v>
      </c>
      <c r="H195" s="268" t="n">
        <f aca="false">Steuern!H55</f>
        <v>800</v>
      </c>
      <c r="I195" s="268" t="n">
        <f aca="false">Steuern!I55</f>
        <v>800</v>
      </c>
      <c r="J195" s="268" t="n">
        <f aca="false">Steuern!J55</f>
        <v>800</v>
      </c>
      <c r="K195" s="268" t="n">
        <f aca="false">Steuern!K55</f>
        <v>800</v>
      </c>
      <c r="L195" s="268" t="n">
        <f aca="false">Steuern!L55</f>
        <v>800</v>
      </c>
      <c r="M195" s="268" t="n">
        <f aca="false">Steuern!M55</f>
        <v>800</v>
      </c>
      <c r="N195" s="268" t="n">
        <f aca="false">Steuern!N55</f>
        <v>0</v>
      </c>
      <c r="O195" s="268" t="n">
        <f aca="false">Steuern!O55</f>
        <v>0</v>
      </c>
      <c r="P195" s="268" t="n">
        <f aca="false">Steuern!P55</f>
        <v>0</v>
      </c>
      <c r="Q195" s="268" t="n">
        <f aca="false">Steuern!Q55</f>
        <v>0</v>
      </c>
      <c r="R195" s="268" t="n">
        <f aca="false">Steuern!R55</f>
        <v>0</v>
      </c>
      <c r="S195" s="268" t="n">
        <f aca="false">Steuern!S55</f>
        <v>0</v>
      </c>
      <c r="T195" s="268" t="n">
        <f aca="false">Steuern!T55</f>
        <v>0</v>
      </c>
      <c r="U195" s="268" t="n">
        <f aca="false">Steuern!U55</f>
        <v>0</v>
      </c>
      <c r="V195" s="268" t="n">
        <f aca="false">Steuern!V55</f>
        <v>0</v>
      </c>
      <c r="W195" s="268" t="n">
        <f aca="false">Steuern!W55</f>
        <v>0</v>
      </c>
      <c r="X195" s="268" t="n">
        <f aca="false">Steuern!X55</f>
        <v>0</v>
      </c>
      <c r="Y195" s="268" t="n">
        <f aca="false">Steuern!Y55</f>
        <v>0</v>
      </c>
      <c r="Z195" s="268" t="n">
        <f aca="false">Steuern!Z55</f>
        <v>0</v>
      </c>
      <c r="AA195" s="268" t="n">
        <f aca="false">Steuern!AA55</f>
        <v>0</v>
      </c>
      <c r="AB195" s="268" t="n">
        <f aca="false">Steuern!AB55</f>
        <v>0</v>
      </c>
      <c r="AC195" s="268" t="n">
        <f aca="false">Steuern!AC55</f>
        <v>0</v>
      </c>
      <c r="AD195" s="268" t="n">
        <f aca="false">Steuern!AD55</f>
        <v>0</v>
      </c>
      <c r="AE195" s="268" t="n">
        <f aca="false">Steuern!AE55</f>
        <v>0</v>
      </c>
      <c r="AF195" s="268" t="n">
        <f aca="false">Steuern!AF55</f>
        <v>0</v>
      </c>
      <c r="AG195" s="268" t="n">
        <f aca="false">Steuern!AG55</f>
        <v>0</v>
      </c>
      <c r="AH195" s="268" t="n">
        <f aca="false">Steuern!AH55</f>
        <v>0</v>
      </c>
      <c r="AI195" s="268" t="n">
        <f aca="false">Steuern!AI55</f>
        <v>0</v>
      </c>
      <c r="AJ195" s="268" t="n">
        <f aca="false">Steuern!AJ55</f>
        <v>0</v>
      </c>
      <c r="AK195" s="268" t="n">
        <f aca="false">Steuern!AK55</f>
        <v>0</v>
      </c>
      <c r="AL195" s="268" t="n">
        <f aca="false">Steuern!AL55</f>
        <v>0</v>
      </c>
      <c r="AM195" s="268" t="n">
        <f aca="false">Steuern!AM55</f>
        <v>0</v>
      </c>
      <c r="AN195" s="268" t="n">
        <f aca="false">Steuern!AN55</f>
        <v>0</v>
      </c>
      <c r="AO195" s="268" t="n">
        <f aca="false">Steuern!AO55</f>
        <v>0</v>
      </c>
      <c r="AP195" s="268" t="n">
        <f aca="false">Steuern!AP55</f>
        <v>0</v>
      </c>
      <c r="AQ195" s="268" t="n">
        <f aca="false">Steuern!AQ55</f>
        <v>0</v>
      </c>
    </row>
    <row r="196" customFormat="false" ht="18" hidden="true" customHeight="true" outlineLevel="1" collapsed="false">
      <c r="B196" s="62" t="s">
        <v>559</v>
      </c>
      <c r="C196" s="70" t="s">
        <v>753</v>
      </c>
      <c r="D196" s="268" t="n">
        <f aca="false">Steuern!D67</f>
        <v>-18397.3569343066</v>
      </c>
      <c r="E196" s="268" t="n">
        <f aca="false">Steuern!E67</f>
        <v>-4266.59693430657</v>
      </c>
      <c r="F196" s="268" t="n">
        <f aca="false">Steuern!F67</f>
        <v>-3875.34173430657</v>
      </c>
      <c r="G196" s="268" t="n">
        <f aca="false">Steuern!G67</f>
        <v>-3473.27775030657</v>
      </c>
      <c r="H196" s="268" t="n">
        <f aca="false">Steuern!H67</f>
        <v>-3060.08139414657</v>
      </c>
      <c r="I196" s="268" t="n">
        <f aca="false">Steuern!I67</f>
        <v>-2635.41873905409</v>
      </c>
      <c r="J196" s="268" t="n">
        <f aca="false">Steuern!J67</f>
        <v>-2198.94517366534</v>
      </c>
      <c r="K196" s="268" t="n">
        <f aca="false">Steuern!K67</f>
        <v>-1750.30504411541</v>
      </c>
      <c r="L196" s="268" t="n">
        <f aca="false">Steuern!L67</f>
        <v>-1289.13128377835</v>
      </c>
      <c r="M196" s="268" t="n">
        <f aca="false">Steuern!M67</f>
        <v>-815.045030223342</v>
      </c>
      <c r="N196" s="268" t="n">
        <f aca="false">Steuern!N67</f>
        <v>-1247.29629957225</v>
      </c>
      <c r="O196" s="268" t="n">
        <f aca="false">Steuern!O67</f>
        <v>-759.490220706892</v>
      </c>
      <c r="P196" s="268" t="n">
        <f aca="false">Steuern!P67</f>
        <v>-255.851001286543</v>
      </c>
      <c r="Q196" s="268" t="n">
        <f aca="false">Steuern!Q67</f>
        <v>264.211487353889</v>
      </c>
      <c r="R196" s="268" t="n">
        <f aca="false">Steuern!R67</f>
        <v>801.311482416226</v>
      </c>
      <c r="S196" s="268" t="n">
        <f aca="false">Steuern!S67</f>
        <v>1356.08836557813</v>
      </c>
      <c r="T196" s="268" t="n">
        <f aca="false">Steuern!T67</f>
        <v>1929.2077445705</v>
      </c>
      <c r="U196" s="268" t="n">
        <f aca="false">Steuern!U67</f>
        <v>2521.36258242748</v>
      </c>
      <c r="V196" s="268" t="n">
        <f aca="false">Steuern!V67</f>
        <v>3133.27437653417</v>
      </c>
      <c r="W196" s="268" t="n">
        <f aca="false">Steuern!W67</f>
        <v>3765.69438969274</v>
      </c>
      <c r="X196" s="268" t="n">
        <f aca="false">Steuern!X67</f>
        <v>4419.40493552686</v>
      </c>
      <c r="Y196" s="268" t="n">
        <f aca="false">Steuern!Y67</f>
        <v>5095.22072064859</v>
      </c>
      <c r="Z196" s="268" t="n">
        <f aca="false">Steuern!Z67</f>
        <v>5793.99024612039</v>
      </c>
      <c r="AA196" s="268" t="n">
        <f aca="false">Steuern!AA67</f>
        <v>6516.5972708584</v>
      </c>
      <c r="AB196" s="268" t="n">
        <f aca="false">Steuern!AB67</f>
        <v>7263.96233974199</v>
      </c>
      <c r="AC196" s="268" t="n">
        <f aca="false">Steuern!AC67</f>
        <v>8037.04437931837</v>
      </c>
      <c r="AD196" s="268" t="n">
        <f aca="false">Steuern!AD67</f>
        <v>8836.84236412056</v>
      </c>
      <c r="AE196" s="268" t="n">
        <f aca="false">Steuern!AE67</f>
        <v>9664.39705675264</v>
      </c>
      <c r="AF196" s="268" t="n">
        <f aca="false">Steuern!AF67</f>
        <v>10520.7928250372</v>
      </c>
      <c r="AG196" s="268" t="n">
        <f aca="false">Steuern!AG67</f>
        <v>11407.1595396683</v>
      </c>
      <c r="AH196" s="268" t="n">
        <f aca="false">Steuern!AH67</f>
        <v>12324.6745559671</v>
      </c>
      <c r="AI196" s="268" t="n">
        <f aca="false">Steuern!AI67</f>
        <v>13274.5647834987</v>
      </c>
      <c r="AJ196" s="268" t="n">
        <f aca="false">Steuern!AJ67</f>
        <v>14031.6615292046</v>
      </c>
      <c r="AK196" s="268" t="n">
        <f aca="false">Steuern!AK67</f>
        <v>14410.0018984748</v>
      </c>
      <c r="AL196" s="268" t="n">
        <f aca="false">Steuern!AL67</f>
        <v>14795.9090751304</v>
      </c>
      <c r="AM196" s="268" t="n">
        <f aca="false">Steuern!AM67</f>
        <v>15189.5343953192</v>
      </c>
      <c r="AN196" s="268" t="n">
        <f aca="false">Steuern!AN67</f>
        <v>15591.0322219117</v>
      </c>
      <c r="AO196" s="268" t="n">
        <f aca="false">Steuern!AO67</f>
        <v>16000.5600050361</v>
      </c>
      <c r="AP196" s="268" t="n">
        <f aca="false">Steuern!AP67</f>
        <v>16418.2783438229</v>
      </c>
      <c r="AQ196" s="268" t="n">
        <f aca="false">Steuern!AQ67</f>
        <v>16844.3510493855</v>
      </c>
    </row>
    <row r="197" customFormat="false" ht="18" hidden="true" customHeight="true" outlineLevel="1" collapsed="false">
      <c r="B197" s="62" t="s">
        <v>599</v>
      </c>
      <c r="C197" s="70" t="s">
        <v>753</v>
      </c>
      <c r="D197" s="268" t="n">
        <f aca="false">Steuern!D73</f>
        <v>-8510.39654952701</v>
      </c>
      <c r="E197" s="268" t="n">
        <f aca="false">Steuern!E73</f>
        <v>-1973.67654264701</v>
      </c>
      <c r="F197" s="268" t="n">
        <f aca="false">Steuern!F73</f>
        <v>-1792.68658218941</v>
      </c>
      <c r="G197" s="268" t="n">
        <f aca="false">Steuern!G73</f>
        <v>-1606.69660795881</v>
      </c>
      <c r="H197" s="268" t="n">
        <f aca="false">Steuern!H73</f>
        <v>-1415.55693195547</v>
      </c>
      <c r="I197" s="268" t="n">
        <f aca="false">Steuern!I73</f>
        <v>-1219.11308366155</v>
      </c>
      <c r="J197" s="268" t="n">
        <f aca="false">Steuern!J73</f>
        <v>-1017.2056499955</v>
      </c>
      <c r="K197" s="268" t="n">
        <f aca="false">Steuern!K73</f>
        <v>-809.670109747261</v>
      </c>
      <c r="L197" s="268" t="n">
        <f aca="false">Steuern!L73</f>
        <v>-596.336662300458</v>
      </c>
      <c r="M197" s="268" t="n">
        <f aca="false">Steuern!M73</f>
        <v>-377.030050440955</v>
      </c>
      <c r="N197" s="268" t="n">
        <f aca="false">Steuern!N73</f>
        <v>-576.984300626527</v>
      </c>
      <c r="O197" s="268" t="n">
        <f aca="false">Steuern!O73</f>
        <v>-351.33106221636</v>
      </c>
      <c r="P197" s="268" t="n">
        <f aca="false">Steuern!P73</f>
        <v>-118.353602983139</v>
      </c>
      <c r="Q197" s="268" t="n">
        <f aca="false">Steuern!Q73</f>
        <v>122.221063512061</v>
      </c>
      <c r="R197" s="268" t="n">
        <f aca="false">Steuern!R73</f>
        <v>370.677076027957</v>
      </c>
      <c r="S197" s="268" t="n">
        <f aca="false">Steuern!S73</f>
        <v>627.310204856056</v>
      </c>
      <c r="T197" s="268" t="n">
        <f aca="false">Steuern!T73</f>
        <v>892.428352145378</v>
      </c>
      <c r="U197" s="268" t="n">
        <f aca="false">Steuern!U73</f>
        <v>1166.35207427996</v>
      </c>
      <c r="V197" s="268" t="n">
        <f aca="false">Steuern!V73</f>
        <v>1449.41512729219</v>
      </c>
      <c r="W197" s="268" t="n">
        <f aca="false">Steuern!W73</f>
        <v>1741.96503633918</v>
      </c>
      <c r="X197" s="268" t="n">
        <f aca="false">Steuern!X73</f>
        <v>2044.3636903155</v>
      </c>
      <c r="Y197" s="268" t="n">
        <f aca="false">Steuern!Y73</f>
        <v>2356.98796272339</v>
      </c>
      <c r="Z197" s="268" t="n">
        <f aca="false">Steuern!Z73</f>
        <v>2680.23035997234</v>
      </c>
      <c r="AA197" s="268" t="n">
        <f aca="false">Steuern!AA73</f>
        <v>3014.49969833184</v>
      </c>
      <c r="AB197" s="268" t="n">
        <f aca="false">Steuern!AB73</f>
        <v>3360.22181081657</v>
      </c>
      <c r="AC197" s="268" t="n">
        <f aca="false">Steuern!AC73</f>
        <v>3717.84028534012</v>
      </c>
      <c r="AD197" s="268" t="n">
        <f aca="false">Steuern!AD73</f>
        <v>4087.8172355338</v>
      </c>
      <c r="AE197" s="268" t="n">
        <f aca="false">Steuern!AE73</f>
        <v>4470.63410568909</v>
      </c>
      <c r="AF197" s="268" t="n">
        <f aca="false">Steuern!AF73</f>
        <v>4866.79251134832</v>
      </c>
      <c r="AG197" s="268" t="n">
        <f aca="false">Steuern!AG73</f>
        <v>5276.8151171361</v>
      </c>
      <c r="AH197" s="268" t="n">
        <f aca="false">Steuern!AH73</f>
        <v>5701.2465534957</v>
      </c>
      <c r="AI197" s="268" t="n">
        <f aca="false">Steuern!AI73</f>
        <v>6140.65437406908</v>
      </c>
      <c r="AJ197" s="268" t="n">
        <f aca="false">Steuern!AJ73</f>
        <v>6490.87824347169</v>
      </c>
      <c r="AK197" s="268" t="n">
        <f aca="false">Steuern!AK73</f>
        <v>6665.89395821166</v>
      </c>
      <c r="AL197" s="268" t="n">
        <f aca="false">Steuern!AL73</f>
        <v>6844.40998724643</v>
      </c>
      <c r="AM197" s="268" t="n">
        <f aca="false">Steuern!AM73</f>
        <v>7026.4963368619</v>
      </c>
      <c r="AN197" s="268" t="n">
        <f aca="false">Steuern!AN73</f>
        <v>7212.22441346968</v>
      </c>
      <c r="AO197" s="268" t="n">
        <f aca="false">Steuern!AO73</f>
        <v>7401.66705160962</v>
      </c>
      <c r="AP197" s="268" t="n">
        <f aca="false">Steuern!AP73</f>
        <v>7594.89854251235</v>
      </c>
      <c r="AQ197" s="268" t="n">
        <f aca="false">Steuern!AQ73</f>
        <v>7791.99466323314</v>
      </c>
    </row>
    <row r="198" customFormat="false" ht="18" hidden="true" customHeight="true" outlineLevel="1" collapsed="false">
      <c r="B198" s="62" t="s">
        <v>383</v>
      </c>
      <c r="C198" s="70" t="s">
        <v>753</v>
      </c>
      <c r="D198" s="268" t="n">
        <f aca="false">Projektion!D15</f>
        <v>11058</v>
      </c>
      <c r="E198" s="268" t="n">
        <f aca="false">Projektion!E15</f>
        <v>11279.16</v>
      </c>
      <c r="F198" s="268" t="n">
        <f aca="false">Projektion!F15</f>
        <v>11504.7432</v>
      </c>
      <c r="G198" s="268" t="n">
        <f aca="false">Projektion!G15</f>
        <v>11734.838064</v>
      </c>
      <c r="H198" s="268" t="n">
        <f aca="false">Projektion!H15</f>
        <v>11969.53482528</v>
      </c>
      <c r="I198" s="268" t="n">
        <f aca="false">Projektion!I15</f>
        <v>12208.9255217856</v>
      </c>
      <c r="J198" s="268" t="n">
        <f aca="false">Projektion!J15</f>
        <v>12453.1040322213</v>
      </c>
      <c r="K198" s="268" t="n">
        <f aca="false">Projektion!K15</f>
        <v>12702.1661128657</v>
      </c>
      <c r="L198" s="268" t="n">
        <f aca="false">Projektion!L15</f>
        <v>12956.2094351231</v>
      </c>
      <c r="M198" s="268" t="n">
        <f aca="false">Projektion!M15</f>
        <v>13215.3336238255</v>
      </c>
      <c r="N198" s="268" t="n">
        <f aca="false">Projektion!N15</f>
        <v>13479.640296302</v>
      </c>
      <c r="O198" s="268" t="n">
        <f aca="false">Projektion!O15</f>
        <v>13749.2331022281</v>
      </c>
      <c r="P198" s="268" t="n">
        <f aca="false">Projektion!P15</f>
        <v>14024.2177642726</v>
      </c>
      <c r="Q198" s="268" t="n">
        <f aca="false">Projektion!Q15</f>
        <v>14304.7021195581</v>
      </c>
      <c r="R198" s="268" t="n">
        <f aca="false">Projektion!R15</f>
        <v>14590.7961619492</v>
      </c>
      <c r="S198" s="268" t="n">
        <f aca="false">Projektion!S15</f>
        <v>14882.6120851882</v>
      </c>
      <c r="T198" s="268" t="n">
        <f aca="false">Projektion!T15</f>
        <v>15180.264326892</v>
      </c>
      <c r="U198" s="268" t="n">
        <f aca="false">Projektion!U15</f>
        <v>15483.8696134298</v>
      </c>
      <c r="V198" s="268" t="n">
        <f aca="false">Projektion!V15</f>
        <v>15793.5470056984</v>
      </c>
      <c r="W198" s="268" t="n">
        <f aca="false">Projektion!W15</f>
        <v>16109.4179458124</v>
      </c>
      <c r="X198" s="268" t="n">
        <f aca="false">Projektion!X15</f>
        <v>16431.6063047286</v>
      </c>
      <c r="Y198" s="268" t="n">
        <f aca="false">Projektion!Y15</f>
        <v>16760.2384308232</v>
      </c>
      <c r="Z198" s="268" t="n">
        <f aca="false">Projektion!Z15</f>
        <v>17095.4431994397</v>
      </c>
      <c r="AA198" s="268" t="n">
        <f aca="false">Projektion!AA15</f>
        <v>17437.3520634285</v>
      </c>
      <c r="AB198" s="268" t="n">
        <f aca="false">Projektion!AB15</f>
        <v>17786.0991046971</v>
      </c>
      <c r="AC198" s="268" t="n">
        <f aca="false">Projektion!AC15</f>
        <v>18141.821086791</v>
      </c>
      <c r="AD198" s="268" t="n">
        <f aca="false">Projektion!AD15</f>
        <v>18504.6575085268</v>
      </c>
      <c r="AE198" s="268" t="n">
        <f aca="false">Projektion!AE15</f>
        <v>18874.7506586973</v>
      </c>
      <c r="AF198" s="268" t="n">
        <f aca="false">Projektion!AF15</f>
        <v>19252.2456718713</v>
      </c>
      <c r="AG198" s="268" t="n">
        <f aca="false">Projektion!AG15</f>
        <v>19637.2905853087</v>
      </c>
      <c r="AH198" s="268" t="n">
        <f aca="false">Projektion!AH15</f>
        <v>20030.0363970149</v>
      </c>
      <c r="AI198" s="268" t="n">
        <f aca="false">Projektion!AI15</f>
        <v>20430.6371249552</v>
      </c>
      <c r="AJ198" s="268" t="n">
        <f aca="false">Projektion!AJ15</f>
        <v>20839.2498674543</v>
      </c>
      <c r="AK198" s="268" t="n">
        <f aca="false">Projektion!AK15</f>
        <v>21256.0348648034</v>
      </c>
      <c r="AL198" s="268" t="n">
        <f aca="false">Projektion!AL15</f>
        <v>21681.1555620995</v>
      </c>
      <c r="AM198" s="268" t="n">
        <f aca="false">Projektion!AM15</f>
        <v>22114.7786733414</v>
      </c>
      <c r="AN198" s="268" t="n">
        <f aca="false">Projektion!AN15</f>
        <v>22557.0742468083</v>
      </c>
      <c r="AO198" s="268" t="n">
        <f aca="false">Projektion!AO15</f>
        <v>23008.2157317444</v>
      </c>
      <c r="AP198" s="268" t="n">
        <f aca="false">Projektion!AP15</f>
        <v>23468.3800463793</v>
      </c>
      <c r="AQ198" s="268" t="n">
        <f aca="false">Projektion!AQ15</f>
        <v>23937.7476473069</v>
      </c>
    </row>
    <row r="199" customFormat="false" ht="18" hidden="true" customHeight="true" outlineLevel="1" collapsed="false">
      <c r="B199" s="62" t="s">
        <v>549</v>
      </c>
      <c r="C199" s="70" t="s">
        <v>753</v>
      </c>
      <c r="D199" s="268" t="n">
        <f aca="false">Projektion!D26</f>
        <v>2490</v>
      </c>
      <c r="E199" s="268" t="n">
        <f aca="false">Projektion!E26</f>
        <v>2539.8</v>
      </c>
      <c r="F199" s="268" t="n">
        <f aca="false">Projektion!F26</f>
        <v>2590.596</v>
      </c>
      <c r="G199" s="268" t="n">
        <f aca="false">Projektion!G26</f>
        <v>2642.40792</v>
      </c>
      <c r="H199" s="268" t="n">
        <f aca="false">Projektion!H26</f>
        <v>2695.2560784</v>
      </c>
      <c r="I199" s="268" t="n">
        <f aca="false">Projektion!I26</f>
        <v>2749.161199968</v>
      </c>
      <c r="J199" s="268" t="n">
        <f aca="false">Projektion!J26</f>
        <v>2804.14442396736</v>
      </c>
      <c r="K199" s="268" t="n">
        <f aca="false">Projektion!K26</f>
        <v>2860.22731244671</v>
      </c>
      <c r="L199" s="268" t="n">
        <f aca="false">Projektion!L26</f>
        <v>2917.43185869564</v>
      </c>
      <c r="M199" s="268" t="n">
        <f aca="false">Projektion!M26</f>
        <v>2975.78049586955</v>
      </c>
      <c r="N199" s="268" t="n">
        <f aca="false">Projektion!N26</f>
        <v>3035.29610578695</v>
      </c>
      <c r="O199" s="268" t="n">
        <f aca="false">Projektion!O26</f>
        <v>3096.00202790269</v>
      </c>
      <c r="P199" s="268" t="n">
        <f aca="false">Projektion!P26</f>
        <v>3157.92206846074</v>
      </c>
      <c r="Q199" s="268" t="n">
        <f aca="false">Projektion!Q26</f>
        <v>3221.08050982995</v>
      </c>
      <c r="R199" s="268" t="n">
        <f aca="false">Projektion!R26</f>
        <v>3285.50212002655</v>
      </c>
      <c r="S199" s="268" t="n">
        <f aca="false">Projektion!S26</f>
        <v>3351.21216242708</v>
      </c>
      <c r="T199" s="268" t="n">
        <f aca="false">Projektion!T26</f>
        <v>3418.23640567563</v>
      </c>
      <c r="U199" s="268" t="n">
        <f aca="false">Projektion!U26</f>
        <v>3486.60113378914</v>
      </c>
      <c r="V199" s="268" t="n">
        <f aca="false">Projektion!V26</f>
        <v>3556.33315646492</v>
      </c>
      <c r="W199" s="268" t="n">
        <f aca="false">Projektion!W26</f>
        <v>3627.45981959422</v>
      </c>
      <c r="X199" s="268" t="n">
        <f aca="false">Projektion!X26</f>
        <v>3700.0090159861</v>
      </c>
      <c r="Y199" s="268" t="n">
        <f aca="false">Projektion!Y26</f>
        <v>3774.00919630583</v>
      </c>
      <c r="Z199" s="268" t="n">
        <f aca="false">Projektion!Z26</f>
        <v>3849.48938023194</v>
      </c>
      <c r="AA199" s="268" t="n">
        <f aca="false">Projektion!AA26</f>
        <v>3926.47916783658</v>
      </c>
      <c r="AB199" s="268" t="n">
        <f aca="false">Projektion!AB26</f>
        <v>4005.00875119331</v>
      </c>
      <c r="AC199" s="268" t="n">
        <f aca="false">Projektion!AC26</f>
        <v>4085.10892621718</v>
      </c>
      <c r="AD199" s="268" t="n">
        <f aca="false">Projektion!AD26</f>
        <v>4166.81110474152</v>
      </c>
      <c r="AE199" s="268" t="n">
        <f aca="false">Projektion!AE26</f>
        <v>4250.14732683635</v>
      </c>
      <c r="AF199" s="268" t="n">
        <f aca="false">Projektion!AF26</f>
        <v>4335.15027337308</v>
      </c>
      <c r="AG199" s="268" t="n">
        <f aca="false">Projektion!AG26</f>
        <v>4421.85327884054</v>
      </c>
      <c r="AH199" s="268" t="n">
        <f aca="false">Projektion!AH26</f>
        <v>4510.29034441735</v>
      </c>
      <c r="AI199" s="268" t="n">
        <f aca="false">Projektion!AI26</f>
        <v>4600.4961513057</v>
      </c>
      <c r="AJ199" s="268" t="n">
        <f aca="false">Projektion!AJ26</f>
        <v>4692.50607433181</v>
      </c>
      <c r="AK199" s="268" t="n">
        <f aca="false">Projektion!AK26</f>
        <v>4786.35619581845</v>
      </c>
      <c r="AL199" s="268" t="n">
        <f aca="false">Projektion!AL26</f>
        <v>4882.08331973482</v>
      </c>
      <c r="AM199" s="268" t="n">
        <f aca="false">Projektion!AM26</f>
        <v>4979.72498612952</v>
      </c>
      <c r="AN199" s="268" t="n">
        <f aca="false">Projektion!AN26</f>
        <v>5079.31948585211</v>
      </c>
      <c r="AO199" s="268" t="n">
        <f aca="false">Projektion!AO26</f>
        <v>5180.90587556915</v>
      </c>
      <c r="AP199" s="268" t="n">
        <f aca="false">Projektion!AP26</f>
        <v>5284.52399308053</v>
      </c>
      <c r="AQ199" s="268" t="n">
        <f aca="false">Projektion!AQ26</f>
        <v>5390.21447294214</v>
      </c>
    </row>
    <row r="200" customFormat="false" ht="18" hidden="true" customHeight="true" outlineLevel="1" collapsed="false">
      <c r="B200" s="62" t="s">
        <v>550</v>
      </c>
      <c r="C200" s="70" t="s">
        <v>753</v>
      </c>
      <c r="D200" s="268" t="n">
        <f aca="false">Projektion!D32</f>
        <v>14000</v>
      </c>
      <c r="E200" s="268" t="n">
        <f aca="false">Projektion!E32</f>
        <v>14000</v>
      </c>
      <c r="F200" s="268" t="n">
        <f aca="false">Projektion!F32</f>
        <v>14000</v>
      </c>
      <c r="G200" s="268" t="n">
        <f aca="false">Projektion!G32</f>
        <v>14000</v>
      </c>
      <c r="H200" s="268" t="n">
        <f aca="false">Projektion!H32</f>
        <v>14000</v>
      </c>
      <c r="I200" s="268" t="n">
        <f aca="false">Projektion!I32</f>
        <v>14000</v>
      </c>
      <c r="J200" s="268" t="n">
        <f aca="false">Projektion!J32</f>
        <v>14000</v>
      </c>
      <c r="K200" s="268" t="n">
        <f aca="false">Projektion!K32</f>
        <v>14000</v>
      </c>
      <c r="L200" s="268" t="n">
        <f aca="false">Projektion!L32</f>
        <v>14000</v>
      </c>
      <c r="M200" s="268" t="n">
        <f aca="false">Projektion!M32</f>
        <v>14000</v>
      </c>
      <c r="N200" s="268" t="n">
        <f aca="false">Projektion!N32</f>
        <v>14000</v>
      </c>
      <c r="O200" s="268" t="n">
        <f aca="false">Projektion!O32</f>
        <v>14000</v>
      </c>
      <c r="P200" s="268" t="n">
        <f aca="false">Projektion!P32</f>
        <v>14000</v>
      </c>
      <c r="Q200" s="268" t="n">
        <f aca="false">Projektion!Q32</f>
        <v>14000</v>
      </c>
      <c r="R200" s="268" t="n">
        <f aca="false">Projektion!R32</f>
        <v>14000</v>
      </c>
      <c r="S200" s="268" t="n">
        <f aca="false">Projektion!S32</f>
        <v>14000</v>
      </c>
      <c r="T200" s="268" t="n">
        <f aca="false">Projektion!T32</f>
        <v>14000</v>
      </c>
      <c r="U200" s="268" t="n">
        <f aca="false">Projektion!U32</f>
        <v>14000</v>
      </c>
      <c r="V200" s="268" t="n">
        <f aca="false">Projektion!V32</f>
        <v>14000</v>
      </c>
      <c r="W200" s="268" t="n">
        <f aca="false">Projektion!W32</f>
        <v>14000</v>
      </c>
      <c r="X200" s="268" t="n">
        <f aca="false">Projektion!X32</f>
        <v>14000</v>
      </c>
      <c r="Y200" s="268" t="n">
        <f aca="false">Projektion!Y32</f>
        <v>14000</v>
      </c>
      <c r="Z200" s="268" t="n">
        <f aca="false">Projektion!Z32</f>
        <v>14000</v>
      </c>
      <c r="AA200" s="268" t="n">
        <f aca="false">Projektion!AA32</f>
        <v>14000</v>
      </c>
      <c r="AB200" s="268" t="n">
        <f aca="false">Projektion!AB32</f>
        <v>14000</v>
      </c>
      <c r="AC200" s="268" t="n">
        <f aca="false">Projektion!AC32</f>
        <v>14000</v>
      </c>
      <c r="AD200" s="268" t="n">
        <f aca="false">Projektion!AD32</f>
        <v>14000</v>
      </c>
      <c r="AE200" s="268" t="n">
        <f aca="false">Projektion!AE32</f>
        <v>14000</v>
      </c>
      <c r="AF200" s="268" t="n">
        <f aca="false">Projektion!AF32</f>
        <v>14000</v>
      </c>
      <c r="AG200" s="268" t="n">
        <f aca="false">Projektion!AG32</f>
        <v>14000</v>
      </c>
      <c r="AH200" s="268" t="n">
        <f aca="false">Projektion!AH32</f>
        <v>14000</v>
      </c>
      <c r="AI200" s="268" t="n">
        <f aca="false">Projektion!AI32</f>
        <v>8967.83737168958</v>
      </c>
      <c r="AJ200" s="268" t="n">
        <f aca="false">Projektion!AJ32</f>
        <v>0</v>
      </c>
      <c r="AK200" s="268" t="n">
        <f aca="false">Projektion!AK32</f>
        <v>0</v>
      </c>
      <c r="AL200" s="268" t="n">
        <f aca="false">Projektion!AL32</f>
        <v>0</v>
      </c>
      <c r="AM200" s="268" t="n">
        <f aca="false">Projektion!AM32</f>
        <v>0</v>
      </c>
      <c r="AN200" s="268" t="n">
        <f aca="false">Projektion!AN32</f>
        <v>0</v>
      </c>
      <c r="AO200" s="268" t="n">
        <f aca="false">Projektion!AO32</f>
        <v>0</v>
      </c>
      <c r="AP200" s="268" t="n">
        <f aca="false">Projektion!AP32</f>
        <v>0</v>
      </c>
      <c r="AQ200" s="268" t="n">
        <f aca="false">Projektion!AQ32</f>
        <v>0</v>
      </c>
    </row>
    <row r="201" customFormat="false" ht="18" hidden="true" customHeight="true" outlineLevel="1" collapsed="false">
      <c r="B201" s="62" t="s">
        <v>623</v>
      </c>
      <c r="C201" s="70" t="s">
        <v>765</v>
      </c>
      <c r="D201" s="279" t="n">
        <f aca="false">Projektion!D45</f>
        <v>0.177505353620814</v>
      </c>
      <c r="E201" s="279" t="n">
        <f aca="false">Projektion!E45</f>
        <v>0.100688659537534</v>
      </c>
      <c r="F201" s="279" t="n">
        <f aca="false">Projektion!F45</f>
        <v>0.104505755429784</v>
      </c>
      <c r="G201" s="279" t="n">
        <f aca="false">Projektion!G45</f>
        <v>0.108419496824403</v>
      </c>
      <c r="H201" s="279" t="n">
        <f aca="false">Projektion!H45</f>
        <v>0.112432547560484</v>
      </c>
      <c r="I201" s="279" t="n">
        <f aca="false">Projektion!I45</f>
        <v>0.116547651067345</v>
      </c>
      <c r="J201" s="279" t="n">
        <f aca="false">Projektion!J45</f>
        <v>0.120767632903618</v>
      </c>
      <c r="K201" s="279" t="n">
        <f aca="false">Projektion!K45</f>
        <v>0.125095403381227</v>
      </c>
      <c r="L201" s="279" t="n">
        <f aca="false">Projektion!L45</f>
        <v>0.129533960277163</v>
      </c>
      <c r="M201" s="279" t="n">
        <f aca="false">Projektion!M45</f>
        <v>0.134086391636109</v>
      </c>
      <c r="N201" s="279" t="n">
        <f aca="false">Projektion!N45</f>
        <v>0.122367979445738</v>
      </c>
      <c r="O201" s="279" t="n">
        <f aca="false">Projektion!O45</f>
        <v>0.127067356353508</v>
      </c>
      <c r="P201" s="279" t="n">
        <f aca="false">Projektion!P45</f>
        <v>0.131902074184677</v>
      </c>
      <c r="Q201" s="279" t="n">
        <f aca="false">Projektion!Q45</f>
        <v>0.136876700660047</v>
      </c>
      <c r="R201" s="279" t="n">
        <f aca="false">Projektion!R45</f>
        <v>0.141995978595444</v>
      </c>
      <c r="S201" s="279" t="n">
        <f aca="false">Projektion!S45</f>
        <v>0.147264833171941</v>
      </c>
      <c r="T201" s="279" t="n">
        <f aca="false">Projektion!T45</f>
        <v>0.15268837952107</v>
      </c>
      <c r="U201" s="279" t="n">
        <f aca="false">Projektion!U45</f>
        <v>0.158271930638931</v>
      </c>
      <c r="V201" s="279" t="n">
        <f aca="false">Projektion!V45</f>
        <v>0.164021005643778</v>
      </c>
      <c r="W201" s="279" t="n">
        <f aca="false">Projektion!W45</f>
        <v>0.169941338392258</v>
      </c>
      <c r="X201" s="279" t="n">
        <f aca="false">Projektion!X45</f>
        <v>0.176038886470205</v>
      </c>
      <c r="Y201" s="279" t="n">
        <f aca="false">Projektion!Y45</f>
        <v>0.182319840574559</v>
      </c>
      <c r="Z201" s="279" t="n">
        <f aca="false">Projektion!Z45</f>
        <v>0.188790634303767</v>
      </c>
      <c r="AA201" s="279" t="n">
        <f aca="false">Projektion!AA45</f>
        <v>0.19545795437475</v>
      </c>
      <c r="AB201" s="279" t="n">
        <f aca="false">Projektion!AB45</f>
        <v>0.202328751285368</v>
      </c>
      <c r="AC201" s="279" t="n">
        <f aca="false">Projektion!AC45</f>
        <v>0.209410250442132</v>
      </c>
      <c r="AD201" s="279" t="n">
        <f aca="false">Projektion!AD45</f>
        <v>0.216709963773824</v>
      </c>
      <c r="AE201" s="279" t="n">
        <f aca="false">Projektion!AE45</f>
        <v>0.224235701852571</v>
      </c>
      <c r="AF201" s="279" t="n">
        <f aca="false">Projektion!AF45</f>
        <v>0.231995586544934</v>
      </c>
      <c r="AG201" s="279" t="n">
        <f aca="false">Projektion!AG45</f>
        <v>0.239998064216528</v>
      </c>
      <c r="AH201" s="279" t="n">
        <f aca="false">Projektion!AH45</f>
        <v>0.248251919514779</v>
      </c>
      <c r="AI201" s="279" t="n">
        <f aca="false">Projektion!AI45</f>
        <v>0.256766289755516</v>
      </c>
      <c r="AJ201" s="279" t="n">
        <f aca="false">Projektion!AJ45</f>
        <v>0.264009733100324</v>
      </c>
      <c r="AK201" s="279" t="n">
        <f aca="false">Projektion!AK45</f>
        <v>0.268717614548945</v>
      </c>
      <c r="AL201" s="279" t="n">
        <f aca="false">Projektion!AL45</f>
        <v>0.273519653626537</v>
      </c>
      <c r="AM201" s="279" t="n">
        <f aca="false">Projektion!AM45</f>
        <v>0.278417733485682</v>
      </c>
      <c r="AN201" s="279" t="n">
        <f aca="false">Projektion!AN45</f>
        <v>0.28341377494201</v>
      </c>
      <c r="AO201" s="279" t="n">
        <f aca="false">Projektion!AO45</f>
        <v>0.288509737227464</v>
      </c>
      <c r="AP201" s="279" t="n">
        <f aca="false">Projektion!AP45</f>
        <v>0.293707618758629</v>
      </c>
      <c r="AQ201" s="279" t="n">
        <f aca="false">Projektion!AQ45</f>
        <v>0.299009457920414</v>
      </c>
    </row>
    <row r="202" customFormat="false" ht="18" hidden="true" customHeight="true" outlineLevel="1" collapsed="false">
      <c r="B202" s="280" t="str">
        <f aca="false">"Verkaufspreis Jahr "&amp;Haltedauer</f>
        <v>Verkaufspreis Jahr 12</v>
      </c>
      <c r="C202" s="280" t="s">
        <v>753</v>
      </c>
      <c r="D202" s="281" t="n">
        <f aca="false">IF(D$177=Haltedauer,D179,0)</f>
        <v>0</v>
      </c>
      <c r="E202" s="281" t="n">
        <f aca="false">IF(E$177=Haltedauer,E179,0)</f>
        <v>0</v>
      </c>
      <c r="F202" s="281" t="n">
        <f aca="false">IF(F$177=Haltedauer,F179,0)</f>
        <v>0</v>
      </c>
      <c r="G202" s="281" t="n">
        <f aca="false">IF(G$177=Haltedauer,G179,0)</f>
        <v>0</v>
      </c>
      <c r="H202" s="281" t="n">
        <f aca="false">IF(H$177=Haltedauer,H179,0)</f>
        <v>0</v>
      </c>
      <c r="I202" s="281" t="n">
        <f aca="false">IF(I$177=Haltedauer,I179,0)</f>
        <v>0</v>
      </c>
      <c r="J202" s="281" t="n">
        <f aca="false">IF(J$177=Haltedauer,J179,0)</f>
        <v>0</v>
      </c>
      <c r="K202" s="281" t="n">
        <f aca="false">IF(K$177=Haltedauer,K179,0)</f>
        <v>0</v>
      </c>
      <c r="L202" s="281" t="n">
        <f aca="false">IF(L$177=Haltedauer,L179,0)</f>
        <v>0</v>
      </c>
      <c r="M202" s="281" t="n">
        <f aca="false">IF(M$177=Haltedauer,M179,0)</f>
        <v>0</v>
      </c>
      <c r="N202" s="281" t="n">
        <f aca="false">IF(N$177=Haltedauer,N179,0)</f>
        <v>0</v>
      </c>
      <c r="O202" s="281" t="n">
        <f aca="false">IF(O$177=Haltedauer,O179,0)</f>
        <v>376667.812985076</v>
      </c>
      <c r="P202" s="281" t="n">
        <f aca="false">IF(P$177=Haltedauer,P179,0)</f>
        <v>0</v>
      </c>
      <c r="Q202" s="281" t="n">
        <f aca="false">IF(Q$177=Haltedauer,Q179,0)</f>
        <v>0</v>
      </c>
      <c r="R202" s="281" t="n">
        <f aca="false">IF(R$177=Haltedauer,R179,0)</f>
        <v>0</v>
      </c>
      <c r="S202" s="281" t="n">
        <f aca="false">IF(S$177=Haltedauer,S179,0)</f>
        <v>0</v>
      </c>
      <c r="T202" s="281" t="n">
        <f aca="false">IF(T$177=Haltedauer,T179,0)</f>
        <v>0</v>
      </c>
      <c r="U202" s="281" t="n">
        <f aca="false">IF(U$177=Haltedauer,U179,0)</f>
        <v>0</v>
      </c>
      <c r="V202" s="281" t="n">
        <f aca="false">IF(V$177=Haltedauer,V179,0)</f>
        <v>0</v>
      </c>
      <c r="W202" s="281" t="n">
        <f aca="false">IF(W$177=Haltedauer,W179,0)</f>
        <v>0</v>
      </c>
      <c r="X202" s="281" t="n">
        <f aca="false">IF(X$177=Haltedauer,X179,0)</f>
        <v>0</v>
      </c>
      <c r="Y202" s="281" t="n">
        <f aca="false">IF(Y$177=Haltedauer,Y179,0)</f>
        <v>0</v>
      </c>
      <c r="Z202" s="281" t="n">
        <f aca="false">IF(Z$177=Haltedauer,Z179,0)</f>
        <v>0</v>
      </c>
      <c r="AA202" s="281" t="n">
        <f aca="false">IF(AA$177=Haltedauer,AA179,0)</f>
        <v>0</v>
      </c>
      <c r="AB202" s="281" t="n">
        <f aca="false">IF(AB$177=Haltedauer,AB179,0)</f>
        <v>0</v>
      </c>
      <c r="AC202" s="281" t="n">
        <f aca="false">IF(AC$177=Haltedauer,AC179,0)</f>
        <v>0</v>
      </c>
      <c r="AD202" s="281" t="n">
        <f aca="false">IF(AD$177=Haltedauer,AD179,0)</f>
        <v>0</v>
      </c>
      <c r="AE202" s="281" t="n">
        <f aca="false">IF(AE$177=Haltedauer,AE179,0)</f>
        <v>0</v>
      </c>
      <c r="AF202" s="281" t="n">
        <f aca="false">IF(AF$177=Haltedauer,AF179,0)</f>
        <v>0</v>
      </c>
      <c r="AG202" s="281" t="n">
        <f aca="false">IF(AG$177=Haltedauer,AG179,0)</f>
        <v>0</v>
      </c>
      <c r="AH202" s="281" t="n">
        <f aca="false">IF(AH$177=Haltedauer,AH179,0)</f>
        <v>0</v>
      </c>
      <c r="AI202" s="281" t="n">
        <f aca="false">IF(AI$177=Haltedauer,AI179,0)</f>
        <v>0</v>
      </c>
      <c r="AJ202" s="281" t="n">
        <f aca="false">IF(AJ$177=Haltedauer,AJ179,0)</f>
        <v>0</v>
      </c>
      <c r="AK202" s="281" t="n">
        <f aca="false">IF(AK$177=Haltedauer,AK179,0)</f>
        <v>0</v>
      </c>
      <c r="AL202" s="281" t="n">
        <f aca="false">IF(AL$177=Haltedauer,AL179,0)</f>
        <v>0</v>
      </c>
      <c r="AM202" s="281" t="n">
        <f aca="false">IF(AM$177=Haltedauer,AM179,0)</f>
        <v>0</v>
      </c>
      <c r="AN202" s="281" t="n">
        <f aca="false">IF(AN$177=Haltedauer,AN179,0)</f>
        <v>0</v>
      </c>
      <c r="AO202" s="281" t="n">
        <f aca="false">IF(AO$177=Haltedauer,AO179,0)</f>
        <v>0</v>
      </c>
      <c r="AP202" s="281" t="n">
        <f aca="false">IF(AP$177=Haltedauer,AP179,0)</f>
        <v>0</v>
      </c>
      <c r="AQ202" s="281" t="n">
        <f aca="false">IF(AQ$177=Haltedauer,AQ179,0)</f>
        <v>0</v>
      </c>
    </row>
    <row r="203" customFormat="false" ht="18" hidden="true" customHeight="true" outlineLevel="1" collapsed="false">
      <c r="A203" s="9"/>
      <c r="B203" s="280" t="str">
        <f aca="false">IF(SUM(D203:W203)&gt;0,"Sonder-AfA (§ 7b, § 7h/7i)","Sonder-AfA (keine)")</f>
        <v>Sonder-AfA (keine)</v>
      </c>
      <c r="C203" s="280" t="s">
        <v>753</v>
      </c>
      <c r="D203" s="281" t="n">
        <f aca="false">D193+D194</f>
        <v>0</v>
      </c>
      <c r="E203" s="281" t="n">
        <f aca="false">E193+E194</f>
        <v>0</v>
      </c>
      <c r="F203" s="281" t="n">
        <f aca="false">F193+F194</f>
        <v>0</v>
      </c>
      <c r="G203" s="281" t="n">
        <f aca="false">G193+G194</f>
        <v>0</v>
      </c>
      <c r="H203" s="281" t="n">
        <f aca="false">H193+H194</f>
        <v>0</v>
      </c>
      <c r="I203" s="281" t="n">
        <f aca="false">I193+I194</f>
        <v>0</v>
      </c>
      <c r="J203" s="281" t="n">
        <f aca="false">J193+J194</f>
        <v>0</v>
      </c>
      <c r="K203" s="281" t="n">
        <f aca="false">K193+K194</f>
        <v>0</v>
      </c>
      <c r="L203" s="281" t="n">
        <f aca="false">L193+L194</f>
        <v>0</v>
      </c>
      <c r="M203" s="281" t="n">
        <f aca="false">M193+M194</f>
        <v>0</v>
      </c>
      <c r="N203" s="281" t="n">
        <f aca="false">N193+N194</f>
        <v>0</v>
      </c>
      <c r="O203" s="281" t="n">
        <f aca="false">O193+O194</f>
        <v>0</v>
      </c>
      <c r="P203" s="281" t="n">
        <f aca="false">P193+P194</f>
        <v>0</v>
      </c>
      <c r="Q203" s="281" t="n">
        <f aca="false">Q193+Q194</f>
        <v>0</v>
      </c>
      <c r="R203" s="281" t="n">
        <f aca="false">R193+R194</f>
        <v>0</v>
      </c>
      <c r="S203" s="281" t="n">
        <f aca="false">S193+S194</f>
        <v>0</v>
      </c>
      <c r="T203" s="281" t="n">
        <f aca="false">T193+T194</f>
        <v>0</v>
      </c>
      <c r="U203" s="281" t="n">
        <f aca="false">U193+U194</f>
        <v>0</v>
      </c>
      <c r="V203" s="281" t="n">
        <f aca="false">V193+V194</f>
        <v>0</v>
      </c>
      <c r="W203" s="281" t="n">
        <f aca="false">W193+W194</f>
        <v>0</v>
      </c>
      <c r="X203" s="281" t="n">
        <f aca="false">X193+X194</f>
        <v>0</v>
      </c>
      <c r="Y203" s="281" t="n">
        <f aca="false">Y193+Y194</f>
        <v>0</v>
      </c>
      <c r="Z203" s="281" t="n">
        <f aca="false">Z193+Z194</f>
        <v>0</v>
      </c>
      <c r="AA203" s="281" t="n">
        <f aca="false">AA193+AA194</f>
        <v>0</v>
      </c>
      <c r="AB203" s="281" t="n">
        <f aca="false">AB193+AB194</f>
        <v>0</v>
      </c>
      <c r="AC203" s="281" t="n">
        <f aca="false">AC193+AC194</f>
        <v>0</v>
      </c>
      <c r="AD203" s="281" t="n">
        <f aca="false">AD193+AD194</f>
        <v>0</v>
      </c>
      <c r="AE203" s="281" t="n">
        <f aca="false">AE193+AE194</f>
        <v>0</v>
      </c>
      <c r="AF203" s="281" t="n">
        <f aca="false">AF193+AF194</f>
        <v>0</v>
      </c>
      <c r="AG203" s="281" t="n">
        <f aca="false">AG193+AG194</f>
        <v>0</v>
      </c>
      <c r="AH203" s="281" t="n">
        <f aca="false">AH193+AH194</f>
        <v>0</v>
      </c>
      <c r="AI203" s="281" t="n">
        <f aca="false">AI193+AI194</f>
        <v>0</v>
      </c>
      <c r="AJ203" s="281" t="n">
        <f aca="false">AJ193+AJ194</f>
        <v>0</v>
      </c>
      <c r="AK203" s="281" t="n">
        <f aca="false">AK193+AK194</f>
        <v>0</v>
      </c>
      <c r="AL203" s="281" t="n">
        <f aca="false">AL193+AL194</f>
        <v>0</v>
      </c>
      <c r="AM203" s="281" t="n">
        <f aca="false">AM193+AM194</f>
        <v>0</v>
      </c>
      <c r="AN203" s="281" t="n">
        <f aca="false">AN193+AN194</f>
        <v>0</v>
      </c>
      <c r="AO203" s="281" t="n">
        <f aca="false">AO193+AO194</f>
        <v>0</v>
      </c>
      <c r="AP203" s="281" t="n">
        <f aca="false">AP193+AP194</f>
        <v>0</v>
      </c>
      <c r="AQ203" s="281" t="n">
        <f aca="false">AQ193+AQ194</f>
        <v>0</v>
      </c>
    </row>
    <row r="204" customFormat="false" ht="18" hidden="true" customHeight="true" outlineLevel="1" collapsed="false">
      <c r="A204" s="9"/>
      <c r="B204" s="280"/>
      <c r="C204" s="280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  <c r="AC204" s="282"/>
      <c r="AD204" s="282"/>
      <c r="AE204" s="282"/>
      <c r="AF204" s="282"/>
      <c r="AG204" s="282"/>
      <c r="AH204" s="282"/>
      <c r="AI204" s="282"/>
      <c r="AJ204" s="282"/>
      <c r="AK204" s="282"/>
      <c r="AL204" s="282"/>
      <c r="AM204" s="282"/>
      <c r="AN204" s="282"/>
      <c r="AO204" s="282"/>
      <c r="AP204" s="282"/>
      <c r="AQ204" s="282"/>
    </row>
    <row r="205" customFormat="false" ht="18" hidden="true" customHeight="true" outlineLevel="1" collapsed="false">
      <c r="A205" s="9"/>
      <c r="B205" s="280" t="s">
        <v>766</v>
      </c>
      <c r="C205" s="280" t="s">
        <v>753</v>
      </c>
      <c r="D205" s="281" t="n">
        <f aca="false">'AfA-Vergleich'!$D$26</f>
        <v>4885.35693430657</v>
      </c>
      <c r="E205" s="281" t="n">
        <f aca="false">D205+'AfA-Vergleich'!$E$26</f>
        <v>9770.71386861314</v>
      </c>
      <c r="F205" s="281" t="n">
        <f aca="false">E205+'AfA-Vergleich'!$F$26</f>
        <v>14656.0708029197</v>
      </c>
      <c r="G205" s="281" t="n">
        <f aca="false">F205+'AfA-Vergleich'!$G$26</f>
        <v>19541.4277372263</v>
      </c>
      <c r="H205" s="281" t="n">
        <f aca="false">G205+'AfA-Vergleich'!$H$26</f>
        <v>24426.7846715328</v>
      </c>
      <c r="I205" s="281" t="n">
        <f aca="false">H205+'AfA-Vergleich'!$I$26</f>
        <v>29312.1416058394</v>
      </c>
      <c r="J205" s="281" t="n">
        <f aca="false">I205+'AfA-Vergleich'!$J$26</f>
        <v>34197.498540146</v>
      </c>
      <c r="K205" s="281" t="n">
        <f aca="false">J205+'AfA-Vergleich'!$K$26</f>
        <v>39082.8554744526</v>
      </c>
      <c r="L205" s="281" t="n">
        <f aca="false">K205+'AfA-Vergleich'!$L$26</f>
        <v>43968.2124087591</v>
      </c>
      <c r="M205" s="281" t="n">
        <f aca="false">L205+'AfA-Vergleich'!$M$26</f>
        <v>48853.5693430657</v>
      </c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  <c r="AC205" s="282"/>
      <c r="AD205" s="282"/>
      <c r="AE205" s="282"/>
      <c r="AF205" s="282"/>
      <c r="AG205" s="282"/>
      <c r="AH205" s="282"/>
      <c r="AI205" s="282"/>
      <c r="AJ205" s="282"/>
      <c r="AK205" s="282"/>
      <c r="AL205" s="282"/>
      <c r="AM205" s="282"/>
      <c r="AN205" s="282"/>
      <c r="AO205" s="282"/>
      <c r="AP205" s="282"/>
      <c r="AQ205" s="282"/>
    </row>
    <row r="206" customFormat="false" ht="18" hidden="true" customHeight="true" outlineLevel="1" collapsed="false">
      <c r="A206" s="9"/>
      <c r="B206" s="280" t="s">
        <v>767</v>
      </c>
      <c r="C206" s="280" t="s">
        <v>753</v>
      </c>
      <c r="D206" s="281" t="n">
        <f aca="false">MAX(0,D185)</f>
        <v>3078.39654952701</v>
      </c>
      <c r="E206" s="281" t="n">
        <f aca="false">MAX(0,E185)</f>
        <v>0</v>
      </c>
      <c r="F206" s="281" t="n">
        <f aca="false">MAX(0,F185)</f>
        <v>0</v>
      </c>
      <c r="G206" s="281" t="n">
        <f aca="false">MAX(0,G185)</f>
        <v>0</v>
      </c>
      <c r="H206" s="281" t="n">
        <f aca="false">MAX(0,H185)</f>
        <v>0</v>
      </c>
      <c r="I206" s="281" t="n">
        <f aca="false">MAX(0,I185)</f>
        <v>0</v>
      </c>
      <c r="J206" s="281" t="n">
        <f aca="false">MAX(0,J185)</f>
        <v>0</v>
      </c>
      <c r="K206" s="281" t="n">
        <f aca="false">MAX(0,K185)</f>
        <v>0</v>
      </c>
      <c r="L206" s="281" t="n">
        <f aca="false">MAX(0,L185)</f>
        <v>0</v>
      </c>
      <c r="M206" s="281" t="n">
        <f aca="false">MAX(0,M185)</f>
        <v>0</v>
      </c>
      <c r="N206" s="281" t="n">
        <f aca="false">MAX(0,N185)</f>
        <v>0</v>
      </c>
      <c r="O206" s="281" t="n">
        <f aca="false">MAX(0,O185)</f>
        <v>0</v>
      </c>
      <c r="P206" s="281" t="n">
        <f aca="false">MAX(0,P185)</f>
        <v>0</v>
      </c>
      <c r="Q206" s="281" t="n">
        <f aca="false">MAX(0,Q185)</f>
        <v>0</v>
      </c>
      <c r="R206" s="281" t="n">
        <f aca="false">MAX(0,R185)</f>
        <v>0</v>
      </c>
      <c r="S206" s="281" t="n">
        <f aca="false">MAX(0,S185)</f>
        <v>0</v>
      </c>
      <c r="T206" s="281" t="n">
        <f aca="false">MAX(0,T185)</f>
        <v>0</v>
      </c>
      <c r="U206" s="281" t="n">
        <f aca="false">MAX(0,U185)</f>
        <v>0</v>
      </c>
      <c r="V206" s="281" t="n">
        <f aca="false">MAX(0,V185)</f>
        <v>0</v>
      </c>
      <c r="W206" s="281" t="n">
        <f aca="false">MAX(0,W185)</f>
        <v>0</v>
      </c>
      <c r="X206" s="281" t="n">
        <f aca="false">MAX(0,X185)</f>
        <v>0</v>
      </c>
      <c r="Y206" s="281" t="n">
        <f aca="false">MAX(0,Y185)</f>
        <v>0</v>
      </c>
      <c r="Z206" s="281" t="n">
        <f aca="false">MAX(0,Z185)</f>
        <v>0</v>
      </c>
      <c r="AA206" s="281" t="n">
        <f aca="false">MAX(0,AA185)</f>
        <v>0</v>
      </c>
      <c r="AB206" s="281" t="n">
        <f aca="false">MAX(0,AB185)</f>
        <v>0</v>
      </c>
      <c r="AC206" s="281" t="n">
        <f aca="false">MAX(0,AC185)</f>
        <v>0</v>
      </c>
      <c r="AD206" s="281" t="n">
        <f aca="false">MAX(0,AD185)</f>
        <v>0</v>
      </c>
      <c r="AE206" s="281" t="n">
        <f aca="false">MAX(0,AE185)</f>
        <v>0</v>
      </c>
      <c r="AF206" s="281" t="n">
        <f aca="false">MAX(0,AF185)</f>
        <v>0</v>
      </c>
      <c r="AG206" s="281" t="n">
        <f aca="false">MAX(0,AG185)</f>
        <v>0</v>
      </c>
      <c r="AH206" s="281" t="n">
        <f aca="false">MAX(0,AH185)</f>
        <v>0</v>
      </c>
      <c r="AI206" s="281" t="n">
        <f aca="false">MAX(0,AI185)</f>
        <v>721.649227890842</v>
      </c>
      <c r="AJ206" s="281" t="n">
        <f aca="false">MAX(0,AJ185)</f>
        <v>9655.8655496508</v>
      </c>
      <c r="AK206" s="281" t="n">
        <f aca="false">MAX(0,AK185)</f>
        <v>9803.78471077327</v>
      </c>
      <c r="AL206" s="281" t="n">
        <f aca="false">MAX(0,AL185)</f>
        <v>9954.6622551182</v>
      </c>
      <c r="AM206" s="281" t="n">
        <f aca="false">MAX(0,AM185)</f>
        <v>10108.55735035</v>
      </c>
      <c r="AN206" s="281" t="n">
        <f aca="false">MAX(0,AN185)</f>
        <v>10265.5303474865</v>
      </c>
      <c r="AO206" s="281" t="n">
        <f aca="false">MAX(0,AO185)</f>
        <v>10425.6428045657</v>
      </c>
      <c r="AP206" s="281" t="n">
        <f aca="false">MAX(0,AP185)</f>
        <v>10588.9575107864</v>
      </c>
      <c r="AQ206" s="281" t="n">
        <f aca="false">MAX(0,AQ185)</f>
        <v>10755.5385111316</v>
      </c>
    </row>
    <row r="207" customFormat="false" ht="18" hidden="true" customHeight="true" outlineLevel="1" collapsed="false">
      <c r="A207" s="9"/>
      <c r="B207" s="280" t="s">
        <v>768</v>
      </c>
      <c r="C207" s="280" t="s">
        <v>753</v>
      </c>
      <c r="D207" s="281" t="n">
        <f aca="false">MIN(0,D185)</f>
        <v>0</v>
      </c>
      <c r="E207" s="281" t="n">
        <f aca="false">MIN(0,E185)</f>
        <v>-3286.96345735299</v>
      </c>
      <c r="F207" s="281" t="n">
        <f aca="false">MIN(0,F185)</f>
        <v>-3293.16621781059</v>
      </c>
      <c r="G207" s="281" t="n">
        <f aca="false">MIN(0,G185)</f>
        <v>-3300.87324804118</v>
      </c>
      <c r="H207" s="281" t="n">
        <f aca="false">MIN(0,H185)</f>
        <v>-3310.16432116452</v>
      </c>
      <c r="I207" s="281" t="n">
        <f aca="false">MIN(0,I185)</f>
        <v>-3321.12259452085</v>
      </c>
      <c r="J207" s="281" t="n">
        <f aca="false">MIN(0,J185)</f>
        <v>-3333.83474175054</v>
      </c>
      <c r="K207" s="281" t="n">
        <f aca="false">MIN(0,K185)</f>
        <v>-3348.39108983371</v>
      </c>
      <c r="L207" s="281" t="n">
        <f aca="false">MIN(0,L185)</f>
        <v>-3364.88576127213</v>
      </c>
      <c r="M207" s="281" t="n">
        <f aca="false">MIN(0,M185)</f>
        <v>-3383.41682160308</v>
      </c>
      <c r="N207" s="281" t="n">
        <f aca="false">MIN(0,N185)</f>
        <v>-2978.67150885839</v>
      </c>
      <c r="O207" s="281" t="n">
        <f aca="false">MIN(0,O185)</f>
        <v>-2995.43786345826</v>
      </c>
      <c r="P207" s="281" t="n">
        <f aca="false">MIN(0,P185)</f>
        <v>-3015.35070120497</v>
      </c>
      <c r="Q207" s="281" t="n">
        <f aca="false">MIN(0,Q185)</f>
        <v>-3038.59945378393</v>
      </c>
      <c r="R207" s="281" t="n">
        <f aca="false">MIN(0,R185)</f>
        <v>-3065.38303410527</v>
      </c>
      <c r="S207" s="281" t="n">
        <f aca="false">MIN(0,S185)</f>
        <v>-3095.91028209491</v>
      </c>
      <c r="T207" s="281" t="n">
        <f aca="false">MIN(0,T185)</f>
        <v>-3130.40043092901</v>
      </c>
      <c r="U207" s="281" t="n">
        <f aca="false">MIN(0,U185)</f>
        <v>-3169.08359463926</v>
      </c>
      <c r="V207" s="281" t="n">
        <f aca="false">MIN(0,V185)</f>
        <v>-3212.20127805868</v>
      </c>
      <c r="W207" s="281" t="n">
        <f aca="false">MIN(0,W185)</f>
        <v>-3260.006910121</v>
      </c>
      <c r="X207" s="281" t="n">
        <f aca="false">MIN(0,X185)</f>
        <v>-3312.76640157295</v>
      </c>
      <c r="Y207" s="281" t="n">
        <f aca="false">MIN(0,Y185)</f>
        <v>-3370.75872820599</v>
      </c>
      <c r="Z207" s="281" t="n">
        <f aca="false">MIN(0,Z185)</f>
        <v>-3434.27654076459</v>
      </c>
      <c r="AA207" s="281" t="n">
        <f aca="false">MIN(0,AA185)</f>
        <v>-3503.62680273994</v>
      </c>
      <c r="AB207" s="281" t="n">
        <f aca="false">MIN(0,AB185)</f>
        <v>-3579.13145731283</v>
      </c>
      <c r="AC207" s="281" t="n">
        <f aca="false">MIN(0,AC185)</f>
        <v>-3661.12812476631</v>
      </c>
      <c r="AD207" s="281" t="n">
        <f aca="false">MIN(0,AD185)</f>
        <v>-3749.97083174851</v>
      </c>
      <c r="AE207" s="281" t="n">
        <f aca="false">MIN(0,AE185)</f>
        <v>-3846.0307738281</v>
      </c>
      <c r="AF207" s="281" t="n">
        <f aca="false">MIN(0,AF185)</f>
        <v>-3949.6971128501</v>
      </c>
      <c r="AG207" s="281" t="n">
        <f aca="false">MIN(0,AG185)</f>
        <v>-4061.37781066792</v>
      </c>
      <c r="AH207" s="281" t="n">
        <f aca="false">MIN(0,AH185)</f>
        <v>-4181.50050089816</v>
      </c>
      <c r="AI207" s="281" t="n">
        <f aca="false">MIN(0,AI185)</f>
        <v>0</v>
      </c>
      <c r="AJ207" s="281" t="n">
        <f aca="false">MIN(0,AJ185)</f>
        <v>0</v>
      </c>
      <c r="AK207" s="281" t="n">
        <f aca="false">MIN(0,AK185)</f>
        <v>0</v>
      </c>
      <c r="AL207" s="281" t="n">
        <f aca="false">MIN(0,AL185)</f>
        <v>0</v>
      </c>
      <c r="AM207" s="281" t="n">
        <f aca="false">MIN(0,AM185)</f>
        <v>0</v>
      </c>
      <c r="AN207" s="281" t="n">
        <f aca="false">MIN(0,AN185)</f>
        <v>0</v>
      </c>
      <c r="AO207" s="281" t="n">
        <f aca="false">MIN(0,AO185)</f>
        <v>0</v>
      </c>
      <c r="AP207" s="281" t="n">
        <f aca="false">MIN(0,AP185)</f>
        <v>0</v>
      </c>
      <c r="AQ207" s="281" t="n">
        <f aca="false">MIN(0,AQ185)</f>
        <v>0</v>
      </c>
    </row>
    <row r="208" customFormat="false" ht="18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customFormat="false" ht="18" hidden="false" customHeight="true" outlineLevel="0" collapsed="false">
      <c r="A209" s="9"/>
      <c r="B209" s="79" t="s">
        <v>91</v>
      </c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customFormat="false" ht="13.5" hidden="false" customHeight="true" outlineLevel="0" collapsed="false">
      <c r="A210" s="9"/>
      <c r="B210" s="81" t="s">
        <v>92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</sheetData>
  <sheetProtection sheet="true" objects="1" formatColumns="false" formatRows="false"/>
  <conditionalFormatting sqref="C161">
    <cfRule type="expression" priority="2" aboveAverage="0" equalAverage="0" bottom="0" percent="0" rank="0" text="" dxfId="4">
      <formula>AND(ISNUMBER(C161),C161&lt;0)</formula>
    </cfRule>
    <cfRule type="expression" priority="3" aboveAverage="0" equalAverage="0" bottom="0" percent="0" rank="0" text="" dxfId="3">
      <formula>1</formula>
    </cfRule>
  </conditionalFormatting>
  <conditionalFormatting sqref="C167">
    <cfRule type="expression" priority="4" aboveAverage="0" equalAverage="0" bottom="0" percent="0" rank="0" text="" dxfId="4">
      <formula>AND(ISNUMBER(C167),C167&lt;0)</formula>
    </cfRule>
    <cfRule type="expression" priority="5" aboveAverage="0" equalAverage="0" bottom="0" percent="0" rank="0" text="" dxfId="3">
      <formula>1</formula>
    </cfRule>
  </conditionalFormatting>
  <hyperlinks>
    <hyperlink ref="B5" location="'Start'!A4" display="DIAGRAMME"/>
    <hyperlink ref="P5" location="'Start'!A4" display="‹  Start"/>
    <hyperlink ref="P9" location="'Diagramme'!A4" display="↑ Übersicht"/>
    <hyperlink ref="P30" location="'Diagramme'!A4" display="↑ Übersicht"/>
    <hyperlink ref="P51" location="'Diagramme'!A4" display="↑ Übersicht"/>
    <hyperlink ref="P92" location="'Diagramme'!A4" display="↑ Übersicht"/>
    <hyperlink ref="P113" location="'Diagramme'!A4" display="↑ Übersicht"/>
    <hyperlink ref="P138" location="'Diagramme'!A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4" manualBreakCount="4">
    <brk id="29" man="true" max="16383" min="0"/>
    <brk id="50" man="true" max="16383" min="0"/>
    <brk id="91" man="true" max="16383" min="0"/>
    <brk id="112" man="true" max="16383" min="0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U20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2.9"/>
    <col collapsed="false" customWidth="true" hidden="false" outlineLevel="0" max="4" min="3" style="1" width="25.04"/>
    <col collapsed="false" customWidth="true" hidden="false" outlineLevel="0" max="5" min="5" style="1" width="12.61"/>
    <col collapsed="false" customWidth="true" hidden="false" outlineLevel="0" max="6" min="6" style="1" width="8.03"/>
    <col collapsed="false" customWidth="true" hidden="false" outlineLevel="0" max="11" min="7" style="1" width="12.9"/>
    <col collapsed="false" customWidth="true" hidden="false" outlineLevel="0" max="12" min="12" style="1" width="13.34"/>
    <col collapsed="false" customWidth="true" hidden="false" outlineLevel="0" max="13" min="13" style="1" width="3"/>
    <col collapsed="false" customWidth="true" hidden="false" outlineLevel="0" max="18" min="14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0"/>
      <c r="N1" s="0"/>
      <c r="O1" s="0"/>
      <c r="P1" s="0"/>
      <c r="Q1" s="0"/>
      <c r="R1" s="0"/>
      <c r="S1" s="3"/>
      <c r="T1" s="3"/>
      <c r="U1" s="3"/>
    </row>
    <row r="2" customFormat="false" ht="33" hidden="false" customHeight="true" outlineLevel="0" collapsed="false">
      <c r="A2" s="2"/>
      <c r="B2" s="6"/>
      <c r="C2" s="6"/>
      <c r="D2" s="6"/>
      <c r="E2" s="4"/>
      <c r="F2" s="5"/>
      <c r="G2" s="6"/>
      <c r="H2" s="6"/>
      <c r="I2" s="6"/>
      <c r="J2" s="6"/>
      <c r="K2" s="6"/>
      <c r="L2" s="6"/>
      <c r="M2" s="0"/>
      <c r="N2" s="0"/>
      <c r="O2" s="0"/>
      <c r="P2" s="0"/>
      <c r="Q2" s="0"/>
      <c r="R2" s="0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0"/>
      <c r="N3" s="0"/>
      <c r="O3" s="0"/>
      <c r="P3" s="0"/>
      <c r="Q3" s="0"/>
      <c r="R3" s="0"/>
      <c r="S3" s="11"/>
      <c r="T3" s="11"/>
      <c r="U3" s="11"/>
    </row>
    <row r="4" customFormat="false" ht="9.75" hidden="false" customHeight="true" outlineLevel="0" collapsed="false">
      <c r="A4" s="12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12"/>
      <c r="N4" s="12"/>
    </row>
    <row r="5" customFormat="false" ht="15.75" hidden="false" customHeight="true" outlineLevel="0" collapsed="false">
      <c r="A5" s="12"/>
      <c r="B5" s="84" t="s">
        <v>769</v>
      </c>
      <c r="C5" s="39"/>
      <c r="D5" s="39"/>
      <c r="E5" s="39"/>
      <c r="F5" s="39"/>
      <c r="G5" s="39"/>
      <c r="H5" s="39"/>
      <c r="I5" s="39"/>
      <c r="J5" s="39"/>
      <c r="K5" s="39"/>
      <c r="L5" s="85" t="s">
        <v>94</v>
      </c>
      <c r="M5" s="12"/>
      <c r="N5" s="12"/>
    </row>
    <row r="6" customFormat="false" ht="30" hidden="false" customHeight="true" outlineLevel="0" collapsed="false">
      <c r="A6" s="12"/>
      <c r="B6" s="86" t="s">
        <v>138</v>
      </c>
      <c r="C6" s="39"/>
      <c r="D6" s="39"/>
      <c r="E6" s="39"/>
      <c r="F6" s="39"/>
      <c r="G6" s="39"/>
      <c r="H6" s="39"/>
      <c r="I6" s="39"/>
      <c r="J6" s="39"/>
      <c r="K6" s="39"/>
      <c r="L6" s="105" t="str">
        <f aca="false">Obj_Name</f>
        <v>Beispiel: 3-Zimmer-Eigentumswohnung</v>
      </c>
      <c r="M6" s="12"/>
      <c r="N6" s="12"/>
    </row>
    <row r="7" customFormat="false" ht="21.75" hidden="false" customHeight="true" outlineLevel="0" collapsed="false">
      <c r="A7" s="12"/>
      <c r="B7" s="106" t="s">
        <v>770</v>
      </c>
      <c r="C7" s="39"/>
      <c r="D7" s="39"/>
      <c r="E7" s="39"/>
      <c r="F7" s="39"/>
      <c r="G7" s="39"/>
      <c r="H7" s="39"/>
      <c r="I7" s="39"/>
      <c r="J7" s="39"/>
      <c r="K7" s="39"/>
      <c r="L7" s="107" t="str">
        <f aca="false">IFERROR(IF(Erstellt_fuer="","","Erstellt für "&amp;Erstellt_fuer),"")</f>
        <v>Erstellt für Max Mustermann</v>
      </c>
      <c r="M7" s="12"/>
      <c r="N7" s="12"/>
    </row>
    <row r="8" customFormat="false" ht="30" hidden="false" customHeight="true" outlineLevel="0" collapsed="false">
      <c r="A8" s="12"/>
      <c r="B8" s="39"/>
      <c r="C8" s="39"/>
      <c r="D8" s="39"/>
      <c r="E8" s="39"/>
      <c r="F8" s="39"/>
      <c r="G8" s="39"/>
      <c r="H8" s="283" t="s">
        <v>771</v>
      </c>
      <c r="I8" s="283"/>
      <c r="J8" s="283"/>
      <c r="K8" s="283"/>
      <c r="L8" s="283"/>
      <c r="M8" s="12"/>
      <c r="N8" s="12"/>
    </row>
    <row r="9" customFormat="false" ht="24" hidden="false" customHeight="true" outlineLevel="0" collapsed="false">
      <c r="A9" s="12"/>
      <c r="B9" s="284" t="s">
        <v>772</v>
      </c>
      <c r="C9" s="264"/>
      <c r="D9" s="264"/>
      <c r="E9" s="264"/>
      <c r="F9" s="264"/>
      <c r="G9" s="264"/>
      <c r="H9" s="264"/>
      <c r="I9" s="264"/>
      <c r="J9" s="264"/>
      <c r="K9" s="264"/>
      <c r="L9" s="35" t="s">
        <v>659</v>
      </c>
      <c r="M9" s="12"/>
      <c r="N9" s="12"/>
    </row>
    <row r="10" customFormat="false" ht="19.5" hidden="false" customHeight="true" outlineLevel="0" collapsed="false">
      <c r="A10" s="12"/>
      <c r="B10" s="96" t="s">
        <v>141</v>
      </c>
      <c r="C10" s="109" t="s">
        <v>773</v>
      </c>
      <c r="D10" s="109"/>
      <c r="E10" s="96" t="s">
        <v>143</v>
      </c>
      <c r="F10" s="96" t="s">
        <v>774</v>
      </c>
      <c r="G10" s="96" t="s">
        <v>775</v>
      </c>
      <c r="H10" s="96"/>
      <c r="I10" s="96"/>
      <c r="J10" s="96"/>
      <c r="K10" s="96"/>
      <c r="L10" s="96"/>
      <c r="M10" s="12"/>
      <c r="N10" s="12"/>
    </row>
    <row r="11" customFormat="false" ht="18" hidden="false" customHeight="true" outlineLevel="0" collapsed="false">
      <c r="A11" s="12"/>
      <c r="B11" s="111" t="s">
        <v>146</v>
      </c>
      <c r="C11" s="285" t="str">
        <f aca="false">Obj_Name</f>
        <v>Beispiel: 3-Zimmer-Eigentumswohnung</v>
      </c>
      <c r="D11" s="285"/>
      <c r="E11" s="70"/>
      <c r="F11" s="161" t="s">
        <v>776</v>
      </c>
      <c r="G11" s="113" t="s">
        <v>148</v>
      </c>
      <c r="H11" s="113"/>
      <c r="I11" s="113"/>
      <c r="J11" s="113"/>
      <c r="K11" s="113"/>
      <c r="L11" s="113"/>
      <c r="M11" s="12"/>
      <c r="N11" s="12"/>
    </row>
    <row r="12" customFormat="false" ht="18" hidden="false" customHeight="true" outlineLevel="0" collapsed="false">
      <c r="A12" s="12"/>
      <c r="B12" s="111" t="s">
        <v>150</v>
      </c>
      <c r="C12" s="285" t="str">
        <f aca="false">Obj_Adresse</f>
        <v>Musterstraße 1, 88250 Weingarten</v>
      </c>
      <c r="D12" s="285"/>
      <c r="E12" s="70"/>
      <c r="F12" s="161" t="s">
        <v>776</v>
      </c>
      <c r="G12" s="113"/>
      <c r="H12" s="113"/>
      <c r="I12" s="113"/>
      <c r="J12" s="113"/>
      <c r="K12" s="113"/>
      <c r="L12" s="113"/>
      <c r="M12" s="12"/>
      <c r="N12" s="12"/>
    </row>
    <row r="13" customFormat="false" ht="18" hidden="false" customHeight="true" outlineLevel="0" collapsed="false">
      <c r="A13" s="12"/>
      <c r="B13" s="111" t="s">
        <v>153</v>
      </c>
      <c r="C13" s="285" t="str">
        <f aca="false">Objektart</f>
        <v>Eigentumswohnung</v>
      </c>
      <c r="D13" s="285"/>
      <c r="E13" s="70"/>
      <c r="F13" s="161" t="s">
        <v>776</v>
      </c>
      <c r="G13" s="113" t="s">
        <v>777</v>
      </c>
      <c r="H13" s="113"/>
      <c r="I13" s="113"/>
      <c r="J13" s="113"/>
      <c r="K13" s="113"/>
      <c r="L13" s="113"/>
      <c r="M13" s="12"/>
      <c r="N13" s="12"/>
    </row>
    <row r="14" customFormat="false" ht="18" hidden="false" customHeight="true" outlineLevel="0" collapsed="false">
      <c r="A14" s="12"/>
      <c r="B14" s="111" t="s">
        <v>157</v>
      </c>
      <c r="C14" s="286" t="n">
        <f aca="false">Wohnflaeche</f>
        <v>75</v>
      </c>
      <c r="D14" s="286"/>
      <c r="E14" s="70"/>
      <c r="F14" s="161" t="s">
        <v>776</v>
      </c>
      <c r="G14" s="113" t="s">
        <v>778</v>
      </c>
      <c r="H14" s="113"/>
      <c r="I14" s="113"/>
      <c r="J14" s="113"/>
      <c r="K14" s="113"/>
      <c r="L14" s="113"/>
      <c r="M14" s="12"/>
      <c r="N14" s="12"/>
    </row>
    <row r="15" customFormat="false" ht="18" hidden="false" customHeight="true" outlineLevel="0" collapsed="false">
      <c r="A15" s="12"/>
      <c r="B15" s="111" t="s">
        <v>779</v>
      </c>
      <c r="C15" s="286" t="n">
        <f aca="false">Grundstueck_qm</f>
        <v>120</v>
      </c>
      <c r="D15" s="286"/>
      <c r="E15" s="70"/>
      <c r="F15" s="161" t="s">
        <v>776</v>
      </c>
      <c r="G15" s="113" t="s">
        <v>780</v>
      </c>
      <c r="H15" s="113"/>
      <c r="I15" s="113"/>
      <c r="J15" s="113"/>
      <c r="K15" s="113"/>
      <c r="L15" s="113"/>
      <c r="M15" s="12"/>
      <c r="N15" s="12"/>
    </row>
    <row r="16" customFormat="false" ht="18" hidden="false" customHeight="true" outlineLevel="0" collapsed="false">
      <c r="A16" s="12"/>
      <c r="B16" s="111" t="s">
        <v>781</v>
      </c>
      <c r="C16" s="287" t="n">
        <f aca="false">Baujahr</f>
        <v>1996</v>
      </c>
      <c r="D16" s="287"/>
      <c r="E16" s="70"/>
      <c r="F16" s="161" t="s">
        <v>776</v>
      </c>
      <c r="G16" s="113" t="s">
        <v>782</v>
      </c>
      <c r="H16" s="113"/>
      <c r="I16" s="113"/>
      <c r="J16" s="113"/>
      <c r="K16" s="113"/>
      <c r="L16" s="113"/>
      <c r="M16" s="12"/>
      <c r="N16" s="12"/>
    </row>
    <row r="17" customFormat="false" ht="18" hidden="false" customHeight="true" outlineLevel="0" collapsed="false">
      <c r="A17" s="12"/>
      <c r="B17" s="111" t="s">
        <v>783</v>
      </c>
      <c r="C17" s="288" t="n">
        <f aca="false">Kaufdatum</f>
        <v>46357</v>
      </c>
      <c r="D17" s="288"/>
      <c r="E17" s="70"/>
      <c r="F17" s="161" t="s">
        <v>776</v>
      </c>
      <c r="G17" s="113" t="s">
        <v>784</v>
      </c>
      <c r="H17" s="113"/>
      <c r="I17" s="113"/>
      <c r="J17" s="113"/>
      <c r="K17" s="113"/>
      <c r="L17" s="113"/>
      <c r="M17" s="12"/>
      <c r="N17" s="12"/>
    </row>
    <row r="18" customFormat="false" ht="18" hidden="false" customHeight="true" outlineLevel="0" collapsed="false">
      <c r="A18" s="12"/>
      <c r="B18" s="111" t="s">
        <v>166</v>
      </c>
      <c r="C18" s="285" t="str">
        <f aca="false">Bundesland</f>
        <v>Baden-Württemberg</v>
      </c>
      <c r="D18" s="285"/>
      <c r="E18" s="70"/>
      <c r="F18" s="161" t="s">
        <v>776</v>
      </c>
      <c r="G18" s="113" t="s">
        <v>785</v>
      </c>
      <c r="H18" s="113"/>
      <c r="I18" s="113"/>
      <c r="J18" s="113"/>
      <c r="K18" s="113"/>
      <c r="L18" s="113"/>
      <c r="M18" s="12"/>
      <c r="N18" s="12"/>
    </row>
    <row r="19" customFormat="false" ht="18" hidden="false" customHeight="true" outlineLevel="0" collapsed="false">
      <c r="A19" s="12"/>
      <c r="B19" s="111" t="s">
        <v>181</v>
      </c>
      <c r="C19" s="289" t="n">
        <f aca="false">Kaufpreis</f>
        <v>285000</v>
      </c>
      <c r="D19" s="289"/>
      <c r="E19" s="70"/>
      <c r="F19" s="161" t="s">
        <v>786</v>
      </c>
      <c r="G19" s="113" t="s">
        <v>787</v>
      </c>
      <c r="H19" s="113"/>
      <c r="I19" s="113"/>
      <c r="J19" s="113"/>
      <c r="K19" s="113"/>
      <c r="L19" s="113"/>
      <c r="M19" s="12"/>
      <c r="N19" s="12"/>
    </row>
    <row r="20" customFormat="false" ht="18" hidden="false" customHeight="true" outlineLevel="0" collapsed="false">
      <c r="A20" s="12"/>
      <c r="B20" s="290" t="s">
        <v>184</v>
      </c>
      <c r="C20" s="289" t="n">
        <f aca="false">KP_bewegl</f>
        <v>8000</v>
      </c>
      <c r="D20" s="289"/>
      <c r="E20" s="70"/>
      <c r="F20" s="161" t="s">
        <v>786</v>
      </c>
      <c r="G20" s="113" t="s">
        <v>788</v>
      </c>
      <c r="H20" s="113"/>
      <c r="I20" s="113"/>
      <c r="J20" s="113"/>
      <c r="K20" s="113"/>
      <c r="L20" s="113"/>
      <c r="M20" s="12"/>
      <c r="N20" s="12"/>
    </row>
    <row r="21" customFormat="false" ht="18" hidden="false" customHeight="true" outlineLevel="0" collapsed="false">
      <c r="A21" s="12"/>
      <c r="B21" s="111" t="s">
        <v>789</v>
      </c>
      <c r="C21" s="291" t="n">
        <f aca="false">ND_bewegl</f>
        <v>10</v>
      </c>
      <c r="D21" s="291"/>
      <c r="E21" s="70"/>
      <c r="F21" s="161" t="s">
        <v>786</v>
      </c>
      <c r="G21" s="113" t="s">
        <v>790</v>
      </c>
      <c r="H21" s="113"/>
      <c r="I21" s="113"/>
      <c r="J21" s="113"/>
      <c r="K21" s="113"/>
      <c r="L21" s="113"/>
      <c r="M21" s="12"/>
      <c r="N21" s="12"/>
    </row>
    <row r="22" customFormat="false" ht="18" hidden="false" customHeight="true" outlineLevel="0" collapsed="false">
      <c r="A22" s="12"/>
      <c r="B22" s="290" t="s">
        <v>791</v>
      </c>
      <c r="C22" s="289" t="n">
        <f aca="false">Ruecklage_mitverkauft</f>
        <v>3000</v>
      </c>
      <c r="D22" s="289"/>
      <c r="E22" s="70"/>
      <c r="F22" s="161" t="s">
        <v>786</v>
      </c>
      <c r="G22" s="113" t="s">
        <v>792</v>
      </c>
      <c r="H22" s="113"/>
      <c r="I22" s="113"/>
      <c r="J22" s="113"/>
      <c r="K22" s="113"/>
      <c r="L22" s="113"/>
      <c r="M22" s="12"/>
      <c r="N22" s="12"/>
    </row>
    <row r="23" customFormat="false" ht="12" hidden="false" customHeight="true" outlineLevel="0" collapsed="false">
      <c r="A23" s="12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12"/>
      <c r="N23" s="12"/>
    </row>
    <row r="24" customFormat="false" ht="24" hidden="false" customHeight="true" outlineLevel="0" collapsed="false">
      <c r="A24" s="12"/>
      <c r="B24" s="284" t="s">
        <v>793</v>
      </c>
      <c r="C24" s="264"/>
      <c r="D24" s="264"/>
      <c r="E24" s="264"/>
      <c r="F24" s="264"/>
      <c r="G24" s="264"/>
      <c r="H24" s="264"/>
      <c r="I24" s="264"/>
      <c r="J24" s="264"/>
      <c r="K24" s="264"/>
      <c r="L24" s="35" t="s">
        <v>659</v>
      </c>
      <c r="M24" s="12"/>
      <c r="N24" s="12"/>
    </row>
    <row r="25" customFormat="false" ht="19.5" hidden="false" customHeight="true" outlineLevel="0" collapsed="false">
      <c r="A25" s="12"/>
      <c r="B25" s="96" t="s">
        <v>141</v>
      </c>
      <c r="C25" s="109" t="s">
        <v>773</v>
      </c>
      <c r="D25" s="109"/>
      <c r="E25" s="96" t="s">
        <v>143</v>
      </c>
      <c r="F25" s="96" t="s">
        <v>774</v>
      </c>
      <c r="G25" s="96" t="s">
        <v>775</v>
      </c>
      <c r="H25" s="96"/>
      <c r="I25" s="96"/>
      <c r="J25" s="96"/>
      <c r="K25" s="96"/>
      <c r="L25" s="96"/>
      <c r="M25" s="12"/>
      <c r="N25" s="12"/>
    </row>
    <row r="26" customFormat="false" ht="18" hidden="false" customHeight="true" outlineLevel="0" collapsed="false">
      <c r="A26" s="12"/>
      <c r="B26" s="111" t="s">
        <v>794</v>
      </c>
      <c r="C26" s="292" t="n">
        <f aca="false">GrESt_Override</f>
        <v>0</v>
      </c>
      <c r="D26" s="292"/>
      <c r="E26" s="70"/>
      <c r="F26" s="161" t="s">
        <v>795</v>
      </c>
      <c r="G26" s="113" t="s">
        <v>796</v>
      </c>
      <c r="H26" s="113"/>
      <c r="I26" s="113"/>
      <c r="J26" s="113"/>
      <c r="K26" s="113"/>
      <c r="L26" s="113"/>
      <c r="M26" s="12"/>
      <c r="N26" s="12"/>
    </row>
    <row r="27" customFormat="false" ht="18" hidden="false" customHeight="true" outlineLevel="0" collapsed="false">
      <c r="A27" s="12"/>
      <c r="B27" s="111" t="s">
        <v>797</v>
      </c>
      <c r="C27" s="110" t="n">
        <f aca="false">IF(ISNUMBER(GrESt_Override),GrESt_Override,IFERROR(VLOOKUP(Bundesland,GrESt_Tab,2,FALSE()),0))</f>
        <v>0.05</v>
      </c>
      <c r="D27" s="110"/>
      <c r="E27" s="70"/>
      <c r="F27" s="293"/>
      <c r="G27" s="113"/>
      <c r="H27" s="113"/>
      <c r="I27" s="113"/>
      <c r="J27" s="113"/>
      <c r="K27" s="113"/>
      <c r="L27" s="113"/>
      <c r="M27" s="12"/>
      <c r="N27" s="12"/>
    </row>
    <row r="28" customFormat="false" ht="18" hidden="false" customHeight="true" outlineLevel="0" collapsed="false">
      <c r="A28" s="12"/>
      <c r="B28" s="111" t="s">
        <v>206</v>
      </c>
      <c r="C28" s="129" t="n">
        <f aca="false">(Kaufpreis-KP_bewegl)*GrESt_Satz</f>
        <v>13850</v>
      </c>
      <c r="D28" s="129"/>
      <c r="E28" s="70"/>
      <c r="F28" s="70"/>
      <c r="G28" s="113" t="s">
        <v>798</v>
      </c>
      <c r="H28" s="113"/>
      <c r="I28" s="113"/>
      <c r="J28" s="113"/>
      <c r="K28" s="113"/>
      <c r="L28" s="113"/>
      <c r="M28" s="12"/>
      <c r="N28" s="12"/>
    </row>
    <row r="29" customFormat="false" ht="18" hidden="false" customHeight="true" outlineLevel="0" collapsed="false">
      <c r="A29" s="12"/>
      <c r="B29" s="111" t="s">
        <v>210</v>
      </c>
      <c r="C29" s="294" t="n">
        <f aca="false">Notar_Pct</f>
        <v>0.015</v>
      </c>
      <c r="D29" s="294"/>
      <c r="E29" s="70"/>
      <c r="F29" s="161" t="s">
        <v>795</v>
      </c>
      <c r="G29" s="113" t="s">
        <v>799</v>
      </c>
      <c r="H29" s="113"/>
      <c r="I29" s="113"/>
      <c r="J29" s="113"/>
      <c r="K29" s="113"/>
      <c r="L29" s="113"/>
      <c r="M29" s="12"/>
      <c r="N29" s="12"/>
    </row>
    <row r="30" customFormat="false" ht="18" hidden="false" customHeight="true" outlineLevel="0" collapsed="false">
      <c r="A30" s="12"/>
      <c r="B30" s="111" t="s">
        <v>800</v>
      </c>
      <c r="C30" s="294" t="n">
        <f aca="false">Grundbuch_Pct</f>
        <v>0.005</v>
      </c>
      <c r="D30" s="294"/>
      <c r="E30" s="70"/>
      <c r="F30" s="161" t="s">
        <v>795</v>
      </c>
      <c r="G30" s="113" t="s">
        <v>801</v>
      </c>
      <c r="H30" s="113"/>
      <c r="I30" s="113"/>
      <c r="J30" s="113"/>
      <c r="K30" s="113"/>
      <c r="L30" s="113"/>
      <c r="M30" s="12"/>
      <c r="N30" s="12"/>
    </row>
    <row r="31" customFormat="false" ht="18" hidden="false" customHeight="true" outlineLevel="0" collapsed="false">
      <c r="A31" s="12"/>
      <c r="B31" s="111" t="s">
        <v>216</v>
      </c>
      <c r="C31" s="294" t="n">
        <f aca="false">Makler_Pct</f>
        <v>0.0357</v>
      </c>
      <c r="D31" s="294"/>
      <c r="E31" s="70"/>
      <c r="F31" s="161" t="s">
        <v>795</v>
      </c>
      <c r="G31" s="113" t="s">
        <v>802</v>
      </c>
      <c r="H31" s="113"/>
      <c r="I31" s="113"/>
      <c r="J31" s="113"/>
      <c r="K31" s="113"/>
      <c r="L31" s="113"/>
      <c r="M31" s="12"/>
      <c r="N31" s="12"/>
    </row>
    <row r="32" customFormat="false" ht="18" hidden="false" customHeight="true" outlineLevel="0" collapsed="false">
      <c r="A32" s="12"/>
      <c r="B32" s="295" t="s">
        <v>219</v>
      </c>
      <c r="C32" s="296" t="n">
        <f aca="false">NK_Sonst</f>
        <v>500</v>
      </c>
      <c r="D32" s="296"/>
      <c r="E32" s="297"/>
      <c r="F32" s="298" t="s">
        <v>795</v>
      </c>
      <c r="G32" s="299" t="s">
        <v>803</v>
      </c>
      <c r="H32" s="299"/>
      <c r="I32" s="299"/>
      <c r="J32" s="299"/>
      <c r="K32" s="299"/>
      <c r="L32" s="299"/>
      <c r="M32" s="12"/>
      <c r="N32" s="12"/>
    </row>
    <row r="33" customFormat="false" ht="18" hidden="false" customHeight="true" outlineLevel="0" collapsed="false">
      <c r="A33" s="12"/>
      <c r="B33" s="300" t="s">
        <v>804</v>
      </c>
      <c r="C33" s="301" t="n">
        <f aca="false">Kaufpreis*Notar_Pct</f>
        <v>4275</v>
      </c>
      <c r="D33" s="301"/>
      <c r="E33" s="302"/>
      <c r="F33" s="303"/>
      <c r="G33" s="304"/>
      <c r="H33" s="304"/>
      <c r="I33" s="304"/>
      <c r="J33" s="304"/>
      <c r="K33" s="304"/>
      <c r="L33" s="304"/>
      <c r="M33" s="12"/>
      <c r="N33" s="12"/>
    </row>
    <row r="34" customFormat="false" ht="18" hidden="false" customHeight="true" outlineLevel="0" collapsed="false">
      <c r="A34" s="12"/>
      <c r="B34" s="290" t="s">
        <v>805</v>
      </c>
      <c r="C34" s="129" t="n">
        <f aca="false">Kaufpreis*Grundbuch_Pct</f>
        <v>1425</v>
      </c>
      <c r="D34" s="129"/>
      <c r="E34" s="70"/>
      <c r="F34" s="293"/>
      <c r="G34" s="113"/>
      <c r="H34" s="113"/>
      <c r="I34" s="113"/>
      <c r="J34" s="113"/>
      <c r="K34" s="113"/>
      <c r="L34" s="113"/>
      <c r="M34" s="12"/>
      <c r="N34" s="12"/>
    </row>
    <row r="35" customFormat="false" ht="18" hidden="false" customHeight="true" outlineLevel="0" collapsed="false">
      <c r="A35" s="12"/>
      <c r="B35" s="290" t="s">
        <v>806</v>
      </c>
      <c r="C35" s="129" t="n">
        <f aca="false">Kaufpreis*Makler_Pct</f>
        <v>10174.5</v>
      </c>
      <c r="D35" s="129"/>
      <c r="E35" s="70"/>
      <c r="F35" s="293"/>
      <c r="G35" s="113"/>
      <c r="H35" s="113"/>
      <c r="I35" s="113"/>
      <c r="J35" s="113"/>
      <c r="K35" s="113"/>
      <c r="L35" s="113"/>
      <c r="M35" s="12"/>
      <c r="N35" s="12"/>
    </row>
    <row r="36" customFormat="false" ht="18" hidden="false" customHeight="true" outlineLevel="0" collapsed="false">
      <c r="A36" s="12"/>
      <c r="B36" s="305" t="s">
        <v>807</v>
      </c>
      <c r="C36" s="147" t="n">
        <f aca="false">GrESt_Betrag+Notar_Betrag+Grundbuch_Betrag+Makler_Betrag+NK_Sonst</f>
        <v>30224.5</v>
      </c>
      <c r="D36" s="147"/>
      <c r="E36" s="306"/>
      <c r="F36" s="307"/>
      <c r="G36" s="308"/>
      <c r="H36" s="308"/>
      <c r="I36" s="308"/>
      <c r="J36" s="308"/>
      <c r="K36" s="308"/>
      <c r="L36" s="308"/>
      <c r="M36" s="12"/>
      <c r="N36" s="12"/>
    </row>
    <row r="37" customFormat="false" ht="18" hidden="false" customHeight="true" outlineLevel="0" collapsed="false">
      <c r="A37" s="12"/>
      <c r="B37" s="309" t="s">
        <v>222</v>
      </c>
      <c r="C37" s="310" t="n">
        <f aca="false">IF(Kaufpreis&gt;0,NK_Summe/Kaufpreis,0)</f>
        <v>0.106050877192982</v>
      </c>
      <c r="D37" s="310"/>
      <c r="E37" s="280"/>
      <c r="F37" s="311"/>
      <c r="G37" s="312"/>
      <c r="H37" s="312"/>
      <c r="I37" s="312"/>
      <c r="J37" s="312"/>
      <c r="K37" s="312"/>
      <c r="L37" s="312"/>
      <c r="M37" s="12"/>
      <c r="N37" s="12"/>
    </row>
    <row r="38" customFormat="false" ht="12" hidden="false" customHeight="true" outlineLevel="0" collapsed="false">
      <c r="A38" s="12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12"/>
      <c r="N38" s="12"/>
    </row>
    <row r="39" customFormat="false" ht="24" hidden="false" customHeight="true" outlineLevel="0" collapsed="false">
      <c r="A39" s="12"/>
      <c r="B39" s="284" t="s">
        <v>808</v>
      </c>
      <c r="C39" s="264"/>
      <c r="D39" s="264"/>
      <c r="E39" s="264"/>
      <c r="F39" s="264"/>
      <c r="G39" s="264"/>
      <c r="H39" s="264"/>
      <c r="I39" s="264"/>
      <c r="J39" s="264"/>
      <c r="K39" s="264"/>
      <c r="L39" s="35" t="s">
        <v>659</v>
      </c>
      <c r="M39" s="12"/>
      <c r="N39" s="12"/>
    </row>
    <row r="40" customFormat="false" ht="19.5" hidden="false" customHeight="true" outlineLevel="0" collapsed="false">
      <c r="A40" s="12"/>
      <c r="B40" s="96" t="s">
        <v>141</v>
      </c>
      <c r="C40" s="109" t="s">
        <v>773</v>
      </c>
      <c r="D40" s="109"/>
      <c r="E40" s="96" t="s">
        <v>143</v>
      </c>
      <c r="F40" s="96" t="s">
        <v>774</v>
      </c>
      <c r="G40" s="96" t="s">
        <v>775</v>
      </c>
      <c r="H40" s="96"/>
      <c r="I40" s="96"/>
      <c r="J40" s="96"/>
      <c r="K40" s="96"/>
      <c r="L40" s="96"/>
      <c r="M40" s="12"/>
      <c r="N40" s="12"/>
    </row>
    <row r="41" customFormat="false" ht="18" hidden="false" customHeight="true" outlineLevel="0" collapsed="false">
      <c r="A41" s="12"/>
      <c r="B41" s="111" t="s">
        <v>809</v>
      </c>
      <c r="C41" s="294" t="n">
        <f aca="false">Grundschuld_Pct</f>
        <v>0.005</v>
      </c>
      <c r="D41" s="294"/>
      <c r="E41" s="70" t="s">
        <v>810</v>
      </c>
      <c r="F41" s="161" t="s">
        <v>811</v>
      </c>
      <c r="G41" s="113" t="s">
        <v>812</v>
      </c>
      <c r="H41" s="113"/>
      <c r="I41" s="113"/>
      <c r="J41" s="113"/>
      <c r="K41" s="113"/>
      <c r="L41" s="113"/>
      <c r="M41" s="12"/>
      <c r="N41" s="12"/>
    </row>
    <row r="42" customFormat="false" ht="18" hidden="false" customHeight="true" outlineLevel="0" collapsed="false">
      <c r="A42" s="12"/>
      <c r="B42" s="111" t="s">
        <v>813</v>
      </c>
      <c r="C42" s="289" t="n">
        <f aca="false">Fin_NK_Sonst</f>
        <v>500</v>
      </c>
      <c r="D42" s="289"/>
      <c r="E42" s="70"/>
      <c r="F42" s="161" t="s">
        <v>811</v>
      </c>
      <c r="G42" s="113" t="s">
        <v>814</v>
      </c>
      <c r="H42" s="113"/>
      <c r="I42" s="113"/>
      <c r="J42" s="113"/>
      <c r="K42" s="113"/>
      <c r="L42" s="113"/>
      <c r="M42" s="12"/>
      <c r="N42" s="12"/>
    </row>
    <row r="43" customFormat="false" ht="18" hidden="false" customHeight="true" outlineLevel="0" collapsed="false">
      <c r="A43" s="12"/>
      <c r="B43" s="295" t="s">
        <v>357</v>
      </c>
      <c r="C43" s="313" t="n">
        <f aca="false">Disagio_Pct</f>
        <v>0</v>
      </c>
      <c r="D43" s="313"/>
      <c r="E43" s="297"/>
      <c r="F43" s="298" t="s">
        <v>811</v>
      </c>
      <c r="G43" s="299" t="s">
        <v>815</v>
      </c>
      <c r="H43" s="299"/>
      <c r="I43" s="299"/>
      <c r="J43" s="299"/>
      <c r="K43" s="299"/>
      <c r="L43" s="299"/>
      <c r="M43" s="12"/>
      <c r="N43" s="12"/>
    </row>
    <row r="44" customFormat="false" ht="18" hidden="false" customHeight="true" outlineLevel="0" collapsed="false">
      <c r="A44" s="12"/>
      <c r="B44" s="300" t="s">
        <v>816</v>
      </c>
      <c r="C44" s="301" t="n">
        <f aca="false">(Darlehen_I+Darlehen_II)*Grundschuld_Pct</f>
        <v>1250</v>
      </c>
      <c r="D44" s="301"/>
      <c r="E44" s="302"/>
      <c r="F44" s="303"/>
      <c r="G44" s="304"/>
      <c r="H44" s="304"/>
      <c r="I44" s="304"/>
      <c r="J44" s="304"/>
      <c r="K44" s="304"/>
      <c r="L44" s="304"/>
      <c r="M44" s="12"/>
      <c r="N44" s="12"/>
    </row>
    <row r="45" customFormat="false" ht="18" hidden="false" customHeight="true" outlineLevel="0" collapsed="false">
      <c r="A45" s="12"/>
      <c r="B45" s="290" t="s">
        <v>817</v>
      </c>
      <c r="C45" s="129" t="n">
        <f aca="false">Darlehen_I*Disagio_Pct</f>
        <v>0</v>
      </c>
      <c r="D45" s="129"/>
      <c r="E45" s="70"/>
      <c r="F45" s="70"/>
      <c r="G45" s="113" t="s">
        <v>818</v>
      </c>
      <c r="H45" s="113"/>
      <c r="I45" s="113"/>
      <c r="J45" s="113"/>
      <c r="K45" s="113"/>
      <c r="L45" s="113"/>
      <c r="M45" s="12"/>
      <c r="N45" s="12"/>
    </row>
    <row r="46" customFormat="false" ht="18" hidden="false" customHeight="true" outlineLevel="0" collapsed="false">
      <c r="A46" s="12"/>
      <c r="B46" s="305" t="s">
        <v>819</v>
      </c>
      <c r="C46" s="147" t="n">
        <f aca="false">Grundschuld_Betrag+Fin_NK_Sonst+Disagio_Betrag</f>
        <v>1750</v>
      </c>
      <c r="D46" s="147"/>
      <c r="E46" s="306"/>
      <c r="F46" s="307"/>
      <c r="G46" s="308"/>
      <c r="H46" s="308"/>
      <c r="I46" s="308"/>
      <c r="J46" s="308"/>
      <c r="K46" s="308"/>
      <c r="L46" s="308"/>
      <c r="M46" s="12"/>
      <c r="N46" s="12"/>
    </row>
    <row r="47" customFormat="false" ht="12" hidden="false" customHeight="true" outlineLevel="0" collapsed="false">
      <c r="A47" s="12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12"/>
      <c r="N47" s="12"/>
    </row>
    <row r="48" customFormat="false" ht="24" hidden="false" customHeight="true" outlineLevel="0" collapsed="false">
      <c r="A48" s="12"/>
      <c r="B48" s="284" t="s">
        <v>820</v>
      </c>
      <c r="C48" s="264"/>
      <c r="D48" s="264"/>
      <c r="E48" s="264"/>
      <c r="F48" s="264"/>
      <c r="G48" s="264"/>
      <c r="H48" s="264"/>
      <c r="I48" s="264"/>
      <c r="J48" s="264"/>
      <c r="K48" s="264"/>
      <c r="L48" s="35" t="s">
        <v>659</v>
      </c>
      <c r="M48" s="12"/>
      <c r="N48" s="12"/>
    </row>
    <row r="49" customFormat="false" ht="19.5" hidden="false" customHeight="true" outlineLevel="0" collapsed="false">
      <c r="A49" s="12"/>
      <c r="B49" s="96" t="s">
        <v>141</v>
      </c>
      <c r="C49" s="109" t="s">
        <v>773</v>
      </c>
      <c r="D49" s="109"/>
      <c r="E49" s="96" t="s">
        <v>143</v>
      </c>
      <c r="F49" s="96" t="s">
        <v>774</v>
      </c>
      <c r="G49" s="96" t="s">
        <v>775</v>
      </c>
      <c r="H49" s="96"/>
      <c r="I49" s="96"/>
      <c r="J49" s="96"/>
      <c r="K49" s="96"/>
      <c r="L49" s="96"/>
      <c r="M49" s="12"/>
      <c r="N49" s="12"/>
    </row>
    <row r="50" customFormat="false" ht="18" hidden="false" customHeight="true" outlineLevel="0" collapsed="false">
      <c r="A50" s="12"/>
      <c r="B50" s="111" t="s">
        <v>237</v>
      </c>
      <c r="C50" s="285" t="str">
        <f aca="false">KPA_Methode</f>
        <v>Bodenrichtwert × Grundstücks-/Miteigentumsanteil</v>
      </c>
      <c r="D50" s="285"/>
      <c r="E50" s="70"/>
      <c r="F50" s="161" t="s">
        <v>821</v>
      </c>
      <c r="G50" s="113" t="s">
        <v>822</v>
      </c>
      <c r="H50" s="113"/>
      <c r="I50" s="113"/>
      <c r="J50" s="113"/>
      <c r="K50" s="113"/>
      <c r="L50" s="113"/>
      <c r="M50" s="12"/>
      <c r="N50" s="12"/>
    </row>
    <row r="51" customFormat="false" ht="18" hidden="false" customHeight="true" outlineLevel="0" collapsed="false">
      <c r="A51" s="12"/>
      <c r="B51" s="111" t="s">
        <v>241</v>
      </c>
      <c r="C51" s="289" t="n">
        <f aca="false">Bodenrichtwert</f>
        <v>450</v>
      </c>
      <c r="D51" s="289"/>
      <c r="E51" s="70" t="s">
        <v>242</v>
      </c>
      <c r="F51" s="161" t="s">
        <v>821</v>
      </c>
      <c r="G51" s="113" t="s">
        <v>823</v>
      </c>
      <c r="H51" s="113"/>
      <c r="I51" s="113"/>
      <c r="J51" s="113"/>
      <c r="K51" s="113"/>
      <c r="L51" s="113"/>
      <c r="M51" s="12"/>
      <c r="N51" s="12"/>
    </row>
    <row r="52" customFormat="false" ht="18" hidden="false" customHeight="true" outlineLevel="0" collapsed="false">
      <c r="A52" s="12"/>
      <c r="B52" s="111" t="s">
        <v>245</v>
      </c>
      <c r="C52" s="292" t="n">
        <f aca="false">Bodenanteil_Pct</f>
        <v>0.2</v>
      </c>
      <c r="D52" s="292"/>
      <c r="E52" s="70"/>
      <c r="F52" s="161" t="s">
        <v>821</v>
      </c>
      <c r="G52" s="113" t="s">
        <v>824</v>
      </c>
      <c r="H52" s="113"/>
      <c r="I52" s="113"/>
      <c r="J52" s="113"/>
      <c r="K52" s="113"/>
      <c r="L52" s="113"/>
      <c r="M52" s="12"/>
      <c r="N52" s="12"/>
    </row>
    <row r="53" customFormat="false" ht="18" hidden="false" customHeight="true" outlineLevel="0" collapsed="false">
      <c r="A53" s="12"/>
      <c r="B53" s="295" t="s">
        <v>825</v>
      </c>
      <c r="C53" s="296" t="n">
        <f aca="false">Gebaeudewert_Gutachten</f>
        <v>0</v>
      </c>
      <c r="D53" s="296"/>
      <c r="E53" s="297"/>
      <c r="F53" s="298" t="s">
        <v>821</v>
      </c>
      <c r="G53" s="299" t="s">
        <v>826</v>
      </c>
      <c r="H53" s="299"/>
      <c r="I53" s="299"/>
      <c r="J53" s="299"/>
      <c r="K53" s="299"/>
      <c r="L53" s="299"/>
      <c r="M53" s="12"/>
      <c r="N53" s="12"/>
    </row>
    <row r="54" customFormat="false" ht="18" hidden="false" customHeight="true" outlineLevel="0" collapsed="false">
      <c r="A54" s="12"/>
      <c r="B54" s="314" t="s">
        <v>827</v>
      </c>
      <c r="C54" s="301" t="n">
        <f aca="false">Kaufpreis-KP_bewegl-Ruecklage_mitverkauft</f>
        <v>274000</v>
      </c>
      <c r="D54" s="301"/>
      <c r="E54" s="302"/>
      <c r="F54" s="303"/>
      <c r="G54" s="304"/>
      <c r="H54" s="304"/>
      <c r="I54" s="304"/>
      <c r="J54" s="304"/>
      <c r="K54" s="304"/>
      <c r="L54" s="304"/>
      <c r="M54" s="12"/>
      <c r="N54" s="12"/>
    </row>
    <row r="55" customFormat="false" ht="18" hidden="false" customHeight="true" outlineLevel="0" collapsed="false">
      <c r="A55" s="12"/>
      <c r="B55" s="111" t="s">
        <v>240</v>
      </c>
      <c r="C55" s="129" t="n">
        <f aca="false">IF(KPA_Idx=1,MIN(Bodenrichtwert*Grundstueck_qm,KP_Immobilie),IF(KPA_Idx=2,KP_Immobilie*Bodenanteil_Pct,MAX(KP_Immobilie-N(Gebaeudewert_Gutachten),0)))</f>
        <v>54000</v>
      </c>
      <c r="D55" s="129"/>
      <c r="E55" s="70"/>
      <c r="F55" s="293"/>
      <c r="G55" s="113"/>
      <c r="H55" s="113"/>
      <c r="I55" s="113"/>
      <c r="J55" s="113"/>
      <c r="K55" s="113"/>
      <c r="L55" s="113"/>
      <c r="M55" s="12"/>
      <c r="N55" s="12"/>
    </row>
    <row r="56" customFormat="false" ht="18" hidden="false" customHeight="true" outlineLevel="0" collapsed="false">
      <c r="A56" s="12"/>
      <c r="B56" s="315" t="s">
        <v>244</v>
      </c>
      <c r="C56" s="316" t="n">
        <f aca="false">IF(KP_Immobilie&gt;0,(KP_Immobilie-Bodenwert)/KP_Immobilie,0)</f>
        <v>0.802919708029197</v>
      </c>
      <c r="D56" s="316"/>
      <c r="E56" s="317"/>
      <c r="F56" s="318"/>
      <c r="G56" s="319"/>
      <c r="H56" s="319"/>
      <c r="I56" s="319"/>
      <c r="J56" s="319"/>
      <c r="K56" s="319"/>
      <c r="L56" s="319"/>
      <c r="M56" s="12"/>
      <c r="N56" s="12"/>
    </row>
    <row r="57" customFormat="false" ht="18" hidden="false" customHeight="true" outlineLevel="0" collapsed="false">
      <c r="A57" s="12"/>
      <c r="B57" s="111" t="s">
        <v>828</v>
      </c>
      <c r="C57" s="129" t="n">
        <f aca="false">Bodenwert+NK_Summe*(1-Gebaeudeanteil_Pct)</f>
        <v>59956.6532846715</v>
      </c>
      <c r="D57" s="129"/>
      <c r="E57" s="70"/>
      <c r="F57" s="293"/>
      <c r="G57" s="113" t="s">
        <v>829</v>
      </c>
      <c r="H57" s="113"/>
      <c r="I57" s="113"/>
      <c r="J57" s="113"/>
      <c r="K57" s="113"/>
      <c r="L57" s="113"/>
      <c r="M57" s="12"/>
      <c r="N57" s="12"/>
    </row>
    <row r="58" customFormat="false" ht="18" hidden="false" customHeight="true" outlineLevel="0" collapsed="false">
      <c r="A58" s="12"/>
      <c r="B58" s="315" t="s">
        <v>830</v>
      </c>
      <c r="C58" s="142" t="n">
        <f aca="false">(KP_Immobilie-Bodenwert)+NK_Summe*Gebaeudeanteil_Pct</f>
        <v>244267.846715328</v>
      </c>
      <c r="D58" s="142"/>
      <c r="E58" s="317"/>
      <c r="F58" s="318"/>
      <c r="G58" s="319" t="s">
        <v>831</v>
      </c>
      <c r="H58" s="319"/>
      <c r="I58" s="319"/>
      <c r="J58" s="319"/>
      <c r="K58" s="319"/>
      <c r="L58" s="319"/>
      <c r="M58" s="12"/>
      <c r="N58" s="12"/>
    </row>
    <row r="59" customFormat="false" ht="18" hidden="false" customHeight="true" outlineLevel="0" collapsed="false">
      <c r="A59" s="12"/>
      <c r="B59" s="305" t="s">
        <v>832</v>
      </c>
      <c r="C59" s="147" t="n">
        <f aca="false">Kaufpreis+NK_Summe</f>
        <v>315224.5</v>
      </c>
      <c r="D59" s="147"/>
      <c r="E59" s="306"/>
      <c r="F59" s="307"/>
      <c r="G59" s="308" t="s">
        <v>833</v>
      </c>
      <c r="H59" s="308"/>
      <c r="I59" s="308"/>
      <c r="J59" s="308"/>
      <c r="K59" s="308"/>
      <c r="L59" s="308"/>
      <c r="M59" s="12"/>
      <c r="N59" s="12"/>
    </row>
    <row r="60" customFormat="false" ht="12" hidden="false" customHeight="true" outlineLevel="0" collapsed="false">
      <c r="A60" s="12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2"/>
      <c r="N60" s="12"/>
    </row>
    <row r="61" customFormat="false" ht="24" hidden="false" customHeight="true" outlineLevel="0" collapsed="false">
      <c r="A61" s="12"/>
      <c r="B61" s="284" t="s">
        <v>834</v>
      </c>
      <c r="C61" s="264"/>
      <c r="D61" s="264"/>
      <c r="E61" s="264"/>
      <c r="F61" s="264"/>
      <c r="G61" s="264"/>
      <c r="H61" s="264"/>
      <c r="I61" s="264"/>
      <c r="J61" s="264"/>
      <c r="K61" s="264"/>
      <c r="L61" s="35" t="s">
        <v>659</v>
      </c>
      <c r="M61" s="12"/>
      <c r="N61" s="12"/>
    </row>
    <row r="62" customFormat="false" ht="19.5" hidden="false" customHeight="true" outlineLevel="0" collapsed="false">
      <c r="A62" s="12"/>
      <c r="B62" s="96" t="s">
        <v>141</v>
      </c>
      <c r="C62" s="109" t="s">
        <v>773</v>
      </c>
      <c r="D62" s="109"/>
      <c r="E62" s="96" t="s">
        <v>143</v>
      </c>
      <c r="F62" s="96" t="s">
        <v>774</v>
      </c>
      <c r="G62" s="96" t="s">
        <v>775</v>
      </c>
      <c r="H62" s="96"/>
      <c r="I62" s="96"/>
      <c r="J62" s="96"/>
      <c r="K62" s="96"/>
      <c r="L62" s="96"/>
      <c r="M62" s="12"/>
      <c r="N62" s="12"/>
    </row>
    <row r="63" customFormat="false" ht="18" hidden="false" customHeight="true" outlineLevel="0" collapsed="false">
      <c r="A63" s="12"/>
      <c r="B63" s="111" t="s">
        <v>835</v>
      </c>
      <c r="C63" s="289" t="n">
        <f aca="false">Reno_J1</f>
        <v>12000</v>
      </c>
      <c r="D63" s="289"/>
      <c r="E63" s="70"/>
      <c r="F63" s="161" t="s">
        <v>836</v>
      </c>
      <c r="G63" s="113" t="s">
        <v>266</v>
      </c>
      <c r="H63" s="113"/>
      <c r="I63" s="113"/>
      <c r="J63" s="113"/>
      <c r="K63" s="113"/>
      <c r="L63" s="113"/>
      <c r="M63" s="12"/>
      <c r="N63" s="12"/>
    </row>
    <row r="64" customFormat="false" ht="18" hidden="false" customHeight="true" outlineLevel="0" collapsed="false">
      <c r="A64" s="12"/>
      <c r="B64" s="111" t="s">
        <v>837</v>
      </c>
      <c r="C64" s="289" t="n">
        <f aca="false">Reno_J2</f>
        <v>0</v>
      </c>
      <c r="D64" s="289"/>
      <c r="E64" s="70"/>
      <c r="F64" s="161" t="s">
        <v>836</v>
      </c>
      <c r="G64" s="113" t="s">
        <v>838</v>
      </c>
      <c r="H64" s="113"/>
      <c r="I64" s="113"/>
      <c r="J64" s="113"/>
      <c r="K64" s="113"/>
      <c r="L64" s="113"/>
      <c r="M64" s="12"/>
      <c r="N64" s="12"/>
    </row>
    <row r="65" customFormat="false" ht="18" hidden="false" customHeight="true" outlineLevel="0" collapsed="false">
      <c r="A65" s="12"/>
      <c r="B65" s="111" t="s">
        <v>839</v>
      </c>
      <c r="C65" s="289" t="n">
        <f aca="false">Reno_J3</f>
        <v>0</v>
      </c>
      <c r="D65" s="289"/>
      <c r="E65" s="70"/>
      <c r="F65" s="161" t="s">
        <v>836</v>
      </c>
      <c r="G65" s="113" t="s">
        <v>840</v>
      </c>
      <c r="H65" s="113"/>
      <c r="I65" s="113"/>
      <c r="J65" s="113"/>
      <c r="K65" s="113"/>
      <c r="L65" s="113"/>
      <c r="M65" s="12"/>
      <c r="N65" s="12"/>
    </row>
    <row r="66" customFormat="false" ht="18" hidden="false" customHeight="true" outlineLevel="0" collapsed="false">
      <c r="A66" s="12"/>
      <c r="B66" s="111" t="s">
        <v>841</v>
      </c>
      <c r="C66" s="289" t="n">
        <f aca="false">Sonderumlage</f>
        <v>0</v>
      </c>
      <c r="D66" s="289"/>
      <c r="E66" s="70"/>
      <c r="F66" s="161" t="s">
        <v>836</v>
      </c>
      <c r="G66" s="113" t="s">
        <v>842</v>
      </c>
      <c r="H66" s="113"/>
      <c r="I66" s="113"/>
      <c r="J66" s="113"/>
      <c r="K66" s="113"/>
      <c r="L66" s="113"/>
      <c r="M66" s="12"/>
      <c r="N66" s="12"/>
    </row>
    <row r="67" customFormat="false" ht="18" hidden="false" customHeight="true" outlineLevel="0" collapsed="false">
      <c r="A67" s="12"/>
      <c r="B67" s="111" t="s">
        <v>843</v>
      </c>
      <c r="C67" s="285" t="str">
        <f aca="false">Reno_Behandlung</f>
        <v>Automatisch – 15 %-Grenze prüfen (§ 6 Abs. 1 Nr. 1a EStG)</v>
      </c>
      <c r="D67" s="285"/>
      <c r="E67" s="70"/>
      <c r="F67" s="161" t="s">
        <v>836</v>
      </c>
      <c r="G67" s="113" t="s">
        <v>844</v>
      </c>
      <c r="H67" s="113"/>
      <c r="I67" s="113"/>
      <c r="J67" s="113"/>
      <c r="K67" s="113"/>
      <c r="L67" s="113"/>
      <c r="M67" s="12"/>
      <c r="N67" s="12"/>
    </row>
    <row r="68" customFormat="false" ht="18" hidden="false" customHeight="true" outlineLevel="0" collapsed="false">
      <c r="A68" s="12"/>
      <c r="B68" s="111" t="s">
        <v>845</v>
      </c>
      <c r="C68" s="291" t="n">
        <f aca="false">Verteilung_82b</f>
        <v>1</v>
      </c>
      <c r="D68" s="291"/>
      <c r="E68" s="70"/>
      <c r="F68" s="161" t="s">
        <v>836</v>
      </c>
      <c r="G68" s="113" t="s">
        <v>846</v>
      </c>
      <c r="H68" s="113"/>
      <c r="I68" s="113"/>
      <c r="J68" s="113"/>
      <c r="K68" s="113"/>
      <c r="L68" s="113"/>
      <c r="M68" s="12"/>
      <c r="N68" s="12"/>
    </row>
    <row r="69" customFormat="false" ht="18" hidden="false" customHeight="true" outlineLevel="0" collapsed="false">
      <c r="A69" s="12"/>
      <c r="B69" s="111" t="s">
        <v>847</v>
      </c>
      <c r="C69" s="320" t="n">
        <f aca="false">Reno_Wertsteigerung_Pct</f>
        <v>1</v>
      </c>
      <c r="D69" s="320"/>
      <c r="E69" s="70"/>
      <c r="F69" s="161" t="s">
        <v>836</v>
      </c>
      <c r="G69" s="113" t="s">
        <v>848</v>
      </c>
      <c r="H69" s="113"/>
      <c r="I69" s="113"/>
      <c r="J69" s="113"/>
      <c r="K69" s="113"/>
      <c r="L69" s="113"/>
      <c r="M69" s="12"/>
      <c r="N69" s="12"/>
    </row>
    <row r="70" customFormat="false" ht="18" hidden="false" customHeight="true" outlineLevel="0" collapsed="false">
      <c r="A70" s="12"/>
      <c r="B70" s="111" t="s">
        <v>849</v>
      </c>
      <c r="C70" s="289" t="n">
        <f aca="false">Reserve_Einmalig</f>
        <v>5000</v>
      </c>
      <c r="D70" s="289"/>
      <c r="E70" s="70"/>
      <c r="F70" s="161" t="s">
        <v>836</v>
      </c>
      <c r="G70" s="113" t="s">
        <v>850</v>
      </c>
      <c r="H70" s="113"/>
      <c r="I70" s="113"/>
      <c r="J70" s="113"/>
      <c r="K70" s="113"/>
      <c r="L70" s="113"/>
      <c r="M70" s="12"/>
      <c r="N70" s="12"/>
    </row>
    <row r="71" customFormat="false" ht="18" hidden="false" customHeight="true" outlineLevel="0" collapsed="false">
      <c r="A71" s="12"/>
      <c r="B71" s="305" t="s">
        <v>851</v>
      </c>
      <c r="C71" s="147" t="n">
        <f aca="false">Reno_J1+Reno_J2+Reno_J3+Sonderumlage</f>
        <v>12000</v>
      </c>
      <c r="D71" s="147"/>
      <c r="E71" s="306"/>
      <c r="F71" s="307"/>
      <c r="G71" s="308"/>
      <c r="H71" s="308"/>
      <c r="I71" s="308"/>
      <c r="J71" s="308"/>
      <c r="K71" s="308"/>
      <c r="L71" s="308"/>
      <c r="M71" s="12"/>
      <c r="N71" s="12"/>
    </row>
    <row r="72" customFormat="false" ht="18" hidden="false" customHeight="true" outlineLevel="0" collapsed="false">
      <c r="A72" s="12"/>
      <c r="B72" s="309" t="s">
        <v>852</v>
      </c>
      <c r="C72" s="321" t="n">
        <f aca="false">Reno_Summe/(1+USt_Satz)</f>
        <v>10084.0336134454</v>
      </c>
      <c r="D72" s="321"/>
      <c r="E72" s="280"/>
      <c r="F72" s="311"/>
      <c r="G72" s="312"/>
      <c r="H72" s="312"/>
      <c r="I72" s="312"/>
      <c r="J72" s="312"/>
      <c r="K72" s="312"/>
      <c r="L72" s="312"/>
      <c r="M72" s="12"/>
      <c r="N72" s="12"/>
    </row>
    <row r="73" customFormat="false" ht="18" hidden="false" customHeight="true" outlineLevel="0" collapsed="false">
      <c r="A73" s="12"/>
      <c r="B73" s="309" t="s">
        <v>853</v>
      </c>
      <c r="C73" s="321" t="n">
        <f aca="false">AK_Gebaeude*Grenze_15_Satz</f>
        <v>36640.1770072993</v>
      </c>
      <c r="D73" s="321"/>
      <c r="E73" s="280"/>
      <c r="F73" s="311"/>
      <c r="G73" s="312"/>
      <c r="H73" s="312"/>
      <c r="I73" s="312"/>
      <c r="J73" s="312"/>
      <c r="K73" s="312"/>
      <c r="L73" s="312"/>
      <c r="M73" s="12"/>
      <c r="N73" s="12"/>
    </row>
    <row r="74" customFormat="false" ht="12" hidden="false" customHeight="true" outlineLevel="0" collapsed="false">
      <c r="A74" s="12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12"/>
      <c r="N74" s="12"/>
    </row>
    <row r="75" customFormat="false" ht="24" hidden="false" customHeight="true" outlineLevel="0" collapsed="false">
      <c r="A75" s="12"/>
      <c r="B75" s="284" t="s">
        <v>854</v>
      </c>
      <c r="C75" s="264"/>
      <c r="D75" s="264"/>
      <c r="E75" s="264"/>
      <c r="F75" s="264"/>
      <c r="G75" s="264"/>
      <c r="H75" s="264"/>
      <c r="I75" s="264"/>
      <c r="J75" s="264"/>
      <c r="K75" s="264"/>
      <c r="L75" s="35" t="s">
        <v>659</v>
      </c>
      <c r="M75" s="12"/>
      <c r="N75" s="12"/>
    </row>
    <row r="76" customFormat="false" ht="19.5" hidden="false" customHeight="true" outlineLevel="0" collapsed="false">
      <c r="A76" s="12"/>
      <c r="B76" s="96" t="s">
        <v>141</v>
      </c>
      <c r="C76" s="109" t="s">
        <v>773</v>
      </c>
      <c r="D76" s="109"/>
      <c r="E76" s="96" t="s">
        <v>143</v>
      </c>
      <c r="F76" s="96" t="s">
        <v>774</v>
      </c>
      <c r="G76" s="96" t="s">
        <v>775</v>
      </c>
      <c r="H76" s="96"/>
      <c r="I76" s="96"/>
      <c r="J76" s="96"/>
      <c r="K76" s="96"/>
      <c r="L76" s="96"/>
      <c r="M76" s="12"/>
      <c r="N76" s="12"/>
    </row>
    <row r="77" customFormat="false" ht="18" hidden="false" customHeight="true" outlineLevel="0" collapsed="false">
      <c r="A77" s="12"/>
      <c r="B77" s="111" t="s">
        <v>193</v>
      </c>
      <c r="C77" s="289" t="n">
        <f aca="false">Miete_Monat</f>
        <v>950</v>
      </c>
      <c r="D77" s="289"/>
      <c r="E77" s="70" t="s">
        <v>194</v>
      </c>
      <c r="F77" s="161" t="s">
        <v>786</v>
      </c>
      <c r="G77" s="113" t="s">
        <v>855</v>
      </c>
      <c r="H77" s="113"/>
      <c r="I77" s="113"/>
      <c r="J77" s="113"/>
      <c r="K77" s="113"/>
      <c r="L77" s="113"/>
      <c r="M77" s="12"/>
      <c r="N77" s="12"/>
    </row>
    <row r="78" customFormat="false" ht="18" hidden="false" customHeight="true" outlineLevel="0" collapsed="false">
      <c r="A78" s="12"/>
      <c r="B78" s="111" t="s">
        <v>197</v>
      </c>
      <c r="C78" s="289" t="n">
        <f aca="false">NK_umlagefaehig</f>
        <v>220</v>
      </c>
      <c r="D78" s="289"/>
      <c r="E78" s="70" t="s">
        <v>194</v>
      </c>
      <c r="F78" s="161" t="s">
        <v>786</v>
      </c>
      <c r="G78" s="113" t="s">
        <v>856</v>
      </c>
      <c r="H78" s="113"/>
      <c r="I78" s="113"/>
      <c r="J78" s="113"/>
      <c r="K78" s="113"/>
      <c r="L78" s="113"/>
      <c r="M78" s="12"/>
      <c r="N78" s="12"/>
    </row>
    <row r="79" customFormat="false" ht="18" hidden="false" customHeight="true" outlineLevel="0" collapsed="false">
      <c r="A79" s="12"/>
      <c r="B79" s="111" t="s">
        <v>295</v>
      </c>
      <c r="C79" s="289" t="n">
        <f aca="false">Hausgeld</f>
        <v>310</v>
      </c>
      <c r="D79" s="289"/>
      <c r="E79" s="70" t="s">
        <v>194</v>
      </c>
      <c r="F79" s="161" t="s">
        <v>857</v>
      </c>
      <c r="G79" s="113" t="s">
        <v>858</v>
      </c>
      <c r="H79" s="113"/>
      <c r="I79" s="113"/>
      <c r="J79" s="113"/>
      <c r="K79" s="113"/>
      <c r="L79" s="113"/>
      <c r="M79" s="12"/>
      <c r="N79" s="12"/>
    </row>
    <row r="80" customFormat="false" ht="18" hidden="false" customHeight="true" outlineLevel="0" collapsed="false">
      <c r="A80" s="12"/>
      <c r="B80" s="290" t="s">
        <v>298</v>
      </c>
      <c r="C80" s="289" t="n">
        <f aca="false">Hausgeld_nicht_umlagefaehig</f>
        <v>95</v>
      </c>
      <c r="D80" s="289"/>
      <c r="E80" s="70" t="s">
        <v>194</v>
      </c>
      <c r="F80" s="161" t="s">
        <v>857</v>
      </c>
      <c r="G80" s="113" t="s">
        <v>299</v>
      </c>
      <c r="H80" s="113"/>
      <c r="I80" s="113"/>
      <c r="J80" s="113"/>
      <c r="K80" s="113"/>
      <c r="L80" s="113"/>
      <c r="M80" s="12"/>
      <c r="N80" s="12"/>
    </row>
    <row r="81" customFormat="false" ht="18" hidden="false" customHeight="true" outlineLevel="0" collapsed="false">
      <c r="A81" s="12"/>
      <c r="B81" s="290" t="s">
        <v>859</v>
      </c>
      <c r="C81" s="289" t="n">
        <f aca="false">Hausgeld_Ruecklage</f>
        <v>60</v>
      </c>
      <c r="D81" s="289"/>
      <c r="E81" s="70" t="s">
        <v>194</v>
      </c>
      <c r="F81" s="161" t="s">
        <v>857</v>
      </c>
      <c r="G81" s="113" t="s">
        <v>860</v>
      </c>
      <c r="H81" s="113"/>
      <c r="I81" s="113"/>
      <c r="J81" s="113"/>
      <c r="K81" s="113"/>
      <c r="L81" s="113"/>
      <c r="M81" s="12"/>
      <c r="N81" s="12"/>
    </row>
    <row r="82" customFormat="false" ht="18" hidden="false" customHeight="true" outlineLevel="0" collapsed="false">
      <c r="A82" s="12"/>
      <c r="B82" s="111" t="s">
        <v>861</v>
      </c>
      <c r="C82" s="289" t="n">
        <f aca="false">Verwaltung_Monat</f>
        <v>25</v>
      </c>
      <c r="D82" s="289"/>
      <c r="E82" s="70" t="s">
        <v>194</v>
      </c>
      <c r="F82" s="161" t="s">
        <v>857</v>
      </c>
      <c r="G82" s="113" t="s">
        <v>305</v>
      </c>
      <c r="H82" s="113"/>
      <c r="I82" s="113"/>
      <c r="J82" s="113"/>
      <c r="K82" s="113"/>
      <c r="L82" s="113"/>
      <c r="M82" s="12"/>
      <c r="N82" s="12"/>
    </row>
    <row r="83" customFormat="false" ht="18" hidden="false" customHeight="true" outlineLevel="0" collapsed="false">
      <c r="A83" s="12"/>
      <c r="B83" s="111" t="s">
        <v>307</v>
      </c>
      <c r="C83" s="289" t="n">
        <f aca="false">IH_Ruecklage_qm</f>
        <v>10</v>
      </c>
      <c r="D83" s="289"/>
      <c r="E83" s="70" t="s">
        <v>308</v>
      </c>
      <c r="F83" s="161" t="s">
        <v>857</v>
      </c>
      <c r="G83" s="113" t="s">
        <v>862</v>
      </c>
      <c r="H83" s="113"/>
      <c r="I83" s="113"/>
      <c r="J83" s="113"/>
      <c r="K83" s="113"/>
      <c r="L83" s="113"/>
      <c r="M83" s="12"/>
      <c r="N83" s="12"/>
    </row>
    <row r="84" customFormat="false" ht="18" hidden="false" customHeight="true" outlineLevel="0" collapsed="false">
      <c r="A84" s="12"/>
      <c r="B84" s="111" t="s">
        <v>310</v>
      </c>
      <c r="C84" s="292" t="n">
        <f aca="false">Mietausfall_Pct</f>
        <v>0.03</v>
      </c>
      <c r="D84" s="292"/>
      <c r="E84" s="70" t="s">
        <v>311</v>
      </c>
      <c r="F84" s="161" t="s">
        <v>857</v>
      </c>
      <c r="G84" s="113" t="s">
        <v>863</v>
      </c>
      <c r="H84" s="113"/>
      <c r="I84" s="113"/>
      <c r="J84" s="113"/>
      <c r="K84" s="113"/>
      <c r="L84" s="113"/>
      <c r="M84" s="12"/>
      <c r="N84" s="12"/>
    </row>
    <row r="85" customFormat="false" ht="18" hidden="false" customHeight="true" outlineLevel="0" collapsed="false">
      <c r="A85" s="12"/>
      <c r="B85" s="111" t="s">
        <v>864</v>
      </c>
      <c r="C85" s="322" t="n">
        <f aca="false">Leerstand_Monate</f>
        <v>0</v>
      </c>
      <c r="D85" s="322"/>
      <c r="E85" s="70"/>
      <c r="F85" s="161" t="s">
        <v>857</v>
      </c>
      <c r="G85" s="113" t="s">
        <v>865</v>
      </c>
      <c r="H85" s="113"/>
      <c r="I85" s="113"/>
      <c r="J85" s="113"/>
      <c r="K85" s="113"/>
      <c r="L85" s="113"/>
      <c r="M85" s="12"/>
      <c r="N85" s="12"/>
    </row>
    <row r="86" customFormat="false" ht="18" hidden="false" customHeight="true" outlineLevel="0" collapsed="false">
      <c r="A86" s="12"/>
      <c r="B86" s="111" t="s">
        <v>866</v>
      </c>
      <c r="C86" s="289" t="n">
        <f aca="false">Sonst_WK_pa</f>
        <v>300</v>
      </c>
      <c r="D86" s="289"/>
      <c r="E86" s="70" t="s">
        <v>317</v>
      </c>
      <c r="F86" s="161" t="s">
        <v>857</v>
      </c>
      <c r="G86" s="113" t="s">
        <v>318</v>
      </c>
      <c r="H86" s="113"/>
      <c r="I86" s="113"/>
      <c r="J86" s="113"/>
      <c r="K86" s="113"/>
      <c r="L86" s="113"/>
      <c r="M86" s="12"/>
      <c r="N86" s="12"/>
    </row>
    <row r="87" customFormat="false" ht="18" hidden="false" customHeight="true" outlineLevel="0" collapsed="false">
      <c r="A87" s="12"/>
      <c r="B87" s="111" t="s">
        <v>465</v>
      </c>
      <c r="C87" s="292" t="n">
        <f aca="false">Mietsteigerung</f>
        <v>0.02</v>
      </c>
      <c r="D87" s="292"/>
      <c r="E87" s="70"/>
      <c r="F87" s="161" t="s">
        <v>867</v>
      </c>
      <c r="G87" s="113" t="s">
        <v>868</v>
      </c>
      <c r="H87" s="113"/>
      <c r="I87" s="113"/>
      <c r="J87" s="113"/>
      <c r="K87" s="113"/>
      <c r="L87" s="113"/>
      <c r="M87" s="12"/>
      <c r="N87" s="12"/>
    </row>
    <row r="88" customFormat="false" ht="18" hidden="false" customHeight="true" outlineLevel="0" collapsed="false">
      <c r="A88" s="12"/>
      <c r="B88" s="111" t="s">
        <v>468</v>
      </c>
      <c r="C88" s="292" t="n">
        <f aca="false">Kostensteigerung</f>
        <v>0.02</v>
      </c>
      <c r="D88" s="292"/>
      <c r="E88" s="70"/>
      <c r="F88" s="161" t="s">
        <v>867</v>
      </c>
      <c r="G88" s="113" t="s">
        <v>469</v>
      </c>
      <c r="H88" s="113"/>
      <c r="I88" s="113"/>
      <c r="J88" s="113"/>
      <c r="K88" s="113"/>
      <c r="L88" s="113"/>
      <c r="M88" s="12"/>
      <c r="N88" s="12"/>
    </row>
    <row r="89" customFormat="false" ht="18" hidden="false" customHeight="true" outlineLevel="0" collapsed="false">
      <c r="A89" s="12"/>
      <c r="B89" s="295" t="s">
        <v>471</v>
      </c>
      <c r="C89" s="323" t="n">
        <f aca="false">Wertsteigerung</f>
        <v>0.02</v>
      </c>
      <c r="D89" s="323"/>
      <c r="E89" s="297"/>
      <c r="F89" s="298" t="s">
        <v>867</v>
      </c>
      <c r="G89" s="299" t="s">
        <v>472</v>
      </c>
      <c r="H89" s="299"/>
      <c r="I89" s="299"/>
      <c r="J89" s="299"/>
      <c r="K89" s="299"/>
      <c r="L89" s="299"/>
      <c r="M89" s="12"/>
      <c r="N89" s="12"/>
    </row>
    <row r="90" customFormat="false" ht="18" hidden="false" customHeight="true" outlineLevel="0" collapsed="false">
      <c r="A90" s="12"/>
      <c r="B90" s="314" t="s">
        <v>583</v>
      </c>
      <c r="C90" s="301" t="n">
        <f aca="false">Miete_Monat*12</f>
        <v>11400</v>
      </c>
      <c r="D90" s="301"/>
      <c r="E90" s="302"/>
      <c r="F90" s="303"/>
      <c r="G90" s="304"/>
      <c r="H90" s="304"/>
      <c r="I90" s="304"/>
      <c r="J90" s="304"/>
      <c r="K90" s="304"/>
      <c r="L90" s="304"/>
      <c r="M90" s="12"/>
      <c r="N90" s="12"/>
    </row>
    <row r="91" customFormat="false" ht="18" hidden="false" customHeight="true" outlineLevel="0" collapsed="false">
      <c r="A91" s="12"/>
      <c r="B91" s="111" t="s">
        <v>869</v>
      </c>
      <c r="C91" s="132" t="n">
        <f aca="false">IF(Wohnflaeche&gt;0,Miete_Monat/Wohnflaeche,0)</f>
        <v>12.6666666666667</v>
      </c>
      <c r="D91" s="132"/>
      <c r="E91" s="70"/>
      <c r="F91" s="293"/>
      <c r="G91" s="113"/>
      <c r="H91" s="113"/>
      <c r="I91" s="113"/>
      <c r="J91" s="113"/>
      <c r="K91" s="113"/>
      <c r="L91" s="113"/>
      <c r="M91" s="12"/>
      <c r="N91" s="12"/>
    </row>
    <row r="92" customFormat="false" ht="18" hidden="false" customHeight="true" outlineLevel="0" collapsed="false">
      <c r="A92" s="12"/>
      <c r="B92" s="305" t="s">
        <v>600</v>
      </c>
      <c r="C92" s="135" t="n">
        <f aca="false">IF(Kaufpreis&gt;0,Jahresmiete/Kaufpreis,0)</f>
        <v>0.04</v>
      </c>
      <c r="D92" s="135"/>
      <c r="E92" s="306"/>
      <c r="F92" s="307"/>
      <c r="G92" s="308"/>
      <c r="H92" s="308"/>
      <c r="I92" s="308"/>
      <c r="J92" s="308"/>
      <c r="K92" s="308"/>
      <c r="L92" s="308"/>
      <c r="M92" s="12"/>
      <c r="N92" s="12"/>
    </row>
    <row r="93" customFormat="false" ht="18" hidden="false" customHeight="true" outlineLevel="0" collapsed="false">
      <c r="A93" s="12"/>
      <c r="B93" s="309" t="s">
        <v>605</v>
      </c>
      <c r="C93" s="324" t="n">
        <f aca="false">IF(Jahresmiete&gt;0,Kaufpreis/Jahresmiete,0)</f>
        <v>25</v>
      </c>
      <c r="D93" s="324"/>
      <c r="E93" s="280"/>
      <c r="F93" s="311"/>
      <c r="G93" s="312"/>
      <c r="H93" s="312"/>
      <c r="I93" s="312"/>
      <c r="J93" s="312"/>
      <c r="K93" s="312"/>
      <c r="L93" s="312"/>
      <c r="M93" s="12"/>
      <c r="N93" s="12"/>
    </row>
    <row r="94" customFormat="false" ht="12" hidden="false" customHeight="true" outlineLevel="0" collapsed="false">
      <c r="A94" s="12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12"/>
      <c r="N94" s="12"/>
    </row>
    <row r="95" customFormat="false" ht="24" hidden="false" customHeight="true" outlineLevel="0" collapsed="false">
      <c r="A95" s="12"/>
      <c r="B95" s="284" t="s">
        <v>870</v>
      </c>
      <c r="C95" s="264"/>
      <c r="D95" s="264"/>
      <c r="E95" s="264"/>
      <c r="F95" s="264"/>
      <c r="G95" s="264"/>
      <c r="H95" s="264"/>
      <c r="I95" s="264"/>
      <c r="J95" s="264"/>
      <c r="K95" s="264"/>
      <c r="L95" s="35" t="s">
        <v>659</v>
      </c>
      <c r="M95" s="12"/>
      <c r="N95" s="12"/>
    </row>
    <row r="96" customFormat="false" ht="19.5" hidden="false" customHeight="true" outlineLevel="0" collapsed="false">
      <c r="A96" s="12"/>
      <c r="B96" s="96" t="s">
        <v>141</v>
      </c>
      <c r="C96" s="109" t="s">
        <v>773</v>
      </c>
      <c r="D96" s="109"/>
      <c r="E96" s="96" t="s">
        <v>143</v>
      </c>
      <c r="F96" s="96" t="s">
        <v>774</v>
      </c>
      <c r="G96" s="96" t="s">
        <v>775</v>
      </c>
      <c r="H96" s="96"/>
      <c r="I96" s="96"/>
      <c r="J96" s="96"/>
      <c r="K96" s="96"/>
      <c r="L96" s="96"/>
      <c r="M96" s="12"/>
      <c r="N96" s="12"/>
    </row>
    <row r="97" customFormat="false" ht="18" hidden="false" customHeight="true" outlineLevel="0" collapsed="false">
      <c r="A97" s="12"/>
      <c r="B97" s="111" t="s">
        <v>335</v>
      </c>
      <c r="C97" s="289" t="n">
        <f aca="false">Darlehen_I</f>
        <v>250000</v>
      </c>
      <c r="D97" s="289"/>
      <c r="E97" s="70"/>
      <c r="F97" s="161" t="s">
        <v>811</v>
      </c>
      <c r="G97" s="113" t="s">
        <v>336</v>
      </c>
      <c r="H97" s="113"/>
      <c r="I97" s="113"/>
      <c r="J97" s="113"/>
      <c r="K97" s="113"/>
      <c r="L97" s="113"/>
      <c r="M97" s="12"/>
      <c r="N97" s="12"/>
    </row>
    <row r="98" customFormat="false" ht="18" hidden="false" customHeight="true" outlineLevel="0" collapsed="false">
      <c r="A98" s="12"/>
      <c r="B98" s="111" t="s">
        <v>338</v>
      </c>
      <c r="C98" s="294" t="n">
        <f aca="false">Zins_I</f>
        <v>0.036</v>
      </c>
      <c r="D98" s="294"/>
      <c r="E98" s="70"/>
      <c r="F98" s="161" t="s">
        <v>811</v>
      </c>
      <c r="G98" s="113"/>
      <c r="H98" s="113"/>
      <c r="I98" s="113"/>
      <c r="J98" s="113"/>
      <c r="K98" s="113"/>
      <c r="L98" s="113"/>
      <c r="M98" s="12"/>
      <c r="N98" s="12"/>
    </row>
    <row r="99" customFormat="false" ht="18" hidden="false" customHeight="true" outlineLevel="0" collapsed="false">
      <c r="A99" s="12"/>
      <c r="B99" s="111" t="s">
        <v>340</v>
      </c>
      <c r="C99" s="294" t="n">
        <f aca="false">Tilgung_I</f>
        <v>0.02</v>
      </c>
      <c r="D99" s="294"/>
      <c r="E99" s="70"/>
      <c r="F99" s="161" t="s">
        <v>811</v>
      </c>
      <c r="G99" s="113" t="s">
        <v>341</v>
      </c>
      <c r="H99" s="113"/>
      <c r="I99" s="113"/>
      <c r="J99" s="113"/>
      <c r="K99" s="113"/>
      <c r="L99" s="113"/>
      <c r="M99" s="12"/>
      <c r="N99" s="12"/>
    </row>
    <row r="100" customFormat="false" ht="18" hidden="false" customHeight="true" outlineLevel="0" collapsed="false">
      <c r="A100" s="12"/>
      <c r="B100" s="111" t="s">
        <v>343</v>
      </c>
      <c r="C100" s="291" t="n">
        <f aca="false">Zinsbindung_I</f>
        <v>10</v>
      </c>
      <c r="D100" s="291"/>
      <c r="E100" s="70"/>
      <c r="F100" s="161" t="s">
        <v>811</v>
      </c>
      <c r="G100" s="113"/>
      <c r="H100" s="113"/>
      <c r="I100" s="113"/>
      <c r="J100" s="113"/>
      <c r="K100" s="113"/>
      <c r="L100" s="113"/>
      <c r="M100" s="12"/>
      <c r="N100" s="12"/>
    </row>
    <row r="101" customFormat="false" ht="18" hidden="false" customHeight="true" outlineLevel="0" collapsed="false">
      <c r="A101" s="12"/>
      <c r="B101" s="111" t="s">
        <v>871</v>
      </c>
      <c r="C101" s="294" t="n">
        <f aca="false">Anschlusszins_I</f>
        <v>0.045</v>
      </c>
      <c r="D101" s="294"/>
      <c r="E101" s="70"/>
      <c r="F101" s="161" t="s">
        <v>811</v>
      </c>
      <c r="G101" s="113" t="s">
        <v>872</v>
      </c>
      <c r="H101" s="113"/>
      <c r="I101" s="113"/>
      <c r="J101" s="113"/>
      <c r="K101" s="113"/>
      <c r="L101" s="113"/>
      <c r="M101" s="12"/>
      <c r="N101" s="12"/>
    </row>
    <row r="102" customFormat="false" ht="18" hidden="false" customHeight="true" outlineLevel="0" collapsed="false">
      <c r="A102" s="12"/>
      <c r="B102" s="111" t="s">
        <v>348</v>
      </c>
      <c r="C102" s="289" t="n">
        <f aca="false">Sondertilgung_I</f>
        <v>0</v>
      </c>
      <c r="D102" s="289"/>
      <c r="E102" s="70" t="s">
        <v>317</v>
      </c>
      <c r="F102" s="161" t="s">
        <v>811</v>
      </c>
      <c r="G102" s="113"/>
      <c r="H102" s="113"/>
      <c r="I102" s="113"/>
      <c r="J102" s="113"/>
      <c r="K102" s="113"/>
      <c r="L102" s="113"/>
      <c r="M102" s="12"/>
      <c r="N102" s="12"/>
    </row>
    <row r="103" customFormat="false" ht="18" hidden="false" customHeight="true" outlineLevel="0" collapsed="false">
      <c r="A103" s="12"/>
      <c r="B103" s="111" t="s">
        <v>873</v>
      </c>
      <c r="C103" s="291" t="n">
        <f aca="false">Tilgungsfrei_I</f>
        <v>0</v>
      </c>
      <c r="D103" s="291"/>
      <c r="E103" s="70"/>
      <c r="F103" s="161" t="s">
        <v>811</v>
      </c>
      <c r="G103" s="113"/>
      <c r="H103" s="113"/>
      <c r="I103" s="113"/>
      <c r="J103" s="113"/>
      <c r="K103" s="113"/>
      <c r="L103" s="113"/>
      <c r="M103" s="12"/>
      <c r="N103" s="12"/>
    </row>
    <row r="104" customFormat="false" ht="18" hidden="false" customHeight="true" outlineLevel="0" collapsed="false">
      <c r="A104" s="12"/>
      <c r="B104" s="111" t="s">
        <v>874</v>
      </c>
      <c r="C104" s="325" t="n">
        <v>0</v>
      </c>
      <c r="D104" s="325"/>
      <c r="E104" s="70"/>
      <c r="F104" s="113"/>
      <c r="G104" s="113" t="s">
        <v>875</v>
      </c>
      <c r="H104" s="113"/>
      <c r="I104" s="113"/>
      <c r="J104" s="113"/>
      <c r="K104" s="113"/>
      <c r="L104" s="113"/>
      <c r="M104" s="12"/>
      <c r="N104" s="12"/>
    </row>
    <row r="105" customFormat="false" ht="18" hidden="false" customHeight="true" outlineLevel="0" collapsed="false">
      <c r="A105" s="12"/>
      <c r="B105" s="111" t="s">
        <v>876</v>
      </c>
      <c r="C105" s="140" t="n">
        <v>0.025</v>
      </c>
      <c r="D105" s="140"/>
      <c r="E105" s="70"/>
      <c r="F105" s="326"/>
      <c r="G105" s="113"/>
      <c r="H105" s="113"/>
      <c r="I105" s="113"/>
      <c r="J105" s="113"/>
      <c r="K105" s="113"/>
      <c r="L105" s="113"/>
      <c r="M105" s="12"/>
      <c r="N105" s="12"/>
    </row>
    <row r="106" customFormat="false" ht="18" hidden="false" customHeight="true" outlineLevel="0" collapsed="false">
      <c r="A106" s="12"/>
      <c r="B106" s="111" t="s">
        <v>877</v>
      </c>
      <c r="C106" s="140" t="n">
        <v>0.03</v>
      </c>
      <c r="D106" s="140"/>
      <c r="E106" s="70"/>
      <c r="F106" s="326"/>
      <c r="G106" s="113"/>
      <c r="H106" s="113"/>
      <c r="I106" s="113"/>
      <c r="J106" s="113"/>
      <c r="K106" s="113"/>
      <c r="L106" s="113"/>
      <c r="M106" s="12"/>
      <c r="N106" s="12"/>
    </row>
    <row r="107" customFormat="false" ht="18" hidden="false" customHeight="true" outlineLevel="0" collapsed="false">
      <c r="A107" s="12"/>
      <c r="B107" s="111" t="s">
        <v>878</v>
      </c>
      <c r="C107" s="133" t="n">
        <v>10</v>
      </c>
      <c r="D107" s="133"/>
      <c r="E107" s="70"/>
      <c r="F107" s="326"/>
      <c r="G107" s="113"/>
      <c r="H107" s="113"/>
      <c r="I107" s="113"/>
      <c r="J107" s="113"/>
      <c r="K107" s="113"/>
      <c r="L107" s="113"/>
      <c r="M107" s="12"/>
      <c r="N107" s="12"/>
    </row>
    <row r="108" customFormat="false" ht="18" hidden="false" customHeight="true" outlineLevel="0" collapsed="false">
      <c r="A108" s="12"/>
      <c r="B108" s="111" t="s">
        <v>879</v>
      </c>
      <c r="C108" s="140" t="n">
        <v>0.04</v>
      </c>
      <c r="D108" s="140"/>
      <c r="E108" s="70"/>
      <c r="F108" s="326"/>
      <c r="G108" s="113"/>
      <c r="H108" s="113"/>
      <c r="I108" s="113"/>
      <c r="J108" s="113"/>
      <c r="K108" s="113"/>
      <c r="L108" s="113"/>
      <c r="M108" s="12"/>
      <c r="N108" s="12"/>
    </row>
    <row r="109" customFormat="false" ht="18" hidden="false" customHeight="true" outlineLevel="0" collapsed="false">
      <c r="A109" s="12"/>
      <c r="B109" s="111" t="s">
        <v>880</v>
      </c>
      <c r="C109" s="325" t="n">
        <v>0</v>
      </c>
      <c r="D109" s="325"/>
      <c r="E109" s="70" t="s">
        <v>317</v>
      </c>
      <c r="F109" s="326"/>
      <c r="G109" s="113"/>
      <c r="H109" s="113"/>
      <c r="I109" s="113"/>
      <c r="J109" s="113"/>
      <c r="K109" s="113"/>
      <c r="L109" s="113"/>
      <c r="M109" s="12"/>
      <c r="N109" s="12"/>
    </row>
    <row r="110" customFormat="false" ht="18" hidden="false" customHeight="true" outlineLevel="0" collapsed="false">
      <c r="A110" s="12"/>
      <c r="B110" s="111" t="s">
        <v>881</v>
      </c>
      <c r="C110" s="133" t="n">
        <v>0</v>
      </c>
      <c r="D110" s="133"/>
      <c r="E110" s="70"/>
      <c r="F110" s="113"/>
      <c r="G110" s="113" t="s">
        <v>882</v>
      </c>
      <c r="H110" s="113"/>
      <c r="I110" s="113"/>
      <c r="J110" s="113"/>
      <c r="K110" s="113"/>
      <c r="L110" s="113"/>
      <c r="M110" s="12"/>
      <c r="N110" s="12"/>
    </row>
    <row r="111" customFormat="false" ht="18" hidden="false" customHeight="true" outlineLevel="0" collapsed="false">
      <c r="A111" s="12"/>
      <c r="B111" s="111" t="s">
        <v>883</v>
      </c>
      <c r="C111" s="140" t="n">
        <v>0</v>
      </c>
      <c r="D111" s="140"/>
      <c r="E111" s="70"/>
      <c r="F111" s="113"/>
      <c r="G111" s="113" t="s">
        <v>884</v>
      </c>
      <c r="H111" s="113"/>
      <c r="I111" s="113"/>
      <c r="J111" s="113"/>
      <c r="K111" s="113"/>
      <c r="L111" s="113"/>
      <c r="M111" s="12"/>
      <c r="N111" s="12"/>
    </row>
    <row r="112" customFormat="false" ht="18" hidden="false" customHeight="true" outlineLevel="0" collapsed="false">
      <c r="A112" s="12"/>
      <c r="B112" s="315" t="s">
        <v>885</v>
      </c>
      <c r="C112" s="142" t="n">
        <f aca="false">Darlehen_I+Darlehen_II</f>
        <v>250000</v>
      </c>
      <c r="D112" s="142"/>
      <c r="E112" s="317"/>
      <c r="F112" s="318"/>
      <c r="G112" s="319"/>
      <c r="H112" s="319"/>
      <c r="I112" s="319"/>
      <c r="J112" s="319"/>
      <c r="K112" s="319"/>
      <c r="L112" s="319"/>
      <c r="M112" s="12"/>
      <c r="N112" s="12"/>
    </row>
    <row r="113" customFormat="false" ht="18" hidden="false" customHeight="true" outlineLevel="0" collapsed="false">
      <c r="A113" s="12"/>
      <c r="B113" s="327" t="s">
        <v>670</v>
      </c>
      <c r="C113" s="189" t="n">
        <f aca="false">Kaufpreis+NK_Summe+FinNK_Summe+Reno_J1+Sonderumlage</f>
        <v>328974.5</v>
      </c>
      <c r="D113" s="189"/>
      <c r="E113" s="70"/>
      <c r="F113" s="328"/>
      <c r="G113" s="113" t="s">
        <v>886</v>
      </c>
      <c r="H113" s="113"/>
      <c r="I113" s="113"/>
      <c r="J113" s="113"/>
      <c r="K113" s="113"/>
      <c r="L113" s="113"/>
      <c r="M113" s="12"/>
      <c r="N113" s="12"/>
    </row>
    <row r="114" customFormat="false" ht="18" hidden="false" customHeight="true" outlineLevel="0" collapsed="false">
      <c r="A114" s="12"/>
      <c r="B114" s="305" t="s">
        <v>887</v>
      </c>
      <c r="C114" s="147" t="n">
        <f aca="false">Gesamtinvestition-Darlehen_Summe</f>
        <v>78974.5</v>
      </c>
      <c r="D114" s="147"/>
      <c r="E114" s="306"/>
      <c r="F114" s="307"/>
      <c r="G114" s="308"/>
      <c r="H114" s="308"/>
      <c r="I114" s="308"/>
      <c r="J114" s="308"/>
      <c r="K114" s="308"/>
      <c r="L114" s="308"/>
      <c r="M114" s="12"/>
      <c r="N114" s="12"/>
    </row>
    <row r="115" customFormat="false" ht="18" hidden="false" customHeight="true" outlineLevel="0" collapsed="false">
      <c r="A115" s="12"/>
      <c r="B115" s="309" t="s">
        <v>342</v>
      </c>
      <c r="C115" s="310" t="n">
        <f aca="false">IF(Gesamtinvestition&gt;0,Eigenkapital/Gesamtinvestition,0)</f>
        <v>0.240062679630184</v>
      </c>
      <c r="D115" s="310"/>
      <c r="E115" s="280"/>
      <c r="F115" s="311"/>
      <c r="G115" s="312"/>
      <c r="H115" s="312"/>
      <c r="I115" s="312"/>
      <c r="J115" s="312"/>
      <c r="K115" s="312"/>
      <c r="L115" s="312"/>
      <c r="M115" s="12"/>
      <c r="N115" s="12"/>
    </row>
    <row r="116" customFormat="false" ht="18" hidden="false" customHeight="true" outlineLevel="0" collapsed="false">
      <c r="A116" s="12"/>
      <c r="B116" s="309" t="s">
        <v>589</v>
      </c>
      <c r="C116" s="310" t="n">
        <f aca="false">IF(Kaufpreis&gt;0,Darlehen_Summe/Kaufpreis,0)</f>
        <v>0.87719298245614</v>
      </c>
      <c r="D116" s="310"/>
      <c r="E116" s="280"/>
      <c r="F116" s="311"/>
      <c r="G116" s="312"/>
      <c r="H116" s="312"/>
      <c r="I116" s="312"/>
      <c r="J116" s="312"/>
      <c r="K116" s="312"/>
      <c r="L116" s="312"/>
      <c r="M116" s="12"/>
      <c r="N116" s="12"/>
    </row>
    <row r="117" customFormat="false" ht="18" hidden="false" customHeight="true" outlineLevel="0" collapsed="false">
      <c r="A117" s="12"/>
      <c r="B117" s="309" t="s">
        <v>888</v>
      </c>
      <c r="C117" s="321" t="n">
        <f aca="false">Eigenkapital+Reserve_Einmalig</f>
        <v>83974.5</v>
      </c>
      <c r="D117" s="321"/>
      <c r="E117" s="280"/>
      <c r="F117" s="311"/>
      <c r="G117" s="312"/>
      <c r="H117" s="312"/>
      <c r="I117" s="312"/>
      <c r="J117" s="312"/>
      <c r="K117" s="312"/>
      <c r="L117" s="312"/>
      <c r="M117" s="12"/>
      <c r="N117" s="12"/>
    </row>
    <row r="118" customFormat="false" ht="12" hidden="false" customHeight="true" outlineLevel="0" collapsed="false">
      <c r="A118" s="12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12"/>
      <c r="N118" s="12"/>
    </row>
    <row r="119" customFormat="false" ht="24" hidden="false" customHeight="true" outlineLevel="0" collapsed="false">
      <c r="A119" s="12"/>
      <c r="B119" s="284" t="s">
        <v>889</v>
      </c>
      <c r="C119" s="264"/>
      <c r="D119" s="264"/>
      <c r="E119" s="264"/>
      <c r="F119" s="264"/>
      <c r="G119" s="264"/>
      <c r="H119" s="264"/>
      <c r="I119" s="264"/>
      <c r="J119" s="264"/>
      <c r="K119" s="264"/>
      <c r="L119" s="35" t="s">
        <v>659</v>
      </c>
      <c r="M119" s="12"/>
      <c r="N119" s="12"/>
    </row>
    <row r="120" customFormat="false" ht="19.5" hidden="false" customHeight="true" outlineLevel="0" collapsed="false">
      <c r="A120" s="12"/>
      <c r="B120" s="96" t="s">
        <v>141</v>
      </c>
      <c r="C120" s="109" t="s">
        <v>773</v>
      </c>
      <c r="D120" s="109"/>
      <c r="E120" s="96" t="s">
        <v>143</v>
      </c>
      <c r="F120" s="96" t="s">
        <v>774</v>
      </c>
      <c r="G120" s="96" t="s">
        <v>775</v>
      </c>
      <c r="H120" s="96"/>
      <c r="I120" s="96"/>
      <c r="J120" s="96"/>
      <c r="K120" s="96"/>
      <c r="L120" s="96"/>
      <c r="M120" s="12"/>
      <c r="N120" s="12"/>
    </row>
    <row r="121" customFormat="false" ht="30" hidden="false" customHeight="true" outlineLevel="0" collapsed="false">
      <c r="A121" s="12"/>
      <c r="B121" s="111" t="s">
        <v>399</v>
      </c>
      <c r="C121" s="285" t="str">
        <f aca="false">Rechtsform</f>
        <v>Privatperson – Einkünfte aus Vermietung und Verpachtung (§ 21 EStG)</v>
      </c>
      <c r="D121" s="285"/>
      <c r="E121" s="70"/>
      <c r="F121" s="161" t="s">
        <v>890</v>
      </c>
      <c r="G121" s="113" t="s">
        <v>891</v>
      </c>
      <c r="H121" s="113"/>
      <c r="I121" s="113"/>
      <c r="J121" s="113"/>
      <c r="K121" s="113"/>
      <c r="L121" s="113"/>
      <c r="M121" s="12"/>
      <c r="N121" s="12"/>
    </row>
    <row r="122" customFormat="false" ht="18" hidden="false" customHeight="true" outlineLevel="0" collapsed="false">
      <c r="A122" s="12"/>
      <c r="B122" s="111" t="s">
        <v>892</v>
      </c>
      <c r="C122" s="285" t="str">
        <f aca="false">Veranlagung</f>
        <v>Einzelveranlagung (Grundtarif)</v>
      </c>
      <c r="D122" s="285"/>
      <c r="E122" s="70"/>
      <c r="F122" s="161" t="s">
        <v>893</v>
      </c>
      <c r="G122" s="113"/>
      <c r="H122" s="113"/>
      <c r="I122" s="113"/>
      <c r="J122" s="113"/>
      <c r="K122" s="113"/>
      <c r="L122" s="113"/>
      <c r="M122" s="12"/>
      <c r="N122" s="12"/>
    </row>
    <row r="123" customFormat="false" ht="18" hidden="false" customHeight="true" outlineLevel="0" collapsed="false">
      <c r="A123" s="12"/>
      <c r="B123" s="111" t="s">
        <v>894</v>
      </c>
      <c r="C123" s="289" t="n">
        <f aca="false">zvE</f>
        <v>75000</v>
      </c>
      <c r="D123" s="289"/>
      <c r="E123" s="70" t="s">
        <v>317</v>
      </c>
      <c r="F123" s="161" t="s">
        <v>893</v>
      </c>
      <c r="G123" s="113" t="s">
        <v>895</v>
      </c>
      <c r="H123" s="113"/>
      <c r="I123" s="113"/>
      <c r="J123" s="113"/>
      <c r="K123" s="113"/>
      <c r="L123" s="113"/>
      <c r="M123" s="12"/>
      <c r="N123" s="12"/>
    </row>
    <row r="124" customFormat="false" ht="18" hidden="false" customHeight="true" outlineLevel="0" collapsed="false">
      <c r="A124" s="12"/>
      <c r="B124" s="111" t="s">
        <v>409</v>
      </c>
      <c r="C124" s="294" t="n">
        <f aca="false">Grenzsteuersatz_Override</f>
        <v>0</v>
      </c>
      <c r="D124" s="294"/>
      <c r="E124" s="70"/>
      <c r="F124" s="161" t="s">
        <v>893</v>
      </c>
      <c r="G124" s="113" t="s">
        <v>896</v>
      </c>
      <c r="H124" s="113"/>
      <c r="I124" s="113"/>
      <c r="J124" s="113"/>
      <c r="K124" s="113"/>
      <c r="L124" s="113"/>
      <c r="M124" s="12"/>
      <c r="N124" s="12"/>
    </row>
    <row r="125" customFormat="false" ht="18" hidden="false" customHeight="true" outlineLevel="0" collapsed="false">
      <c r="A125" s="12"/>
      <c r="B125" s="111" t="s">
        <v>897</v>
      </c>
      <c r="C125" s="285" t="str">
        <f aca="false">Soli</f>
        <v>Ja</v>
      </c>
      <c r="D125" s="285"/>
      <c r="E125" s="70"/>
      <c r="F125" s="161" t="s">
        <v>893</v>
      </c>
      <c r="G125" s="113" t="s">
        <v>898</v>
      </c>
      <c r="H125" s="113"/>
      <c r="I125" s="113"/>
      <c r="J125" s="113"/>
      <c r="K125" s="113"/>
      <c r="L125" s="113"/>
      <c r="M125" s="12"/>
      <c r="N125" s="12"/>
    </row>
    <row r="126" customFormat="false" ht="18" hidden="false" customHeight="true" outlineLevel="0" collapsed="false">
      <c r="A126" s="12"/>
      <c r="B126" s="111" t="s">
        <v>899</v>
      </c>
      <c r="C126" s="285" t="str">
        <f aca="false">KiSt</f>
        <v>8 % (Baden-Württemberg, Bayern)</v>
      </c>
      <c r="D126" s="285"/>
      <c r="E126" s="70"/>
      <c r="F126" s="161" t="s">
        <v>893</v>
      </c>
      <c r="G126" s="113" t="s">
        <v>900</v>
      </c>
      <c r="H126" s="113"/>
      <c r="I126" s="113"/>
      <c r="J126" s="113"/>
      <c r="K126" s="113"/>
      <c r="L126" s="113"/>
      <c r="M126" s="12"/>
      <c r="N126" s="12"/>
    </row>
    <row r="127" customFormat="false" ht="18" hidden="false" customHeight="true" outlineLevel="0" collapsed="false">
      <c r="A127" s="12"/>
      <c r="B127" s="111" t="s">
        <v>901</v>
      </c>
      <c r="C127" s="320" t="n">
        <f aca="false">Hebesatz</f>
        <v>4</v>
      </c>
      <c r="D127" s="320"/>
      <c r="E127" s="70"/>
      <c r="F127" s="161" t="s">
        <v>893</v>
      </c>
      <c r="G127" s="113" t="s">
        <v>902</v>
      </c>
      <c r="H127" s="113"/>
      <c r="I127" s="113"/>
      <c r="J127" s="113"/>
      <c r="K127" s="113"/>
      <c r="L127" s="113"/>
      <c r="M127" s="12"/>
      <c r="N127" s="12"/>
    </row>
    <row r="128" customFormat="false" ht="30" hidden="false" customHeight="true" outlineLevel="0" collapsed="false">
      <c r="A128" s="12"/>
      <c r="B128" s="111" t="s">
        <v>433</v>
      </c>
      <c r="C128" s="285" t="str">
        <f aca="false">AfA_Methode</f>
        <v>Automatisch nach Baujahr (§ 7 Abs. 4 EStG)</v>
      </c>
      <c r="D128" s="285"/>
      <c r="E128" s="70"/>
      <c r="F128" s="161" t="s">
        <v>903</v>
      </c>
      <c r="G128" s="113" t="s">
        <v>904</v>
      </c>
      <c r="H128" s="113"/>
      <c r="I128" s="113"/>
      <c r="J128" s="113"/>
      <c r="K128" s="113"/>
      <c r="L128" s="113"/>
      <c r="M128" s="12"/>
      <c r="N128" s="12"/>
    </row>
    <row r="129" customFormat="false" ht="18" hidden="false" customHeight="true" outlineLevel="0" collapsed="false">
      <c r="A129" s="12"/>
      <c r="B129" s="111" t="s">
        <v>437</v>
      </c>
      <c r="C129" s="291" t="n">
        <f aca="false">RND_Gutachten</f>
        <v>0</v>
      </c>
      <c r="D129" s="291"/>
      <c r="E129" s="70"/>
      <c r="F129" s="161" t="s">
        <v>903</v>
      </c>
      <c r="G129" s="113" t="s">
        <v>905</v>
      </c>
      <c r="H129" s="113"/>
      <c r="I129" s="113"/>
      <c r="J129" s="113"/>
      <c r="K129" s="113"/>
      <c r="L129" s="113"/>
      <c r="M129" s="12"/>
      <c r="N129" s="12"/>
    </row>
    <row r="130" customFormat="false" ht="18" hidden="false" customHeight="true" outlineLevel="0" collapsed="false">
      <c r="A130" s="12"/>
      <c r="B130" s="111" t="s">
        <v>440</v>
      </c>
      <c r="C130" s="285" t="str">
        <f aca="false">Wechsel_linear</f>
        <v>Ja</v>
      </c>
      <c r="D130" s="285"/>
      <c r="E130" s="70"/>
      <c r="F130" s="161" t="s">
        <v>903</v>
      </c>
      <c r="G130" s="113" t="s">
        <v>906</v>
      </c>
      <c r="H130" s="113"/>
      <c r="I130" s="113"/>
      <c r="J130" s="113"/>
      <c r="K130" s="113"/>
      <c r="L130" s="113"/>
      <c r="M130" s="12"/>
      <c r="N130" s="12"/>
    </row>
    <row r="131" customFormat="false" ht="18" hidden="false" customHeight="true" outlineLevel="0" collapsed="false">
      <c r="A131" s="12"/>
      <c r="B131" s="111" t="s">
        <v>907</v>
      </c>
      <c r="C131" s="285" t="str">
        <f aca="false">SonderAfA_7b</f>
        <v>Nein</v>
      </c>
      <c r="D131" s="285"/>
      <c r="E131" s="70"/>
      <c r="F131" s="161" t="s">
        <v>903</v>
      </c>
      <c r="G131" s="113" t="s">
        <v>908</v>
      </c>
      <c r="H131" s="113"/>
      <c r="I131" s="113"/>
      <c r="J131" s="113"/>
      <c r="K131" s="113"/>
      <c r="L131" s="113"/>
      <c r="M131" s="12"/>
      <c r="N131" s="12"/>
    </row>
    <row r="132" customFormat="false" ht="18" hidden="false" customHeight="true" outlineLevel="0" collapsed="false">
      <c r="A132" s="12"/>
      <c r="B132" s="111" t="s">
        <v>909</v>
      </c>
      <c r="C132" s="285" t="str">
        <f aca="false">Denkmal</f>
        <v>Nein</v>
      </c>
      <c r="D132" s="285"/>
      <c r="E132" s="70"/>
      <c r="F132" s="161" t="s">
        <v>903</v>
      </c>
      <c r="G132" s="113" t="s">
        <v>910</v>
      </c>
      <c r="H132" s="113"/>
      <c r="I132" s="113"/>
      <c r="J132" s="113"/>
      <c r="K132" s="113"/>
      <c r="L132" s="113"/>
      <c r="M132" s="12"/>
      <c r="N132" s="12"/>
    </row>
    <row r="133" customFormat="false" ht="18" hidden="false" customHeight="true" outlineLevel="0" collapsed="false">
      <c r="A133" s="12"/>
      <c r="B133" s="111" t="s">
        <v>911</v>
      </c>
      <c r="C133" s="289" t="n">
        <f aca="false">Sanierungskosten_7i</f>
        <v>0</v>
      </c>
      <c r="D133" s="289"/>
      <c r="E133" s="70"/>
      <c r="F133" s="161" t="s">
        <v>903</v>
      </c>
      <c r="G133" s="113" t="s">
        <v>912</v>
      </c>
      <c r="H133" s="113"/>
      <c r="I133" s="113"/>
      <c r="J133" s="113"/>
      <c r="K133" s="113"/>
      <c r="L133" s="113"/>
      <c r="M133" s="12"/>
      <c r="N133" s="12"/>
    </row>
    <row r="134" customFormat="false" ht="30" hidden="false" customHeight="true" outlineLevel="0" collapsed="false">
      <c r="A134" s="12"/>
      <c r="B134" s="295" t="s">
        <v>483</v>
      </c>
      <c r="C134" s="329" t="str">
        <f aca="false">Verlustverrechnung</f>
        <v>Sofortige Verrechnung mit anderen Einkünften (Standard Privatperson)</v>
      </c>
      <c r="D134" s="329"/>
      <c r="E134" s="297"/>
      <c r="F134" s="298" t="s">
        <v>867</v>
      </c>
      <c r="G134" s="299" t="s">
        <v>913</v>
      </c>
      <c r="H134" s="299"/>
      <c r="I134" s="299"/>
      <c r="J134" s="299"/>
      <c r="K134" s="299"/>
      <c r="L134" s="299"/>
      <c r="M134" s="12"/>
      <c r="N134" s="12"/>
    </row>
    <row r="135" customFormat="false" ht="18" hidden="false" customHeight="true" outlineLevel="0" collapsed="false">
      <c r="A135" s="12"/>
      <c r="B135" s="314" t="s">
        <v>914</v>
      </c>
      <c r="C135" s="301" t="n">
        <f aca="false">IF(Veranlagung_Idx=2,zvE/2,zvE)</f>
        <v>75000</v>
      </c>
      <c r="D135" s="301"/>
      <c r="E135" s="302"/>
      <c r="F135" s="303"/>
      <c r="G135" s="304"/>
      <c r="H135" s="304"/>
      <c r="I135" s="304"/>
      <c r="J135" s="304"/>
      <c r="K135" s="304"/>
      <c r="L135" s="304"/>
      <c r="M135" s="12"/>
      <c r="N135" s="12"/>
    </row>
    <row r="136" customFormat="false" ht="18" hidden="false" customHeight="true" outlineLevel="0" collapsed="false">
      <c r="A136" s="12"/>
      <c r="B136" s="111" t="s">
        <v>398</v>
      </c>
      <c r="C136" s="114" t="n">
        <f aca="false">IF(Tarif_X&lt;=Tarif_GFB,0,IF(Tarif_X&lt;=Tarif_Z1,(2*Tarif_A*(Tarif_X-Tarif_GFB)/10000+Tarif_B)/10000,IF(Tarif_X&lt;=Tarif_Z2,(2*Tarif_C*(Tarif_X-Tarif_Z1)/10000+Tarif_D)/10000,IF(Tarif_X&lt;=Tarif_Z3,Tarif_S42,Tarif_S45))))</f>
        <v>0.42</v>
      </c>
      <c r="D136" s="114"/>
      <c r="E136" s="70"/>
      <c r="F136" s="293"/>
      <c r="G136" s="113"/>
      <c r="H136" s="113"/>
      <c r="I136" s="113"/>
      <c r="J136" s="113"/>
      <c r="K136" s="113"/>
      <c r="L136" s="113"/>
      <c r="M136" s="12"/>
      <c r="N136" s="12"/>
    </row>
    <row r="137" customFormat="false" ht="18" hidden="false" customHeight="true" outlineLevel="0" collapsed="false">
      <c r="A137" s="12"/>
      <c r="B137" s="111" t="s">
        <v>915</v>
      </c>
      <c r="C137" s="114" t="n">
        <f aca="false">IF(ISNUMBER(Grenzsteuersatz_Override),Grenzsteuersatz_Override,Grenzsteuersatz_Tarif)</f>
        <v>0.42</v>
      </c>
      <c r="D137" s="114"/>
      <c r="E137" s="70"/>
      <c r="F137" s="293"/>
      <c r="G137" s="113"/>
      <c r="H137" s="113"/>
      <c r="I137" s="113"/>
      <c r="J137" s="113"/>
      <c r="K137" s="113"/>
      <c r="L137" s="113"/>
      <c r="M137" s="12"/>
      <c r="N137" s="12"/>
    </row>
    <row r="138" customFormat="false" ht="18" hidden="false" customHeight="true" outlineLevel="0" collapsed="false">
      <c r="A138" s="12"/>
      <c r="B138" s="305" t="s">
        <v>916</v>
      </c>
      <c r="C138" s="330" t="n">
        <f aca="false">Grenzsteuersatz_eff*(1+Soli_eff+KiSt_Satz*(1-Grenzsteuersatz_eff))</f>
        <v>0.462588</v>
      </c>
      <c r="D138" s="330"/>
      <c r="E138" s="306"/>
      <c r="F138" s="307"/>
      <c r="G138" s="308"/>
      <c r="H138" s="308"/>
      <c r="I138" s="308"/>
      <c r="J138" s="308"/>
      <c r="K138" s="308"/>
      <c r="L138" s="308"/>
      <c r="M138" s="12"/>
      <c r="N138" s="12"/>
    </row>
    <row r="139" customFormat="false" ht="18" hidden="false" customHeight="true" outlineLevel="0" collapsed="false">
      <c r="A139" s="12"/>
      <c r="B139" s="309" t="s">
        <v>917</v>
      </c>
      <c r="C139" s="331" t="n">
        <f aca="false">IFERROR(VLOOKUP(MIN(YEAR(Kaufdatum),KSt_MaxJahr),KSt_Tab,2,TRUE()),0.15)*(1+Soli_Konst)+GewSt_Satz</f>
        <v>0.15825</v>
      </c>
      <c r="D139" s="331"/>
      <c r="E139" s="280"/>
      <c r="F139" s="311"/>
      <c r="G139" s="312"/>
      <c r="H139" s="312"/>
      <c r="I139" s="312"/>
      <c r="J139" s="312"/>
      <c r="K139" s="312"/>
      <c r="L139" s="312"/>
      <c r="M139" s="12"/>
      <c r="N139" s="12"/>
    </row>
    <row r="140" customFormat="false" ht="12" hidden="false" customHeight="true" outlineLevel="0" collapsed="false">
      <c r="A140" s="12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12"/>
      <c r="N140" s="12"/>
    </row>
    <row r="141" customFormat="false" ht="24" hidden="false" customHeight="true" outlineLevel="0" collapsed="false">
      <c r="A141" s="12"/>
      <c r="B141" s="284" t="s">
        <v>918</v>
      </c>
      <c r="C141" s="264"/>
      <c r="D141" s="264"/>
      <c r="E141" s="264"/>
      <c r="F141" s="264"/>
      <c r="G141" s="264"/>
      <c r="H141" s="264"/>
      <c r="I141" s="264"/>
      <c r="J141" s="264"/>
      <c r="K141" s="264"/>
      <c r="L141" s="35" t="s">
        <v>659</v>
      </c>
      <c r="M141" s="12"/>
      <c r="N141" s="12"/>
    </row>
    <row r="142" customFormat="false" ht="19.5" hidden="false" customHeight="true" outlineLevel="0" collapsed="false">
      <c r="A142" s="12"/>
      <c r="B142" s="96" t="s">
        <v>141</v>
      </c>
      <c r="C142" s="109" t="s">
        <v>773</v>
      </c>
      <c r="D142" s="109"/>
      <c r="E142" s="96" t="s">
        <v>143</v>
      </c>
      <c r="F142" s="96" t="s">
        <v>774</v>
      </c>
      <c r="G142" s="96" t="s">
        <v>775</v>
      </c>
      <c r="H142" s="96"/>
      <c r="I142" s="96"/>
      <c r="J142" s="96"/>
      <c r="K142" s="96"/>
      <c r="L142" s="96"/>
      <c r="M142" s="12"/>
      <c r="N142" s="12"/>
    </row>
    <row r="143" customFormat="false" ht="18" hidden="false" customHeight="true" outlineLevel="0" collapsed="false">
      <c r="A143" s="12"/>
      <c r="B143" s="111" t="s">
        <v>474</v>
      </c>
      <c r="C143" s="291" t="n">
        <f aca="false">Haltedauer</f>
        <v>12</v>
      </c>
      <c r="D143" s="291"/>
      <c r="E143" s="70"/>
      <c r="F143" s="161" t="s">
        <v>867</v>
      </c>
      <c r="G143" s="113" t="s">
        <v>919</v>
      </c>
      <c r="H143" s="113"/>
      <c r="I143" s="113"/>
      <c r="J143" s="113"/>
      <c r="K143" s="113"/>
      <c r="L143" s="113"/>
      <c r="M143" s="12"/>
      <c r="N143" s="12"/>
    </row>
    <row r="144" customFormat="false" ht="18" hidden="false" customHeight="true" outlineLevel="0" collapsed="false">
      <c r="A144" s="12"/>
      <c r="B144" s="111" t="s">
        <v>920</v>
      </c>
      <c r="C144" s="292" t="n">
        <f aca="false">Verkaufskosten_Pct</f>
        <v>0.02</v>
      </c>
      <c r="D144" s="292"/>
      <c r="E144" s="70" t="s">
        <v>921</v>
      </c>
      <c r="F144" s="161" t="s">
        <v>867</v>
      </c>
      <c r="G144" s="113"/>
      <c r="H144" s="113"/>
      <c r="I144" s="113"/>
      <c r="J144" s="113"/>
      <c r="K144" s="113"/>
      <c r="L144" s="113"/>
      <c r="M144" s="12"/>
      <c r="N144" s="12"/>
    </row>
    <row r="145" customFormat="false" ht="18" hidden="false" customHeight="true" outlineLevel="0" collapsed="false">
      <c r="A145" s="12"/>
      <c r="B145" s="111" t="s">
        <v>480</v>
      </c>
      <c r="C145" s="289" t="n">
        <f aca="false">Verkaufspreis_Override</f>
        <v>0</v>
      </c>
      <c r="D145" s="289"/>
      <c r="E145" s="70"/>
      <c r="F145" s="161" t="s">
        <v>867</v>
      </c>
      <c r="G145" s="113" t="s">
        <v>922</v>
      </c>
      <c r="H145" s="113"/>
      <c r="I145" s="113"/>
      <c r="J145" s="113"/>
      <c r="K145" s="113"/>
      <c r="L145" s="113"/>
      <c r="M145" s="12"/>
      <c r="N145" s="12"/>
    </row>
    <row r="146" customFormat="false" ht="12" hidden="false" customHeight="true" outlineLevel="0" collapsed="false">
      <c r="A146" s="12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12"/>
      <c r="N146" s="12"/>
    </row>
    <row r="147" customFormat="false" ht="18" hidden="false" customHeight="true" outlineLevel="0" collapsed="false">
      <c r="A147" s="12"/>
      <c r="B147" s="79" t="s">
        <v>91</v>
      </c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12"/>
      <c r="N147" s="12"/>
    </row>
    <row r="148" customFormat="false" ht="13.5" hidden="false" customHeight="true" outlineLevel="0" collapsed="false">
      <c r="A148" s="12"/>
      <c r="B148" s="81" t="s">
        <v>92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12"/>
      <c r="N148" s="12"/>
    </row>
    <row r="149" customFormat="false" ht="1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sheetProtection sheet="true" objects="1" formatColumns="false" formatRows="false"/>
  <mergeCells count="241">
    <mergeCell ref="H8:L8"/>
    <mergeCell ref="C10:D10"/>
    <mergeCell ref="G10:L10"/>
    <mergeCell ref="C11:D11"/>
    <mergeCell ref="G11:L11"/>
    <mergeCell ref="C12:D12"/>
    <mergeCell ref="G12:L12"/>
    <mergeCell ref="C13:D13"/>
    <mergeCell ref="G13:L13"/>
    <mergeCell ref="C14:D14"/>
    <mergeCell ref="G14:L14"/>
    <mergeCell ref="C15:D15"/>
    <mergeCell ref="G15:L15"/>
    <mergeCell ref="C16:D16"/>
    <mergeCell ref="G16:L16"/>
    <mergeCell ref="C17:D17"/>
    <mergeCell ref="G17:L17"/>
    <mergeCell ref="C18:D18"/>
    <mergeCell ref="G18:L18"/>
    <mergeCell ref="C19:D19"/>
    <mergeCell ref="G19:L19"/>
    <mergeCell ref="C20:D20"/>
    <mergeCell ref="G20:L20"/>
    <mergeCell ref="C21:D21"/>
    <mergeCell ref="G21:L21"/>
    <mergeCell ref="C22:D22"/>
    <mergeCell ref="G22:L22"/>
    <mergeCell ref="C25:D25"/>
    <mergeCell ref="G25:L25"/>
    <mergeCell ref="C26:D26"/>
    <mergeCell ref="G26:L26"/>
    <mergeCell ref="C27:D27"/>
    <mergeCell ref="G27:L27"/>
    <mergeCell ref="C28:D28"/>
    <mergeCell ref="G28:L28"/>
    <mergeCell ref="C29:D29"/>
    <mergeCell ref="G29:L29"/>
    <mergeCell ref="C30:D30"/>
    <mergeCell ref="G30:L30"/>
    <mergeCell ref="C31:D31"/>
    <mergeCell ref="G31:L31"/>
    <mergeCell ref="C32:D32"/>
    <mergeCell ref="G32:L32"/>
    <mergeCell ref="C33:D33"/>
    <mergeCell ref="G33:L33"/>
    <mergeCell ref="C34:D34"/>
    <mergeCell ref="G34:L34"/>
    <mergeCell ref="C35:D35"/>
    <mergeCell ref="G35:L35"/>
    <mergeCell ref="C36:D36"/>
    <mergeCell ref="G36:L36"/>
    <mergeCell ref="C37:D37"/>
    <mergeCell ref="G37:L37"/>
    <mergeCell ref="C40:D40"/>
    <mergeCell ref="G40:L40"/>
    <mergeCell ref="C41:D41"/>
    <mergeCell ref="G41:L41"/>
    <mergeCell ref="C42:D42"/>
    <mergeCell ref="G42:L42"/>
    <mergeCell ref="C43:D43"/>
    <mergeCell ref="G43:L43"/>
    <mergeCell ref="C44:D44"/>
    <mergeCell ref="G44:L44"/>
    <mergeCell ref="C45:D45"/>
    <mergeCell ref="G45:L45"/>
    <mergeCell ref="C46:D46"/>
    <mergeCell ref="G46:L46"/>
    <mergeCell ref="C49:D49"/>
    <mergeCell ref="G49:L49"/>
    <mergeCell ref="C50:D50"/>
    <mergeCell ref="G50:L50"/>
    <mergeCell ref="C51:D51"/>
    <mergeCell ref="G51:L51"/>
    <mergeCell ref="C52:D52"/>
    <mergeCell ref="G52:L52"/>
    <mergeCell ref="C53:D53"/>
    <mergeCell ref="G53:L53"/>
    <mergeCell ref="C54:D54"/>
    <mergeCell ref="G54:L54"/>
    <mergeCell ref="C55:D55"/>
    <mergeCell ref="G55:L55"/>
    <mergeCell ref="C56:D56"/>
    <mergeCell ref="G56:L56"/>
    <mergeCell ref="C57:D57"/>
    <mergeCell ref="G57:L57"/>
    <mergeCell ref="C58:D58"/>
    <mergeCell ref="G58:L58"/>
    <mergeCell ref="C59:D59"/>
    <mergeCell ref="G59:L59"/>
    <mergeCell ref="C62:D62"/>
    <mergeCell ref="G62:L62"/>
    <mergeCell ref="C63:D63"/>
    <mergeCell ref="G63:L63"/>
    <mergeCell ref="C64:D64"/>
    <mergeCell ref="G64:L64"/>
    <mergeCell ref="C65:D65"/>
    <mergeCell ref="G65:L65"/>
    <mergeCell ref="C66:D66"/>
    <mergeCell ref="G66:L66"/>
    <mergeCell ref="C67:D67"/>
    <mergeCell ref="G67:L67"/>
    <mergeCell ref="C68:D68"/>
    <mergeCell ref="G68:L68"/>
    <mergeCell ref="C69:D69"/>
    <mergeCell ref="G69:L69"/>
    <mergeCell ref="C70:D70"/>
    <mergeCell ref="G70:L70"/>
    <mergeCell ref="C71:D71"/>
    <mergeCell ref="G71:L71"/>
    <mergeCell ref="C72:D72"/>
    <mergeCell ref="G72:L72"/>
    <mergeCell ref="C73:D73"/>
    <mergeCell ref="G73:L73"/>
    <mergeCell ref="C76:D76"/>
    <mergeCell ref="G76:L76"/>
    <mergeCell ref="C77:D77"/>
    <mergeCell ref="G77:L77"/>
    <mergeCell ref="C78:D78"/>
    <mergeCell ref="G78:L78"/>
    <mergeCell ref="C79:D79"/>
    <mergeCell ref="G79:L79"/>
    <mergeCell ref="C80:D80"/>
    <mergeCell ref="G80:L80"/>
    <mergeCell ref="C81:D81"/>
    <mergeCell ref="G81:L81"/>
    <mergeCell ref="C82:D82"/>
    <mergeCell ref="G82:L82"/>
    <mergeCell ref="C83:D83"/>
    <mergeCell ref="G83:L83"/>
    <mergeCell ref="C84:D84"/>
    <mergeCell ref="G84:L84"/>
    <mergeCell ref="C85:D85"/>
    <mergeCell ref="G85:L85"/>
    <mergeCell ref="C86:D86"/>
    <mergeCell ref="G86:L86"/>
    <mergeCell ref="C87:D87"/>
    <mergeCell ref="G87:L87"/>
    <mergeCell ref="C88:D88"/>
    <mergeCell ref="G88:L88"/>
    <mergeCell ref="C89:D89"/>
    <mergeCell ref="G89:L89"/>
    <mergeCell ref="C90:D90"/>
    <mergeCell ref="G90:L90"/>
    <mergeCell ref="C91:D91"/>
    <mergeCell ref="G91:L91"/>
    <mergeCell ref="C92:D92"/>
    <mergeCell ref="G92:L92"/>
    <mergeCell ref="C93:D93"/>
    <mergeCell ref="G93:L93"/>
    <mergeCell ref="C96:D96"/>
    <mergeCell ref="G96:L96"/>
    <mergeCell ref="C97:D97"/>
    <mergeCell ref="G97:L97"/>
    <mergeCell ref="C98:D98"/>
    <mergeCell ref="G98:L98"/>
    <mergeCell ref="C99:D99"/>
    <mergeCell ref="G99:L99"/>
    <mergeCell ref="C100:D100"/>
    <mergeCell ref="G100:L100"/>
    <mergeCell ref="C101:D101"/>
    <mergeCell ref="G101:L101"/>
    <mergeCell ref="C102:D102"/>
    <mergeCell ref="G102:L102"/>
    <mergeCell ref="C103:D103"/>
    <mergeCell ref="G103:L103"/>
    <mergeCell ref="C104:D104"/>
    <mergeCell ref="G104:L104"/>
    <mergeCell ref="C105:D105"/>
    <mergeCell ref="G105:L105"/>
    <mergeCell ref="C106:D106"/>
    <mergeCell ref="G106:L106"/>
    <mergeCell ref="C107:D107"/>
    <mergeCell ref="G107:L107"/>
    <mergeCell ref="C108:D108"/>
    <mergeCell ref="G108:L108"/>
    <mergeCell ref="C109:D109"/>
    <mergeCell ref="G109:L109"/>
    <mergeCell ref="C110:D110"/>
    <mergeCell ref="G110:L110"/>
    <mergeCell ref="C111:D111"/>
    <mergeCell ref="G111:L111"/>
    <mergeCell ref="C112:D112"/>
    <mergeCell ref="G112:L112"/>
    <mergeCell ref="C113:D113"/>
    <mergeCell ref="G113:L113"/>
    <mergeCell ref="C114:D114"/>
    <mergeCell ref="G114:L114"/>
    <mergeCell ref="C115:D115"/>
    <mergeCell ref="G115:L115"/>
    <mergeCell ref="C116:D116"/>
    <mergeCell ref="G116:L116"/>
    <mergeCell ref="C117:D117"/>
    <mergeCell ref="G117:L117"/>
    <mergeCell ref="C120:D120"/>
    <mergeCell ref="G120:L120"/>
    <mergeCell ref="C121:D121"/>
    <mergeCell ref="G121:L121"/>
    <mergeCell ref="C122:D122"/>
    <mergeCell ref="G122:L122"/>
    <mergeCell ref="C123:D123"/>
    <mergeCell ref="G123:L123"/>
    <mergeCell ref="C124:D124"/>
    <mergeCell ref="G124:L124"/>
    <mergeCell ref="C125:D125"/>
    <mergeCell ref="G125:L125"/>
    <mergeCell ref="C126:D126"/>
    <mergeCell ref="G126:L126"/>
    <mergeCell ref="C127:D127"/>
    <mergeCell ref="G127:L127"/>
    <mergeCell ref="C128:D128"/>
    <mergeCell ref="G128:L128"/>
    <mergeCell ref="C129:D129"/>
    <mergeCell ref="G129:L129"/>
    <mergeCell ref="C130:D130"/>
    <mergeCell ref="G130:L130"/>
    <mergeCell ref="C131:D131"/>
    <mergeCell ref="G131:L131"/>
    <mergeCell ref="C132:D132"/>
    <mergeCell ref="G132:L132"/>
    <mergeCell ref="C133:D133"/>
    <mergeCell ref="G133:L133"/>
    <mergeCell ref="C134:D134"/>
    <mergeCell ref="G134:L134"/>
    <mergeCell ref="C135:D135"/>
    <mergeCell ref="G135:L135"/>
    <mergeCell ref="C136:D136"/>
    <mergeCell ref="G136:L136"/>
    <mergeCell ref="C137:D137"/>
    <mergeCell ref="G137:L137"/>
    <mergeCell ref="C138:D138"/>
    <mergeCell ref="G138:L138"/>
    <mergeCell ref="C139:D139"/>
    <mergeCell ref="G139:L139"/>
    <mergeCell ref="C142:D142"/>
    <mergeCell ref="G142:L142"/>
    <mergeCell ref="C143:D143"/>
    <mergeCell ref="G143:L143"/>
    <mergeCell ref="C144:D144"/>
    <mergeCell ref="G144:L144"/>
    <mergeCell ref="C145:D145"/>
    <mergeCell ref="G145:L145"/>
  </mergeCells>
  <conditionalFormatting sqref="C36:L36">
    <cfRule type="expression" priority="2" aboveAverage="0" equalAverage="0" bottom="0" percent="0" rank="0" text="" dxfId="4">
      <formula>AND(ISNUMBER(C36),C36&lt;0)</formula>
    </cfRule>
    <cfRule type="expression" priority="3" aboveAverage="0" equalAverage="0" bottom="0" percent="0" rank="0" text="" dxfId="4">
      <formula>AND(ISNUMBER(C36),C36&lt;0)</formula>
    </cfRule>
    <cfRule type="expression" priority="4" aboveAverage="0" equalAverage="0" bottom="0" percent="0" rank="0" text="" dxfId="3">
      <formula>1</formula>
    </cfRule>
  </conditionalFormatting>
  <conditionalFormatting sqref="C46:L46">
    <cfRule type="expression" priority="5" aboveAverage="0" equalAverage="0" bottom="0" percent="0" rank="0" text="" dxfId="4">
      <formula>AND(ISNUMBER(C46),C46&lt;0)</formula>
    </cfRule>
    <cfRule type="expression" priority="6" aboveAverage="0" equalAverage="0" bottom="0" percent="0" rank="0" text="" dxfId="4">
      <formula>AND(ISNUMBER(C46),C46&lt;0)</formula>
    </cfRule>
    <cfRule type="expression" priority="7" aboveAverage="0" equalAverage="0" bottom="0" percent="0" rank="0" text="" dxfId="3">
      <formula>1</formula>
    </cfRule>
  </conditionalFormatting>
  <conditionalFormatting sqref="C56:L56">
    <cfRule type="expression" priority="8" aboveAverage="0" equalAverage="0" bottom="0" percent="0" rank="0" text="" dxfId="4">
      <formula>AND(ISNUMBER(C56),C56&lt;0)</formula>
    </cfRule>
    <cfRule type="expression" priority="9" aboveAverage="0" equalAverage="0" bottom="0" percent="0" rank="0" text="" dxfId="4">
      <formula>AND(ISNUMBER(C56),C56&lt;0)</formula>
    </cfRule>
    <cfRule type="expression" priority="10" aboveAverage="0" equalAverage="0" bottom="0" percent="0" rank="0" text="" dxfId="3">
      <formula>1</formula>
    </cfRule>
  </conditionalFormatting>
  <conditionalFormatting sqref="C58:L58">
    <cfRule type="expression" priority="11" aboveAverage="0" equalAverage="0" bottom="0" percent="0" rank="0" text="" dxfId="4">
      <formula>AND(ISNUMBER(C58),C58&lt;0)</formula>
    </cfRule>
    <cfRule type="expression" priority="12" aboveAverage="0" equalAverage="0" bottom="0" percent="0" rank="0" text="" dxfId="4">
      <formula>AND(ISNUMBER(C58),C58&lt;0)</formula>
    </cfRule>
    <cfRule type="expression" priority="13" aboveAverage="0" equalAverage="0" bottom="0" percent="0" rank="0" text="" dxfId="3">
      <formula>1</formula>
    </cfRule>
  </conditionalFormatting>
  <conditionalFormatting sqref="C71:L71">
    <cfRule type="expression" priority="14" aboveAverage="0" equalAverage="0" bottom="0" percent="0" rank="0" text="" dxfId="4">
      <formula>AND(ISNUMBER(C71),C71&lt;0)</formula>
    </cfRule>
    <cfRule type="expression" priority="15" aboveAverage="0" equalAverage="0" bottom="0" percent="0" rank="0" text="" dxfId="4">
      <formula>AND(ISNUMBER(C71),C71&lt;0)</formula>
    </cfRule>
    <cfRule type="expression" priority="16" aboveAverage="0" equalAverage="0" bottom="0" percent="0" rank="0" text="" dxfId="3">
      <formula>1</formula>
    </cfRule>
  </conditionalFormatting>
  <conditionalFormatting sqref="C92:L92">
    <cfRule type="expression" priority="17" aboveAverage="0" equalAverage="0" bottom="0" percent="0" rank="0" text="" dxfId="4">
      <formula>AND(ISNUMBER(C92),C92&lt;0)</formula>
    </cfRule>
    <cfRule type="expression" priority="18" aboveAverage="0" equalAverage="0" bottom="0" percent="0" rank="0" text="" dxfId="4">
      <formula>AND(ISNUMBER(C92),C92&lt;0)</formula>
    </cfRule>
    <cfRule type="expression" priority="19" aboveAverage="0" equalAverage="0" bottom="0" percent="0" rank="0" text="" dxfId="3">
      <formula>1</formula>
    </cfRule>
  </conditionalFormatting>
  <conditionalFormatting sqref="C113:L113">
    <cfRule type="expression" priority="20" aboveAverage="0" equalAverage="0" bottom="0" percent="0" rank="0" text="" dxfId="4">
      <formula>AND(ISNUMBER(C113),C113&lt;0)</formula>
    </cfRule>
    <cfRule type="expression" priority="21" aboveAverage="0" equalAverage="0" bottom="0" percent="0" rank="0" text="" dxfId="4">
      <formula>AND(ISNUMBER(C113),C113&lt;0)</formula>
    </cfRule>
    <cfRule type="expression" priority="22" aboveAverage="0" equalAverage="0" bottom="0" percent="0" rank="0" text="" dxfId="3">
      <formula>1</formula>
    </cfRule>
  </conditionalFormatting>
  <conditionalFormatting sqref="C114:L114">
    <cfRule type="expression" priority="23" aboveAverage="0" equalAverage="0" bottom="0" percent="0" rank="0" text="" dxfId="4">
      <formula>AND(ISNUMBER(C114),C114&lt;0)</formula>
    </cfRule>
    <cfRule type="expression" priority="24" aboveAverage="0" equalAverage="0" bottom="0" percent="0" rank="0" text="" dxfId="4">
      <formula>AND(ISNUMBER(C114),C114&lt;0)</formula>
    </cfRule>
    <cfRule type="expression" priority="25" aboveAverage="0" equalAverage="0" bottom="0" percent="0" rank="0" text="" dxfId="3">
      <formula>1</formula>
    </cfRule>
  </conditionalFormatting>
  <conditionalFormatting sqref="C138:L138">
    <cfRule type="expression" priority="26" aboveAverage="0" equalAverage="0" bottom="0" percent="0" rank="0" text="" dxfId="4">
      <formula>AND(ISNUMBER(C138),C138&lt;0)</formula>
    </cfRule>
    <cfRule type="expression" priority="27" aboveAverage="0" equalAverage="0" bottom="0" percent="0" rank="0" text="" dxfId="4">
      <formula>AND(ISNUMBER(C138),C138&lt;0)</formula>
    </cfRule>
    <cfRule type="expression" priority="28" aboveAverage="0" equalAverage="0" bottom="0" percent="0" rank="0" text="" dxfId="3">
      <formula>1</formula>
    </cfRule>
  </conditionalFormatting>
  <conditionalFormatting sqref="C112:L112">
    <cfRule type="expression" priority="29" aboveAverage="0" equalAverage="0" bottom="0" percent="0" rank="0" text="" dxfId="4">
      <formula>AND(ISNUMBER(C112),C112&lt;0)</formula>
    </cfRule>
    <cfRule type="expression" priority="30" aboveAverage="0" equalAverage="0" bottom="0" percent="0" rank="0" text="" dxfId="3">
      <formula>1</formula>
    </cfRule>
  </conditionalFormatting>
  <conditionalFormatting sqref="C59:L59">
    <cfRule type="expression" priority="31" aboveAverage="0" equalAverage="0" bottom="0" percent="0" rank="0" text="" dxfId="4">
      <formula>AND(ISNUMBER(C59),C59&lt;0)</formula>
    </cfRule>
    <cfRule type="expression" priority="32" aboveAverage="0" equalAverage="0" bottom="0" percent="0" rank="0" text="" dxfId="3">
      <formula>1</formula>
    </cfRule>
  </conditionalFormatting>
  <dataValidations count="2">
    <dataValidation allowBlank="true" error="Bitte einen Prozentwert zwischen 0 % und 100 % eingeben." errorStyle="stop" errorTitle="Ungültige Eingabe" operator="between" prompt="Satz in % eingeben (z. B. 2,5 %)." promptTitle="Profi-Feld Darlehen II" showDropDown="false" showErrorMessage="1" showInputMessage="true" sqref="C105:C106 C108 C111" type="decimal">
      <formula1>0</formula1>
      <formula2>1</formula2>
    </dataValidation>
    <dataValidation allowBlank="true" error="Bitte einen Wert zwischen 1 und 40 eingeben." errorStyle="stop" errorTitle="Ungültige Eingabe" operator="between" prompt="Zinsbindung in Jahren (1–40)." promptTitle="Profi-Feld Darlehen II" showDropDown="false" showErrorMessage="1" showInputMessage="true" sqref="C107" type="whole">
      <formula1>1</formula1>
      <formula2>40</formula2>
    </dataValidation>
  </dataValidations>
  <hyperlinks>
    <hyperlink ref="B5" location="'Start'!A4" display="EINGABEN  ›  ALLE ANNAHMEN"/>
    <hyperlink ref="L5" location="'Start'!A4" display="‹  Start"/>
    <hyperlink ref="L9" location="'Eingaben'!A4" display="↑ Übersicht"/>
    <hyperlink ref="F11" location="'S01 Objekt'!D12" display="S01 ›"/>
    <hyperlink ref="F12" location="'S01 Objekt'!D13" display="S01 ›"/>
    <hyperlink ref="F13" location="'S01 Objekt'!D14" display="S01 ›"/>
    <hyperlink ref="F14" location="'S01 Objekt'!D15" display="S01 ›"/>
    <hyperlink ref="F15" location="'S01 Objekt'!D16" display="S01 ›"/>
    <hyperlink ref="F16" location="'S01 Objekt'!D17" display="S01 ›"/>
    <hyperlink ref="F17" location="'S01 Objekt'!D18" display="S01 ›"/>
    <hyperlink ref="F18" location="'S01 Objekt'!D19" display="S01 ›"/>
    <hyperlink ref="F19" location="'S02 Kaufpreis &amp; Miete'!D12" display="S02 ›"/>
    <hyperlink ref="F20" location="'S02 Kaufpreis &amp; Miete'!D13" display="S02 ›"/>
    <hyperlink ref="F21" location="'S02 Kaufpreis &amp; Miete'!D14" display="S02 ›"/>
    <hyperlink ref="F22" location="'S02 Kaufpreis &amp; Miete'!D15" display="S02 ›"/>
    <hyperlink ref="L24" location="'Eingaben'!A4" display="↑ Übersicht"/>
    <hyperlink ref="F26" location="'S03 Kaufnebenkosten'!D12" display="S03 ›"/>
    <hyperlink ref="F29" location="'S03 Kaufnebenkosten'!D13" display="S03 ›"/>
    <hyperlink ref="F30" location="'S03 Kaufnebenkosten'!D14" display="S03 ›"/>
    <hyperlink ref="F31" location="'S03 Kaufnebenkosten'!D15" display="S03 ›"/>
    <hyperlink ref="F32" location="'S03 Kaufnebenkosten'!D16" display="S03 ›"/>
    <hyperlink ref="L39" location="'Eingaben'!A4" display="↑ Übersicht"/>
    <hyperlink ref="F41" location="'S07 Finanzierung'!D19" display="S07 ›"/>
    <hyperlink ref="F42" location="'S07 Finanzierung'!D20" display="S07 ›"/>
    <hyperlink ref="F43" location="'S07 Finanzierung'!D21" display="S07 ›"/>
    <hyperlink ref="L48" location="'Eingaben'!A4" display="↑ Übersicht"/>
    <hyperlink ref="F50" location="'S04 Kaufpreisaufteilung'!D12" display="S04 ›"/>
    <hyperlink ref="F51" location="'S04 Kaufpreisaufteilung'!D13" display="S04 ›"/>
    <hyperlink ref="F52" location="'S04 Kaufpreisaufteilung'!D14" display="S04 ›"/>
    <hyperlink ref="F53" location="'S04 Kaufpreisaufteilung'!D15" display="S04 ›"/>
    <hyperlink ref="L61" location="'Eingaben'!A4" display="↑ Übersicht"/>
    <hyperlink ref="F63" location="'S05 Maßnahmen &amp; Reserve'!D12" display="S05 ›"/>
    <hyperlink ref="F64" location="'S05 Maßnahmen &amp; Reserve'!D13" display="S05 ›"/>
    <hyperlink ref="F65" location="'S05 Maßnahmen &amp; Reserve'!D14" display="S05 ›"/>
    <hyperlink ref="F66" location="'S05 Maßnahmen &amp; Reserve'!D15" display="S05 ›"/>
    <hyperlink ref="F67" location="'S05 Maßnahmen &amp; Reserve'!D16" display="S05 ›"/>
    <hyperlink ref="F68" location="'S05 Maßnahmen &amp; Reserve'!D17" display="S05 ›"/>
    <hyperlink ref="F69" location="'S05 Maßnahmen &amp; Reserve'!D18" display="S05 ›"/>
    <hyperlink ref="F70" location="'S05 Maßnahmen &amp; Reserve'!D19" display="S05 ›"/>
    <hyperlink ref="L75" location="'Eingaben'!A4" display="↑ Übersicht"/>
    <hyperlink ref="F77" location="'S02 Kaufpreis &amp; Miete'!D16" display="S02 ›"/>
    <hyperlink ref="F78" location="'S02 Kaufpreis &amp; Miete'!D17" display="S02 ›"/>
    <hyperlink ref="F79" location="'S06 Bewirtschaftung'!D12" display="S06 ›"/>
    <hyperlink ref="F80" location="'S06 Bewirtschaftung'!D13" display="S06 ›"/>
    <hyperlink ref="F81" location="'S06 Bewirtschaftung'!D14" display="S06 ›"/>
    <hyperlink ref="F82" location="'S06 Bewirtschaftung'!D15" display="S06 ›"/>
    <hyperlink ref="F83" location="'S06 Bewirtschaftung'!D16" display="S06 ›"/>
    <hyperlink ref="F84" location="'S06 Bewirtschaftung'!D17" display="S06 ›"/>
    <hyperlink ref="F85" location="'S06 Bewirtschaftung'!D18" display="S06 ›"/>
    <hyperlink ref="F86" location="'S06 Bewirtschaftung'!D19" display="S06 ›"/>
    <hyperlink ref="F87" location="'S11 Prognose &amp; Exit'!D12" display="S11 ›"/>
    <hyperlink ref="F88" location="'S11 Prognose &amp; Exit'!D13" display="S11 ›"/>
    <hyperlink ref="F89" location="'S11 Prognose &amp; Exit'!D14" display="S11 ›"/>
    <hyperlink ref="L95" location="'Eingaben'!A4" display="↑ Übersicht"/>
    <hyperlink ref="F97" location="'S07 Finanzierung'!D12" display="S07 ›"/>
    <hyperlink ref="F98" location="'S07 Finanzierung'!D13" display="S07 ›"/>
    <hyperlink ref="F99" location="'S07 Finanzierung'!D14" display="S07 ›"/>
    <hyperlink ref="F100" location="'S07 Finanzierung'!D15" display="S07 ›"/>
    <hyperlink ref="F101" location="'S07 Finanzierung'!D16" display="S07 ›"/>
    <hyperlink ref="F102" location="'S07 Finanzierung'!D17" display="S07 ›"/>
    <hyperlink ref="F103" location="'S07 Finanzierung'!D18" display="S07 ›"/>
    <hyperlink ref="L119" location="'Eingaben'!A4" display="↑ Übersicht"/>
    <hyperlink ref="F121" location="'Start'!D23" display="Start ›"/>
    <hyperlink ref="F122" location="'S09 Steuern'!D13" display="S09 ›"/>
    <hyperlink ref="F123" location="'S09 Steuern'!D14" display="S09 ›"/>
    <hyperlink ref="F124" location="'S09 Steuern'!D15" display="S09 ›"/>
    <hyperlink ref="F125" location="'S09 Steuern'!D16" display="S09 ›"/>
    <hyperlink ref="F126" location="'S09 Steuern'!D17" display="S09 ›"/>
    <hyperlink ref="F127" location="'S09 Steuern'!D18" display="S09 ›"/>
    <hyperlink ref="F128" location="'S10 Abschreibung'!D12" display="S10 ›"/>
    <hyperlink ref="F129" location="'S10 Abschreibung'!D13" display="S10 ›"/>
    <hyperlink ref="F130" location="'S10 Abschreibung'!D14" display="S10 ›"/>
    <hyperlink ref="F131" location="'S10 Abschreibung'!D15" display="S10 ›"/>
    <hyperlink ref="F132" location="'S10 Abschreibung'!D16" display="S10 ›"/>
    <hyperlink ref="F133" location="'S10 Abschreibung'!D17" display="S10 ›"/>
    <hyperlink ref="F134" location="'S11 Prognose &amp; Exit'!D18" display="S11 ›"/>
    <hyperlink ref="L141" location="'Eingaben'!A4" display="↑ Übersicht"/>
    <hyperlink ref="F143" location="'S11 Prognose &amp; Exit'!D15" display="S11 ›"/>
    <hyperlink ref="F144" location="'S11 Prognose &amp; Exit'!D16" display="S11 ›"/>
    <hyperlink ref="F145" location="'S11 Prognose &amp; Exit'!D17" display="S11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4" manualBreakCount="4">
    <brk id="23" man="true" max="16383" min="0"/>
    <brk id="60" man="true" max="16383" min="0"/>
    <brk id="94" man="true" max="16383" min="0"/>
    <brk id="118" man="true" max="16383" min="0"/>
  </rowBreaks>
  <drawing r:id="rIdNavDrawing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5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D11" activeCellId="0" sqref="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33" hidden="false" customHeight="true" outlineLevel="0" collapsed="false">
      <c r="A2" s="2"/>
      <c r="B2" s="6"/>
      <c r="C2" s="6"/>
      <c r="D2" s="5"/>
      <c r="E2" s="6"/>
      <c r="F2" s="6"/>
      <c r="G2" s="6"/>
      <c r="H2" s="6"/>
      <c r="I2" s="4"/>
      <c r="J2" s="6"/>
      <c r="K2" s="6"/>
      <c r="L2" s="6"/>
      <c r="M2" s="6"/>
      <c r="N2" s="6"/>
      <c r="O2" s="6"/>
      <c r="P2" s="6"/>
      <c r="Q2" s="6"/>
      <c r="R2" s="82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customFormat="false" ht="12" hidden="false" customHeight="true" outlineLevel="0" collapsed="false"/>
    <row r="5" customFormat="false" ht="18" hidden="false" customHeight="true" outlineLevel="0" collapsed="false">
      <c r="B5" s="102" t="s">
        <v>923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104" t="s">
        <v>924</v>
      </c>
      <c r="C6" s="9"/>
      <c r="D6" s="332" t="s">
        <v>925</v>
      </c>
      <c r="E6" s="332"/>
      <c r="F6" s="332"/>
      <c r="G6" s="332"/>
      <c r="H6" s="332"/>
      <c r="I6" s="332"/>
      <c r="J6" s="332"/>
      <c r="K6" s="332"/>
      <c r="L6" s="332"/>
      <c r="M6" s="33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333" t="s">
        <v>926</v>
      </c>
      <c r="C7" s="9"/>
      <c r="D7" s="334" t="s">
        <v>927</v>
      </c>
      <c r="E7" s="334"/>
      <c r="F7" s="334"/>
      <c r="G7" s="334"/>
      <c r="H7" s="334"/>
      <c r="I7" s="334"/>
      <c r="J7" s="334"/>
      <c r="K7" s="334"/>
      <c r="L7" s="334"/>
      <c r="M7" s="33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19.5" hidden="false" customHeight="true" outlineLevel="0" collapsed="false">
      <c r="B8" s="335" t="s">
        <v>928</v>
      </c>
      <c r="C8" s="336" t="s">
        <v>929</v>
      </c>
      <c r="D8" s="337" t="n">
        <v>1</v>
      </c>
      <c r="E8" s="337" t="n">
        <v>2</v>
      </c>
      <c r="F8" s="337" t="n">
        <v>3</v>
      </c>
      <c r="G8" s="337" t="n">
        <v>4</v>
      </c>
      <c r="H8" s="338" t="n">
        <v>5</v>
      </c>
      <c r="I8" s="337" t="n">
        <v>6</v>
      </c>
      <c r="J8" s="337" t="n">
        <v>7</v>
      </c>
      <c r="K8" s="337" t="n">
        <v>8</v>
      </c>
      <c r="L8" s="337" t="n">
        <v>9</v>
      </c>
      <c r="M8" s="338" t="n">
        <v>10</v>
      </c>
      <c r="N8" s="337" t="n">
        <v>11</v>
      </c>
      <c r="O8" s="337" t="n">
        <v>12</v>
      </c>
      <c r="P8" s="337" t="n">
        <v>13</v>
      </c>
      <c r="Q8" s="337" t="n">
        <v>14</v>
      </c>
      <c r="R8" s="338" t="n">
        <v>15</v>
      </c>
      <c r="S8" s="337" t="n">
        <v>16</v>
      </c>
      <c r="T8" s="337" t="n">
        <v>17</v>
      </c>
      <c r="U8" s="337" t="n">
        <v>18</v>
      </c>
      <c r="V8" s="337" t="n">
        <v>19</v>
      </c>
      <c r="W8" s="338" t="n">
        <v>20</v>
      </c>
      <c r="X8" s="337" t="n">
        <v>21</v>
      </c>
      <c r="Y8" s="337" t="n">
        <v>22</v>
      </c>
      <c r="Z8" s="337" t="n">
        <v>23</v>
      </c>
      <c r="AA8" s="337" t="n">
        <v>24</v>
      </c>
      <c r="AB8" s="338" t="n">
        <v>25</v>
      </c>
      <c r="AC8" s="337" t="n">
        <v>26</v>
      </c>
      <c r="AD8" s="337" t="n">
        <v>27</v>
      </c>
      <c r="AE8" s="337" t="n">
        <v>28</v>
      </c>
      <c r="AF8" s="337" t="n">
        <v>29</v>
      </c>
      <c r="AG8" s="338" t="n">
        <v>30</v>
      </c>
      <c r="AH8" s="337" t="n">
        <v>31</v>
      </c>
      <c r="AI8" s="337" t="n">
        <v>32</v>
      </c>
      <c r="AJ8" s="337" t="n">
        <v>33</v>
      </c>
      <c r="AK8" s="337" t="n">
        <v>34</v>
      </c>
      <c r="AL8" s="338" t="n">
        <v>35</v>
      </c>
      <c r="AM8" s="337" t="n">
        <v>36</v>
      </c>
      <c r="AN8" s="337" t="n">
        <v>37</v>
      </c>
      <c r="AO8" s="337" t="n">
        <v>38</v>
      </c>
      <c r="AP8" s="337" t="n">
        <v>39</v>
      </c>
      <c r="AQ8" s="337" t="n">
        <v>40</v>
      </c>
    </row>
    <row r="9" customFormat="false" ht="15" hidden="true" customHeight="true" outlineLevel="0" collapsed="false">
      <c r="B9" s="339" t="s">
        <v>928</v>
      </c>
      <c r="C9" s="340"/>
      <c r="D9" s="341" t="n">
        <v>1</v>
      </c>
      <c r="E9" s="341" t="n">
        <v>2</v>
      </c>
      <c r="F9" s="341" t="n">
        <v>3</v>
      </c>
      <c r="G9" s="341" t="n">
        <v>4</v>
      </c>
      <c r="H9" s="341" t="n">
        <v>5</v>
      </c>
      <c r="I9" s="341" t="n">
        <v>6</v>
      </c>
      <c r="J9" s="341" t="n">
        <v>7</v>
      </c>
      <c r="K9" s="341" t="n">
        <v>8</v>
      </c>
      <c r="L9" s="341" t="n">
        <v>9</v>
      </c>
      <c r="M9" s="341" t="n">
        <v>10</v>
      </c>
      <c r="N9" s="341" t="n">
        <v>11</v>
      </c>
      <c r="O9" s="341" t="n">
        <v>12</v>
      </c>
      <c r="P9" s="341" t="n">
        <v>13</v>
      </c>
      <c r="Q9" s="341" t="n">
        <v>14</v>
      </c>
      <c r="R9" s="341" t="n">
        <v>15</v>
      </c>
      <c r="S9" s="341" t="n">
        <v>16</v>
      </c>
      <c r="T9" s="341" t="n">
        <v>17</v>
      </c>
      <c r="U9" s="341" t="n">
        <v>18</v>
      </c>
      <c r="V9" s="341" t="n">
        <v>19</v>
      </c>
      <c r="W9" s="341" t="n">
        <v>20</v>
      </c>
      <c r="X9" s="341" t="n">
        <v>21</v>
      </c>
      <c r="Y9" s="341" t="n">
        <v>22</v>
      </c>
      <c r="Z9" s="341" t="n">
        <v>23</v>
      </c>
      <c r="AA9" s="341" t="n">
        <v>24</v>
      </c>
      <c r="AB9" s="341" t="n">
        <v>25</v>
      </c>
      <c r="AC9" s="341" t="n">
        <v>26</v>
      </c>
      <c r="AD9" s="341" t="n">
        <v>27</v>
      </c>
      <c r="AE9" s="341" t="n">
        <v>28</v>
      </c>
      <c r="AF9" s="341" t="n">
        <v>29</v>
      </c>
      <c r="AG9" s="341" t="n">
        <v>30</v>
      </c>
      <c r="AH9" s="341" t="n">
        <v>31</v>
      </c>
      <c r="AI9" s="341" t="n">
        <v>32</v>
      </c>
      <c r="AJ9" s="341" t="n">
        <v>33</v>
      </c>
      <c r="AK9" s="341" t="n">
        <v>34</v>
      </c>
      <c r="AL9" s="341" t="n">
        <v>35</v>
      </c>
      <c r="AM9" s="341" t="n">
        <v>36</v>
      </c>
      <c r="AN9" s="341" t="n">
        <v>37</v>
      </c>
      <c r="AO9" s="341" t="n">
        <v>38</v>
      </c>
      <c r="AP9" s="341" t="n">
        <v>39</v>
      </c>
      <c r="AQ9" s="341" t="n">
        <v>40</v>
      </c>
    </row>
    <row r="10" customFormat="false" ht="19.5" hidden="false" customHeight="true" outlineLevel="0" collapsed="false">
      <c r="B10" s="342" t="s">
        <v>547</v>
      </c>
      <c r="C10" s="343" t="s">
        <v>930</v>
      </c>
      <c r="D10" s="344" t="n">
        <f aca="false">YEAR(Kaufdatum)+D9-1</f>
        <v>2026</v>
      </c>
      <c r="E10" s="344" t="n">
        <f aca="false">YEAR(Kaufdatum)+E9-1</f>
        <v>2027</v>
      </c>
      <c r="F10" s="344" t="n">
        <f aca="false">YEAR(Kaufdatum)+F9-1</f>
        <v>2028</v>
      </c>
      <c r="G10" s="344" t="n">
        <f aca="false">YEAR(Kaufdatum)+G9-1</f>
        <v>2029</v>
      </c>
      <c r="H10" s="345" t="n">
        <f aca="false">YEAR(Kaufdatum)+H9-1</f>
        <v>2030</v>
      </c>
      <c r="I10" s="344" t="n">
        <f aca="false">YEAR(Kaufdatum)+I9-1</f>
        <v>2031</v>
      </c>
      <c r="J10" s="344" t="n">
        <f aca="false">YEAR(Kaufdatum)+J9-1</f>
        <v>2032</v>
      </c>
      <c r="K10" s="344" t="n">
        <f aca="false">YEAR(Kaufdatum)+K9-1</f>
        <v>2033</v>
      </c>
      <c r="L10" s="344" t="n">
        <f aca="false">YEAR(Kaufdatum)+L9-1</f>
        <v>2034</v>
      </c>
      <c r="M10" s="345" t="n">
        <f aca="false">YEAR(Kaufdatum)+M9-1</f>
        <v>2035</v>
      </c>
      <c r="N10" s="344" t="n">
        <f aca="false">YEAR(Kaufdatum)+N9-1</f>
        <v>2036</v>
      </c>
      <c r="O10" s="344" t="n">
        <f aca="false">YEAR(Kaufdatum)+O9-1</f>
        <v>2037</v>
      </c>
      <c r="P10" s="344" t="n">
        <f aca="false">YEAR(Kaufdatum)+P9-1</f>
        <v>2038</v>
      </c>
      <c r="Q10" s="344" t="n">
        <f aca="false">YEAR(Kaufdatum)+Q9-1</f>
        <v>2039</v>
      </c>
      <c r="R10" s="345" t="n">
        <f aca="false">YEAR(Kaufdatum)+R9-1</f>
        <v>2040</v>
      </c>
      <c r="S10" s="344" t="n">
        <f aca="false">YEAR(Kaufdatum)+S9-1</f>
        <v>2041</v>
      </c>
      <c r="T10" s="344" t="n">
        <f aca="false">YEAR(Kaufdatum)+T9-1</f>
        <v>2042</v>
      </c>
      <c r="U10" s="344" t="n">
        <f aca="false">YEAR(Kaufdatum)+U9-1</f>
        <v>2043</v>
      </c>
      <c r="V10" s="344" t="n">
        <f aca="false">YEAR(Kaufdatum)+V9-1</f>
        <v>2044</v>
      </c>
      <c r="W10" s="345" t="n">
        <f aca="false">YEAR(Kaufdatum)+W9-1</f>
        <v>2045</v>
      </c>
      <c r="X10" s="344" t="n">
        <f aca="false">YEAR(Kaufdatum)+X9-1</f>
        <v>2046</v>
      </c>
      <c r="Y10" s="344" t="n">
        <f aca="false">YEAR(Kaufdatum)+Y9-1</f>
        <v>2047</v>
      </c>
      <c r="Z10" s="344" t="n">
        <f aca="false">YEAR(Kaufdatum)+Z9-1</f>
        <v>2048</v>
      </c>
      <c r="AA10" s="344" t="n">
        <f aca="false">YEAR(Kaufdatum)+AA9-1</f>
        <v>2049</v>
      </c>
      <c r="AB10" s="345" t="n">
        <f aca="false">YEAR(Kaufdatum)+AB9-1</f>
        <v>2050</v>
      </c>
      <c r="AC10" s="344" t="n">
        <f aca="false">YEAR(Kaufdatum)+AC9-1</f>
        <v>2051</v>
      </c>
      <c r="AD10" s="344" t="n">
        <f aca="false">YEAR(Kaufdatum)+AD9-1</f>
        <v>2052</v>
      </c>
      <c r="AE10" s="344" t="n">
        <f aca="false">YEAR(Kaufdatum)+AE9-1</f>
        <v>2053</v>
      </c>
      <c r="AF10" s="344" t="n">
        <f aca="false">YEAR(Kaufdatum)+AF9-1</f>
        <v>2054</v>
      </c>
      <c r="AG10" s="345" t="n">
        <f aca="false">YEAR(Kaufdatum)+AG9-1</f>
        <v>2055</v>
      </c>
      <c r="AH10" s="344" t="n">
        <f aca="false">YEAR(Kaufdatum)+AH9-1</f>
        <v>2056</v>
      </c>
      <c r="AI10" s="344" t="n">
        <f aca="false">YEAR(Kaufdatum)+AI9-1</f>
        <v>2057</v>
      </c>
      <c r="AJ10" s="344" t="n">
        <f aca="false">YEAR(Kaufdatum)+AJ9-1</f>
        <v>2058</v>
      </c>
      <c r="AK10" s="344" t="n">
        <f aca="false">YEAR(Kaufdatum)+AK9-1</f>
        <v>2059</v>
      </c>
      <c r="AL10" s="345" t="n">
        <f aca="false">YEAR(Kaufdatum)+AL9-1</f>
        <v>2060</v>
      </c>
      <c r="AM10" s="344" t="n">
        <f aca="false">YEAR(Kaufdatum)+AM9-1</f>
        <v>2061</v>
      </c>
      <c r="AN10" s="344" t="n">
        <f aca="false">YEAR(Kaufdatum)+AN9-1</f>
        <v>2062</v>
      </c>
      <c r="AO10" s="344" t="n">
        <f aca="false">YEAR(Kaufdatum)+AO9-1</f>
        <v>2063</v>
      </c>
      <c r="AP10" s="344" t="n">
        <f aca="false">YEAR(Kaufdatum)+AP9-1</f>
        <v>2064</v>
      </c>
      <c r="AQ10" s="344" t="n">
        <f aca="false">YEAR(Kaufdatum)+AQ9-1</f>
        <v>2065</v>
      </c>
    </row>
    <row r="11" customFormat="false" ht="9" hidden="false" customHeight="true" outlineLevel="0" collapsed="false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24" hidden="false" customHeight="true" outlineLevel="0" collapsed="false">
      <c r="B12" s="33" t="s">
        <v>931</v>
      </c>
      <c r="C12" s="35" t="s">
        <v>659</v>
      </c>
      <c r="D12" s="264"/>
      <c r="E12" s="264"/>
      <c r="F12" s="264"/>
      <c r="G12" s="264"/>
      <c r="H12" s="346"/>
      <c r="I12" s="264"/>
      <c r="J12" s="264"/>
      <c r="K12" s="264"/>
      <c r="L12" s="264"/>
      <c r="M12" s="346"/>
      <c r="N12" s="264"/>
      <c r="O12" s="264"/>
      <c r="P12" s="264"/>
      <c r="Q12" s="264"/>
      <c r="R12" s="346"/>
      <c r="S12" s="264"/>
      <c r="T12" s="264"/>
      <c r="U12" s="264"/>
      <c r="V12" s="264"/>
      <c r="W12" s="346"/>
      <c r="X12" s="264"/>
      <c r="Y12" s="264"/>
      <c r="Z12" s="264"/>
      <c r="AA12" s="264"/>
      <c r="AB12" s="346"/>
      <c r="AC12" s="264"/>
      <c r="AD12" s="264"/>
      <c r="AE12" s="264"/>
      <c r="AF12" s="264"/>
      <c r="AG12" s="346"/>
      <c r="AH12" s="264"/>
      <c r="AI12" s="264"/>
      <c r="AJ12" s="264"/>
      <c r="AK12" s="264"/>
      <c r="AL12" s="346"/>
      <c r="AM12" s="264"/>
      <c r="AN12" s="264"/>
      <c r="AO12" s="264"/>
      <c r="AP12" s="264"/>
      <c r="AQ12" s="264"/>
    </row>
    <row r="13" customFormat="false" ht="15.75" hidden="false" customHeight="true" outlineLevel="0" collapsed="false">
      <c r="B13" s="72" t="s">
        <v>932</v>
      </c>
      <c r="C13" s="347" t="s">
        <v>753</v>
      </c>
      <c r="D13" s="206" t="n">
        <f aca="false">Miete_Monat*12*(1+Mietsteigerung)^(D9-1)</f>
        <v>11400</v>
      </c>
      <c r="E13" s="206" t="n">
        <f aca="false">Miete_Monat*12*(1+Mietsteigerung)^(E9-1)</f>
        <v>11628</v>
      </c>
      <c r="F13" s="206" t="n">
        <f aca="false">Miete_Monat*12*(1+Mietsteigerung)^(F9-1)</f>
        <v>11860.56</v>
      </c>
      <c r="G13" s="206" t="n">
        <f aca="false">Miete_Monat*12*(1+Mietsteigerung)^(G9-1)</f>
        <v>12097.7712</v>
      </c>
      <c r="H13" s="348" t="n">
        <f aca="false">Miete_Monat*12*(1+Mietsteigerung)^(H9-1)</f>
        <v>12339.726624</v>
      </c>
      <c r="I13" s="206" t="n">
        <f aca="false">Miete_Monat*12*(1+Mietsteigerung)^(I9-1)</f>
        <v>12586.52115648</v>
      </c>
      <c r="J13" s="206" t="n">
        <f aca="false">Miete_Monat*12*(1+Mietsteigerung)^(J9-1)</f>
        <v>12838.2515796096</v>
      </c>
      <c r="K13" s="206" t="n">
        <f aca="false">Miete_Monat*12*(1+Mietsteigerung)^(K9-1)</f>
        <v>13095.0166112018</v>
      </c>
      <c r="L13" s="206" t="n">
        <f aca="false">Miete_Monat*12*(1+Mietsteigerung)^(L9-1)</f>
        <v>13356.9169434258</v>
      </c>
      <c r="M13" s="348" t="n">
        <f aca="false">Miete_Monat*12*(1+Mietsteigerung)^(M9-1)</f>
        <v>13624.0552822943</v>
      </c>
      <c r="N13" s="206" t="n">
        <f aca="false">Miete_Monat*12*(1+Mietsteigerung)^(N9-1)</f>
        <v>13896.5363879402</v>
      </c>
      <c r="O13" s="206" t="n">
        <f aca="false">Miete_Monat*12*(1+Mietsteigerung)^(O9-1)</f>
        <v>14174.467115699</v>
      </c>
      <c r="P13" s="206" t="n">
        <f aca="false">Miete_Monat*12*(1+Mietsteigerung)^(P9-1)</f>
        <v>14457.956458013</v>
      </c>
      <c r="Q13" s="206" t="n">
        <f aca="false">Miete_Monat*12*(1+Mietsteigerung)^(Q9-1)</f>
        <v>14747.1155871733</v>
      </c>
      <c r="R13" s="348" t="n">
        <f aca="false">Miete_Monat*12*(1+Mietsteigerung)^(R9-1)</f>
        <v>15042.0578989167</v>
      </c>
      <c r="S13" s="206" t="n">
        <f aca="false">Miete_Monat*12*(1+Mietsteigerung)^(S9-1)</f>
        <v>15342.8990568951</v>
      </c>
      <c r="T13" s="206" t="n">
        <f aca="false">Miete_Monat*12*(1+Mietsteigerung)^(T9-1)</f>
        <v>15649.757038033</v>
      </c>
      <c r="U13" s="206" t="n">
        <f aca="false">Miete_Monat*12*(1+Mietsteigerung)^(U9-1)</f>
        <v>15962.7521787936</v>
      </c>
      <c r="V13" s="206" t="n">
        <f aca="false">Miete_Monat*12*(1+Mietsteigerung)^(V9-1)</f>
        <v>16282.0072223695</v>
      </c>
      <c r="W13" s="348" t="n">
        <f aca="false">Miete_Monat*12*(1+Mietsteigerung)^(W9-1)</f>
        <v>16607.6473668169</v>
      </c>
      <c r="X13" s="206" t="n">
        <f aca="false">Miete_Monat*12*(1+Mietsteigerung)^(X9-1)</f>
        <v>16939.8003141532</v>
      </c>
      <c r="Y13" s="206" t="n">
        <f aca="false">Miete_Monat*12*(1+Mietsteigerung)^(Y9-1)</f>
        <v>17278.5963204363</v>
      </c>
      <c r="Z13" s="206" t="n">
        <f aca="false">Miete_Monat*12*(1+Mietsteigerung)^(Z9-1)</f>
        <v>17624.168246845</v>
      </c>
      <c r="AA13" s="206" t="n">
        <f aca="false">Miete_Monat*12*(1+Mietsteigerung)^(AA9-1)</f>
        <v>17976.6516117819</v>
      </c>
      <c r="AB13" s="348" t="n">
        <f aca="false">Miete_Monat*12*(1+Mietsteigerung)^(AB9-1)</f>
        <v>18336.1846440176</v>
      </c>
      <c r="AC13" s="206" t="n">
        <f aca="false">Miete_Monat*12*(1+Mietsteigerung)^(AC9-1)</f>
        <v>18702.9083368979</v>
      </c>
      <c r="AD13" s="206" t="n">
        <f aca="false">Miete_Monat*12*(1+Mietsteigerung)^(AD9-1)</f>
        <v>19076.9665036359</v>
      </c>
      <c r="AE13" s="206" t="n">
        <f aca="false">Miete_Monat*12*(1+Mietsteigerung)^(AE9-1)</f>
        <v>19458.5058337086</v>
      </c>
      <c r="AF13" s="206" t="n">
        <f aca="false">Miete_Monat*12*(1+Mietsteigerung)^(AF9-1)</f>
        <v>19847.6759503828</v>
      </c>
      <c r="AG13" s="348" t="n">
        <f aca="false">Miete_Monat*12*(1+Mietsteigerung)^(AG9-1)</f>
        <v>20244.6294693904</v>
      </c>
      <c r="AH13" s="206" t="n">
        <f aca="false">Miete_Monat*12*(1+Mietsteigerung)^(AH9-1)</f>
        <v>20649.5220587782</v>
      </c>
      <c r="AI13" s="206" t="n">
        <f aca="false">Miete_Monat*12*(1+Mietsteigerung)^(AI9-1)</f>
        <v>21062.5124999538</v>
      </c>
      <c r="AJ13" s="206" t="n">
        <f aca="false">Miete_Monat*12*(1+Mietsteigerung)^(AJ9-1)</f>
        <v>21483.7627499529</v>
      </c>
      <c r="AK13" s="206" t="n">
        <f aca="false">Miete_Monat*12*(1+Mietsteigerung)^(AK9-1)</f>
        <v>21913.4380049519</v>
      </c>
      <c r="AL13" s="348" t="n">
        <f aca="false">Miete_Monat*12*(1+Mietsteigerung)^(AL9-1)</f>
        <v>22351.706765051</v>
      </c>
      <c r="AM13" s="206" t="n">
        <f aca="false">Miete_Monat*12*(1+Mietsteigerung)^(AM9-1)</f>
        <v>22798.740900352</v>
      </c>
      <c r="AN13" s="206" t="n">
        <f aca="false">Miete_Monat*12*(1+Mietsteigerung)^(AN9-1)</f>
        <v>23254.715718359</v>
      </c>
      <c r="AO13" s="206" t="n">
        <f aca="false">Miete_Monat*12*(1+Mietsteigerung)^(AO9-1)</f>
        <v>23719.8100327262</v>
      </c>
      <c r="AP13" s="206" t="n">
        <f aca="false">Miete_Monat*12*(1+Mietsteigerung)^(AP9-1)</f>
        <v>24194.2062333807</v>
      </c>
      <c r="AQ13" s="206" t="n">
        <f aca="false">Miete_Monat*12*(1+Mietsteigerung)^(AQ9-1)</f>
        <v>24678.0903580484</v>
      </c>
    </row>
    <row r="14" customFormat="false" ht="15.75" hidden="false" customHeight="true" outlineLevel="0" collapsed="false">
      <c r="B14" s="72" t="s">
        <v>933</v>
      </c>
      <c r="C14" s="347" t="s">
        <v>753</v>
      </c>
      <c r="D14" s="206" t="n">
        <f aca="false">D13*(IF(D9=1,MIN(N(Leerstand_Monate),12)/12,0)+Mietausfall_Pct*(1-IF(D9=1,MIN(N(Leerstand_Monate),12)/12,0)))</f>
        <v>342</v>
      </c>
      <c r="E14" s="206" t="n">
        <f aca="false">E13*(IF(E9=1,MIN(N(Leerstand_Monate),12)/12,0)+Mietausfall_Pct*(1-IF(E9=1,MIN(N(Leerstand_Monate),12)/12,0)))</f>
        <v>348.84</v>
      </c>
      <c r="F14" s="206" t="n">
        <f aca="false">F13*(IF(F9=1,MIN(N(Leerstand_Monate),12)/12,0)+Mietausfall_Pct*(1-IF(F9=1,MIN(N(Leerstand_Monate),12)/12,0)))</f>
        <v>355.8168</v>
      </c>
      <c r="G14" s="206" t="n">
        <f aca="false">G13*(IF(G9=1,MIN(N(Leerstand_Monate),12)/12,0)+Mietausfall_Pct*(1-IF(G9=1,MIN(N(Leerstand_Monate),12)/12,0)))</f>
        <v>362.933136</v>
      </c>
      <c r="H14" s="348" t="n">
        <f aca="false">H13*(IF(H9=1,MIN(N(Leerstand_Monate),12)/12,0)+Mietausfall_Pct*(1-IF(H9=1,MIN(N(Leerstand_Monate),12)/12,0)))</f>
        <v>370.19179872</v>
      </c>
      <c r="I14" s="206" t="n">
        <f aca="false">I13*(IF(I9=1,MIN(N(Leerstand_Monate),12)/12,0)+Mietausfall_Pct*(1-IF(I9=1,MIN(N(Leerstand_Monate),12)/12,0)))</f>
        <v>377.5956346944</v>
      </c>
      <c r="J14" s="206" t="n">
        <f aca="false">J13*(IF(J9=1,MIN(N(Leerstand_Monate),12)/12,0)+Mietausfall_Pct*(1-IF(J9=1,MIN(N(Leerstand_Monate),12)/12,0)))</f>
        <v>385.147547388288</v>
      </c>
      <c r="K14" s="206" t="n">
        <f aca="false">K13*(IF(K9=1,MIN(N(Leerstand_Monate),12)/12,0)+Mietausfall_Pct*(1-IF(K9=1,MIN(N(Leerstand_Monate),12)/12,0)))</f>
        <v>392.850498336054</v>
      </c>
      <c r="L14" s="206" t="n">
        <f aca="false">L13*(IF(L9=1,MIN(N(Leerstand_Monate),12)/12,0)+Mietausfall_Pct*(1-IF(L9=1,MIN(N(Leerstand_Monate),12)/12,0)))</f>
        <v>400.707508302775</v>
      </c>
      <c r="M14" s="348" t="n">
        <f aca="false">M13*(IF(M9=1,MIN(N(Leerstand_Monate),12)/12,0)+Mietausfall_Pct*(1-IF(M9=1,MIN(N(Leerstand_Monate),12)/12,0)))</f>
        <v>408.72165846883</v>
      </c>
      <c r="N14" s="206" t="n">
        <f aca="false">N13*(IF(N9=1,MIN(N(Leerstand_Monate),12)/12,0)+Mietausfall_Pct*(1-IF(N9=1,MIN(N(Leerstand_Monate),12)/12,0)))</f>
        <v>416.896091638207</v>
      </c>
      <c r="O14" s="206" t="n">
        <f aca="false">O13*(IF(O9=1,MIN(N(Leerstand_Monate),12)/12,0)+Mietausfall_Pct*(1-IF(O9=1,MIN(N(Leerstand_Monate),12)/12,0)))</f>
        <v>425.234013470971</v>
      </c>
      <c r="P14" s="206" t="n">
        <f aca="false">P13*(IF(P9=1,MIN(N(Leerstand_Monate),12)/12,0)+Mietausfall_Pct*(1-IF(P9=1,MIN(N(Leerstand_Monate),12)/12,0)))</f>
        <v>433.738693740391</v>
      </c>
      <c r="Q14" s="206" t="n">
        <f aca="false">Q13*(IF(Q9=1,MIN(N(Leerstand_Monate),12)/12,0)+Mietausfall_Pct*(1-IF(Q9=1,MIN(N(Leerstand_Monate),12)/12,0)))</f>
        <v>442.413467615198</v>
      </c>
      <c r="R14" s="348" t="n">
        <f aca="false">R13*(IF(R9=1,MIN(N(Leerstand_Monate),12)/12,0)+Mietausfall_Pct*(1-IF(R9=1,MIN(N(Leerstand_Monate),12)/12,0)))</f>
        <v>451.261736967502</v>
      </c>
      <c r="S14" s="206" t="n">
        <f aca="false">S13*(IF(S9=1,MIN(N(Leerstand_Monate),12)/12,0)+Mietausfall_Pct*(1-IF(S9=1,MIN(N(Leerstand_Monate),12)/12,0)))</f>
        <v>460.286971706852</v>
      </c>
      <c r="T14" s="206" t="n">
        <f aca="false">T13*(IF(T9=1,MIN(N(Leerstand_Monate),12)/12,0)+Mietausfall_Pct*(1-IF(T9=1,MIN(N(Leerstand_Monate),12)/12,0)))</f>
        <v>469.492711140989</v>
      </c>
      <c r="U14" s="206" t="n">
        <f aca="false">U13*(IF(U9=1,MIN(N(Leerstand_Monate),12)/12,0)+Mietausfall_Pct*(1-IF(U9=1,MIN(N(Leerstand_Monate),12)/12,0)))</f>
        <v>478.882565363809</v>
      </c>
      <c r="V14" s="206" t="n">
        <f aca="false">V13*(IF(V9=1,MIN(N(Leerstand_Monate),12)/12,0)+Mietausfall_Pct*(1-IF(V9=1,MIN(N(Leerstand_Monate),12)/12,0)))</f>
        <v>488.460216671086</v>
      </c>
      <c r="W14" s="348" t="n">
        <f aca="false">W13*(IF(W9=1,MIN(N(Leerstand_Monate),12)/12,0)+Mietausfall_Pct*(1-IF(W9=1,MIN(N(Leerstand_Monate),12)/12,0)))</f>
        <v>498.229421004507</v>
      </c>
      <c r="X14" s="206" t="n">
        <f aca="false">X13*(IF(X9=1,MIN(N(Leerstand_Monate),12)/12,0)+Mietausfall_Pct*(1-IF(X9=1,MIN(N(Leerstand_Monate),12)/12,0)))</f>
        <v>508.194009424597</v>
      </c>
      <c r="Y14" s="206" t="n">
        <f aca="false">Y13*(IF(Y9=1,MIN(N(Leerstand_Monate),12)/12,0)+Mietausfall_Pct*(1-IF(Y9=1,MIN(N(Leerstand_Monate),12)/12,0)))</f>
        <v>518.357889613089</v>
      </c>
      <c r="Z14" s="206" t="n">
        <f aca="false">Z13*(IF(Z9=1,MIN(N(Leerstand_Monate),12)/12,0)+Mietausfall_Pct*(1-IF(Z9=1,MIN(N(Leerstand_Monate),12)/12,0)))</f>
        <v>528.725047405351</v>
      </c>
      <c r="AA14" s="206" t="n">
        <f aca="false">AA13*(IF(AA9=1,MIN(N(Leerstand_Monate),12)/12,0)+Mietausfall_Pct*(1-IF(AA9=1,MIN(N(Leerstand_Monate),12)/12,0)))</f>
        <v>539.299548353458</v>
      </c>
      <c r="AB14" s="348" t="n">
        <f aca="false">AB13*(IF(AB9=1,MIN(N(Leerstand_Monate),12)/12,0)+Mietausfall_Pct*(1-IF(AB9=1,MIN(N(Leerstand_Monate),12)/12,0)))</f>
        <v>550.085539320527</v>
      </c>
      <c r="AC14" s="206" t="n">
        <f aca="false">AC13*(IF(AC9=1,MIN(N(Leerstand_Monate),12)/12,0)+Mietausfall_Pct*(1-IF(AC9=1,MIN(N(Leerstand_Monate),12)/12,0)))</f>
        <v>561.087250106938</v>
      </c>
      <c r="AD14" s="206" t="n">
        <f aca="false">AD13*(IF(AD9=1,MIN(N(Leerstand_Monate),12)/12,0)+Mietausfall_Pct*(1-IF(AD9=1,MIN(N(Leerstand_Monate),12)/12,0)))</f>
        <v>572.308995109077</v>
      </c>
      <c r="AE14" s="206" t="n">
        <f aca="false">AE13*(IF(AE9=1,MIN(N(Leerstand_Monate),12)/12,0)+Mietausfall_Pct*(1-IF(AE9=1,MIN(N(Leerstand_Monate),12)/12,0)))</f>
        <v>583.755175011258</v>
      </c>
      <c r="AF14" s="206" t="n">
        <f aca="false">AF13*(IF(AF9=1,MIN(N(Leerstand_Monate),12)/12,0)+Mietausfall_Pct*(1-IF(AF9=1,MIN(N(Leerstand_Monate),12)/12,0)))</f>
        <v>595.430278511483</v>
      </c>
      <c r="AG14" s="348" t="n">
        <f aca="false">AG13*(IF(AG9=1,MIN(N(Leerstand_Monate),12)/12,0)+Mietausfall_Pct*(1-IF(AG9=1,MIN(N(Leerstand_Monate),12)/12,0)))</f>
        <v>607.338884081713</v>
      </c>
      <c r="AH14" s="206" t="n">
        <f aca="false">AH13*(IF(AH9=1,MIN(N(Leerstand_Monate),12)/12,0)+Mietausfall_Pct*(1-IF(AH9=1,MIN(N(Leerstand_Monate),12)/12,0)))</f>
        <v>619.485661763347</v>
      </c>
      <c r="AI14" s="206" t="n">
        <f aca="false">AI13*(IF(AI9=1,MIN(N(Leerstand_Monate),12)/12,0)+Mietausfall_Pct*(1-IF(AI9=1,MIN(N(Leerstand_Monate),12)/12,0)))</f>
        <v>631.875374998614</v>
      </c>
      <c r="AJ14" s="206" t="n">
        <f aca="false">AJ13*(IF(AJ9=1,MIN(N(Leerstand_Monate),12)/12,0)+Mietausfall_Pct*(1-IF(AJ9=1,MIN(N(Leerstand_Monate),12)/12,0)))</f>
        <v>644.512882498587</v>
      </c>
      <c r="AK14" s="206" t="n">
        <f aca="false">AK13*(IF(AK9=1,MIN(N(Leerstand_Monate),12)/12,0)+Mietausfall_Pct*(1-IF(AK9=1,MIN(N(Leerstand_Monate),12)/12,0)))</f>
        <v>657.403140148558</v>
      </c>
      <c r="AL14" s="348" t="n">
        <f aca="false">AL13*(IF(AL9=1,MIN(N(Leerstand_Monate),12)/12,0)+Mietausfall_Pct*(1-IF(AL9=1,MIN(N(Leerstand_Monate),12)/12,0)))</f>
        <v>670.551202951529</v>
      </c>
      <c r="AM14" s="206" t="n">
        <f aca="false">AM13*(IF(AM9=1,MIN(N(Leerstand_Monate),12)/12,0)+Mietausfall_Pct*(1-IF(AM9=1,MIN(N(Leerstand_Monate),12)/12,0)))</f>
        <v>683.96222701056</v>
      </c>
      <c r="AN14" s="206" t="n">
        <f aca="false">AN13*(IF(AN9=1,MIN(N(Leerstand_Monate),12)/12,0)+Mietausfall_Pct*(1-IF(AN9=1,MIN(N(Leerstand_Monate),12)/12,0)))</f>
        <v>697.641471550771</v>
      </c>
      <c r="AO14" s="206" t="n">
        <f aca="false">AO13*(IF(AO9=1,MIN(N(Leerstand_Monate),12)/12,0)+Mietausfall_Pct*(1-IF(AO9=1,MIN(N(Leerstand_Monate),12)/12,0)))</f>
        <v>711.594300981787</v>
      </c>
      <c r="AP14" s="206" t="n">
        <f aca="false">AP13*(IF(AP9=1,MIN(N(Leerstand_Monate),12)/12,0)+Mietausfall_Pct*(1-IF(AP9=1,MIN(N(Leerstand_Monate),12)/12,0)))</f>
        <v>725.826187001423</v>
      </c>
      <c r="AQ14" s="206" t="n">
        <f aca="false">AQ13*(IF(AQ9=1,MIN(N(Leerstand_Monate),12)/12,0)+Mietausfall_Pct*(1-IF(AQ9=1,MIN(N(Leerstand_Monate),12)/12,0)))</f>
        <v>740.342710741451</v>
      </c>
    </row>
    <row r="15" customFormat="false" ht="15.75" hidden="false" customHeight="true" outlineLevel="0" collapsed="false">
      <c r="B15" s="141" t="s">
        <v>934</v>
      </c>
      <c r="C15" s="349" t="s">
        <v>753</v>
      </c>
      <c r="D15" s="210" t="n">
        <f aca="false">D13-D14</f>
        <v>11058</v>
      </c>
      <c r="E15" s="210" t="n">
        <f aca="false">E13-E14</f>
        <v>11279.16</v>
      </c>
      <c r="F15" s="210" t="n">
        <f aca="false">F13-F14</f>
        <v>11504.7432</v>
      </c>
      <c r="G15" s="210" t="n">
        <f aca="false">G13-G14</f>
        <v>11734.838064</v>
      </c>
      <c r="H15" s="350" t="n">
        <f aca="false">H13-H14</f>
        <v>11969.53482528</v>
      </c>
      <c r="I15" s="210" t="n">
        <f aca="false">I13-I14</f>
        <v>12208.9255217856</v>
      </c>
      <c r="J15" s="210" t="n">
        <f aca="false">J13-J14</f>
        <v>12453.1040322213</v>
      </c>
      <c r="K15" s="210" t="n">
        <f aca="false">K13-K14</f>
        <v>12702.1661128657</v>
      </c>
      <c r="L15" s="210" t="n">
        <f aca="false">L13-L14</f>
        <v>12956.2094351231</v>
      </c>
      <c r="M15" s="350" t="n">
        <f aca="false">M13-M14</f>
        <v>13215.3336238255</v>
      </c>
      <c r="N15" s="210" t="n">
        <f aca="false">N13-N14</f>
        <v>13479.640296302</v>
      </c>
      <c r="O15" s="210" t="n">
        <f aca="false">O13-O14</f>
        <v>13749.2331022281</v>
      </c>
      <c r="P15" s="210" t="n">
        <f aca="false">P13-P14</f>
        <v>14024.2177642726</v>
      </c>
      <c r="Q15" s="210" t="n">
        <f aca="false">Q13-Q14</f>
        <v>14304.7021195581</v>
      </c>
      <c r="R15" s="350" t="n">
        <f aca="false">R13-R14</f>
        <v>14590.7961619492</v>
      </c>
      <c r="S15" s="210" t="n">
        <f aca="false">S13-S14</f>
        <v>14882.6120851882</v>
      </c>
      <c r="T15" s="210" t="n">
        <f aca="false">T13-T14</f>
        <v>15180.264326892</v>
      </c>
      <c r="U15" s="210" t="n">
        <f aca="false">U13-U14</f>
        <v>15483.8696134298</v>
      </c>
      <c r="V15" s="210" t="n">
        <f aca="false">V13-V14</f>
        <v>15793.5470056984</v>
      </c>
      <c r="W15" s="350" t="n">
        <f aca="false">W13-W14</f>
        <v>16109.4179458124</v>
      </c>
      <c r="X15" s="210" t="n">
        <f aca="false">X13-X14</f>
        <v>16431.6063047286</v>
      </c>
      <c r="Y15" s="210" t="n">
        <f aca="false">Y13-Y14</f>
        <v>16760.2384308232</v>
      </c>
      <c r="Z15" s="210" t="n">
        <f aca="false">Z13-Z14</f>
        <v>17095.4431994397</v>
      </c>
      <c r="AA15" s="210" t="n">
        <f aca="false">AA13-AA14</f>
        <v>17437.3520634285</v>
      </c>
      <c r="AB15" s="350" t="n">
        <f aca="false">AB13-AB14</f>
        <v>17786.0991046971</v>
      </c>
      <c r="AC15" s="210" t="n">
        <f aca="false">AC13-AC14</f>
        <v>18141.821086791</v>
      </c>
      <c r="AD15" s="210" t="n">
        <f aca="false">AD13-AD14</f>
        <v>18504.6575085268</v>
      </c>
      <c r="AE15" s="210" t="n">
        <f aca="false">AE13-AE14</f>
        <v>18874.7506586973</v>
      </c>
      <c r="AF15" s="210" t="n">
        <f aca="false">AF13-AF14</f>
        <v>19252.2456718713</v>
      </c>
      <c r="AG15" s="350" t="n">
        <f aca="false">AG13-AG14</f>
        <v>19637.2905853087</v>
      </c>
      <c r="AH15" s="210" t="n">
        <f aca="false">AH13-AH14</f>
        <v>20030.0363970149</v>
      </c>
      <c r="AI15" s="210" t="n">
        <f aca="false">AI13-AI14</f>
        <v>20430.6371249552</v>
      </c>
      <c r="AJ15" s="210" t="n">
        <f aca="false">AJ13-AJ14</f>
        <v>20839.2498674543</v>
      </c>
      <c r="AK15" s="210" t="n">
        <f aca="false">AK13-AK14</f>
        <v>21256.0348648034</v>
      </c>
      <c r="AL15" s="350" t="n">
        <f aca="false">AL13-AL14</f>
        <v>21681.1555620995</v>
      </c>
      <c r="AM15" s="210" t="n">
        <f aca="false">AM13-AM14</f>
        <v>22114.7786733414</v>
      </c>
      <c r="AN15" s="210" t="n">
        <f aca="false">AN13-AN14</f>
        <v>22557.0742468083</v>
      </c>
      <c r="AO15" s="210" t="n">
        <f aca="false">AO13-AO14</f>
        <v>23008.2157317444</v>
      </c>
      <c r="AP15" s="210" t="n">
        <f aca="false">AP13-AP14</f>
        <v>23468.3800463793</v>
      </c>
      <c r="AQ15" s="210" t="n">
        <f aca="false">AQ13-AQ14</f>
        <v>23937.7476473069</v>
      </c>
    </row>
    <row r="16" customFormat="false" ht="15.75" hidden="false" customHeight="true" outlineLevel="0" collapsed="false">
      <c r="B16" s="280" t="s">
        <v>935</v>
      </c>
      <c r="C16" s="351" t="s">
        <v>753</v>
      </c>
      <c r="D16" s="281" t="n">
        <f aca="false">NK_umlagefaehig*12*(1+Kostensteigerung)^(D9-1)</f>
        <v>2640</v>
      </c>
      <c r="E16" s="281" t="n">
        <f aca="false">NK_umlagefaehig*12*(1+Kostensteigerung)^(E9-1)</f>
        <v>2692.8</v>
      </c>
      <c r="F16" s="281" t="n">
        <f aca="false">NK_umlagefaehig*12*(1+Kostensteigerung)^(F9-1)</f>
        <v>2746.656</v>
      </c>
      <c r="G16" s="281" t="n">
        <f aca="false">NK_umlagefaehig*12*(1+Kostensteigerung)^(G9-1)</f>
        <v>2801.58912</v>
      </c>
      <c r="H16" s="352" t="n">
        <f aca="false">NK_umlagefaehig*12*(1+Kostensteigerung)^(H9-1)</f>
        <v>2857.6209024</v>
      </c>
      <c r="I16" s="281" t="n">
        <f aca="false">NK_umlagefaehig*12*(1+Kostensteigerung)^(I9-1)</f>
        <v>2914.773320448</v>
      </c>
      <c r="J16" s="281" t="n">
        <f aca="false">NK_umlagefaehig*12*(1+Kostensteigerung)^(J9-1)</f>
        <v>2973.06878685696</v>
      </c>
      <c r="K16" s="281" t="n">
        <f aca="false">NK_umlagefaehig*12*(1+Kostensteigerung)^(K9-1)</f>
        <v>3032.5301625941</v>
      </c>
      <c r="L16" s="281" t="n">
        <f aca="false">NK_umlagefaehig*12*(1+Kostensteigerung)^(L9-1)</f>
        <v>3093.18076584598</v>
      </c>
      <c r="M16" s="352" t="n">
        <f aca="false">NK_umlagefaehig*12*(1+Kostensteigerung)^(M9-1)</f>
        <v>3155.0443811629</v>
      </c>
      <c r="N16" s="281" t="n">
        <f aca="false">NK_umlagefaehig*12*(1+Kostensteigerung)^(N9-1)</f>
        <v>3218.14526878616</v>
      </c>
      <c r="O16" s="281" t="n">
        <f aca="false">NK_umlagefaehig*12*(1+Kostensteigerung)^(O9-1)</f>
        <v>3282.50817416188</v>
      </c>
      <c r="P16" s="281" t="n">
        <f aca="false">NK_umlagefaehig*12*(1+Kostensteigerung)^(P9-1)</f>
        <v>3348.15833764512</v>
      </c>
      <c r="Q16" s="281" t="n">
        <f aca="false">NK_umlagefaehig*12*(1+Kostensteigerung)^(Q9-1)</f>
        <v>3415.12150439802</v>
      </c>
      <c r="R16" s="352" t="n">
        <f aca="false">NK_umlagefaehig*12*(1+Kostensteigerung)^(R9-1)</f>
        <v>3483.42393448598</v>
      </c>
      <c r="S16" s="281" t="n">
        <f aca="false">NK_umlagefaehig*12*(1+Kostensteigerung)^(S9-1)</f>
        <v>3553.0924131757</v>
      </c>
      <c r="T16" s="281" t="n">
        <f aca="false">NK_umlagefaehig*12*(1+Kostensteigerung)^(T9-1)</f>
        <v>3624.15426143922</v>
      </c>
      <c r="U16" s="281" t="n">
        <f aca="false">NK_umlagefaehig*12*(1+Kostensteigerung)^(U9-1)</f>
        <v>3696.637346668</v>
      </c>
      <c r="V16" s="281" t="n">
        <f aca="false">NK_umlagefaehig*12*(1+Kostensteigerung)^(V9-1)</f>
        <v>3770.57009360136</v>
      </c>
      <c r="W16" s="352" t="n">
        <f aca="false">NK_umlagefaehig*12*(1+Kostensteigerung)^(W9-1)</f>
        <v>3845.98149547339</v>
      </c>
      <c r="X16" s="281" t="n">
        <f aca="false">NK_umlagefaehig*12*(1+Kostensteigerung)^(X9-1)</f>
        <v>3922.90112538286</v>
      </c>
      <c r="Y16" s="281" t="n">
        <f aca="false">NK_umlagefaehig*12*(1+Kostensteigerung)^(Y9-1)</f>
        <v>4001.35914789051</v>
      </c>
      <c r="Z16" s="281" t="n">
        <f aca="false">NK_umlagefaehig*12*(1+Kostensteigerung)^(Z9-1)</f>
        <v>4081.38633084832</v>
      </c>
      <c r="AA16" s="281" t="n">
        <f aca="false">NK_umlagefaehig*12*(1+Kostensteigerung)^(AA9-1)</f>
        <v>4163.01405746529</v>
      </c>
      <c r="AB16" s="352" t="n">
        <f aca="false">NK_umlagefaehig*12*(1+Kostensteigerung)^(AB9-1)</f>
        <v>4246.2743386146</v>
      </c>
      <c r="AC16" s="281" t="n">
        <f aca="false">NK_umlagefaehig*12*(1+Kostensteigerung)^(AC9-1)</f>
        <v>4331.19982538689</v>
      </c>
      <c r="AD16" s="281" t="n">
        <f aca="false">NK_umlagefaehig*12*(1+Kostensteigerung)^(AD9-1)</f>
        <v>4417.82382189463</v>
      </c>
      <c r="AE16" s="281" t="n">
        <f aca="false">NK_umlagefaehig*12*(1+Kostensteigerung)^(AE9-1)</f>
        <v>4506.18029833252</v>
      </c>
      <c r="AF16" s="281" t="n">
        <f aca="false">NK_umlagefaehig*12*(1+Kostensteigerung)^(AF9-1)</f>
        <v>4596.30390429917</v>
      </c>
      <c r="AG16" s="352" t="n">
        <f aca="false">NK_umlagefaehig*12*(1+Kostensteigerung)^(AG9-1)</f>
        <v>4688.22998238515</v>
      </c>
      <c r="AH16" s="281" t="n">
        <f aca="false">NK_umlagefaehig*12*(1+Kostensteigerung)^(AH9-1)</f>
        <v>4781.99458203286</v>
      </c>
      <c r="AI16" s="281" t="n">
        <f aca="false">NK_umlagefaehig*12*(1+Kostensteigerung)^(AI9-1)</f>
        <v>4877.63447367351</v>
      </c>
      <c r="AJ16" s="281" t="n">
        <f aca="false">NK_umlagefaehig*12*(1+Kostensteigerung)^(AJ9-1)</f>
        <v>4975.18716314698</v>
      </c>
      <c r="AK16" s="281" t="n">
        <f aca="false">NK_umlagefaehig*12*(1+Kostensteigerung)^(AK9-1)</f>
        <v>5074.69090640992</v>
      </c>
      <c r="AL16" s="352" t="n">
        <f aca="false">NK_umlagefaehig*12*(1+Kostensteigerung)^(AL9-1)</f>
        <v>5176.18472453812</v>
      </c>
      <c r="AM16" s="281" t="n">
        <f aca="false">NK_umlagefaehig*12*(1+Kostensteigerung)^(AM9-1)</f>
        <v>5279.70841902889</v>
      </c>
      <c r="AN16" s="281" t="n">
        <f aca="false">NK_umlagefaehig*12*(1+Kostensteigerung)^(AN9-1)</f>
        <v>5385.30258740946</v>
      </c>
      <c r="AO16" s="281" t="n">
        <f aca="false">NK_umlagefaehig*12*(1+Kostensteigerung)^(AO9-1)</f>
        <v>5493.00863915765</v>
      </c>
      <c r="AP16" s="281" t="n">
        <f aca="false">NK_umlagefaehig*12*(1+Kostensteigerung)^(AP9-1)</f>
        <v>5602.8688119408</v>
      </c>
      <c r="AQ16" s="281" t="n">
        <f aca="false">NK_umlagefaehig*12*(1+Kostensteigerung)^(AQ9-1)</f>
        <v>5714.92618817962</v>
      </c>
    </row>
    <row r="17" customFormat="false" ht="15.75" hidden="false" customHeight="true" outlineLevel="0" collapsed="false">
      <c r="B17" s="280" t="s">
        <v>936</v>
      </c>
      <c r="C17" s="351" t="s">
        <v>753</v>
      </c>
      <c r="D17" s="281" t="n">
        <f aca="false">D15+D16</f>
        <v>13698</v>
      </c>
      <c r="E17" s="281" t="n">
        <f aca="false">E15+E16</f>
        <v>13971.96</v>
      </c>
      <c r="F17" s="281" t="n">
        <f aca="false">F15+F16</f>
        <v>14251.3992</v>
      </c>
      <c r="G17" s="281" t="n">
        <f aca="false">G15+G16</f>
        <v>14536.427184</v>
      </c>
      <c r="H17" s="352" t="n">
        <f aca="false">H15+H16</f>
        <v>14827.15572768</v>
      </c>
      <c r="I17" s="281" t="n">
        <f aca="false">I15+I16</f>
        <v>15123.6988422336</v>
      </c>
      <c r="J17" s="281" t="n">
        <f aca="false">J15+J16</f>
        <v>15426.1728190783</v>
      </c>
      <c r="K17" s="281" t="n">
        <f aca="false">K15+K16</f>
        <v>15734.6962754598</v>
      </c>
      <c r="L17" s="281" t="n">
        <f aca="false">L15+L16</f>
        <v>16049.390200969</v>
      </c>
      <c r="M17" s="352" t="n">
        <f aca="false">M15+M16</f>
        <v>16370.3780049884</v>
      </c>
      <c r="N17" s="281" t="n">
        <f aca="false">N15+N16</f>
        <v>16697.7855650882</v>
      </c>
      <c r="O17" s="281" t="n">
        <f aca="false">O15+O16</f>
        <v>17031.74127639</v>
      </c>
      <c r="P17" s="281" t="n">
        <f aca="false">P15+P16</f>
        <v>17372.3761019177</v>
      </c>
      <c r="Q17" s="281" t="n">
        <f aca="false">Q15+Q16</f>
        <v>17719.8236239561</v>
      </c>
      <c r="R17" s="352" t="n">
        <f aca="false">R15+R16</f>
        <v>18074.2200964352</v>
      </c>
      <c r="S17" s="281" t="n">
        <f aca="false">S15+S16</f>
        <v>18435.7044983639</v>
      </c>
      <c r="T17" s="281" t="n">
        <f aca="false">T15+T16</f>
        <v>18804.4185883312</v>
      </c>
      <c r="U17" s="281" t="n">
        <f aca="false">U15+U16</f>
        <v>19180.5069600978</v>
      </c>
      <c r="V17" s="281" t="n">
        <f aca="false">V15+V16</f>
        <v>19564.1170992998</v>
      </c>
      <c r="W17" s="352" t="n">
        <f aca="false">W15+W16</f>
        <v>19955.3994412858</v>
      </c>
      <c r="X17" s="281" t="n">
        <f aca="false">X15+X16</f>
        <v>20354.5074301115</v>
      </c>
      <c r="Y17" s="281" t="n">
        <f aca="false">Y15+Y16</f>
        <v>20761.5975787137</v>
      </c>
      <c r="Z17" s="281" t="n">
        <f aca="false">Z15+Z16</f>
        <v>21176.829530288</v>
      </c>
      <c r="AA17" s="281" t="n">
        <f aca="false">AA15+AA16</f>
        <v>21600.3661208938</v>
      </c>
      <c r="AB17" s="352" t="n">
        <f aca="false">AB15+AB16</f>
        <v>22032.3734433116</v>
      </c>
      <c r="AC17" s="281" t="n">
        <f aca="false">AC15+AC16</f>
        <v>22473.0209121779</v>
      </c>
      <c r="AD17" s="281" t="n">
        <f aca="false">AD15+AD16</f>
        <v>22922.4813304214</v>
      </c>
      <c r="AE17" s="281" t="n">
        <f aca="false">AE15+AE16</f>
        <v>23380.9309570299</v>
      </c>
      <c r="AF17" s="281" t="n">
        <f aca="false">AF15+AF16</f>
        <v>23848.5495761705</v>
      </c>
      <c r="AG17" s="352" t="n">
        <f aca="false">AG15+AG16</f>
        <v>24325.5205676939</v>
      </c>
      <c r="AH17" s="281" t="n">
        <f aca="false">AH15+AH16</f>
        <v>24812.0309790478</v>
      </c>
      <c r="AI17" s="281" t="n">
        <f aca="false">AI15+AI16</f>
        <v>25308.2715986287</v>
      </c>
      <c r="AJ17" s="281" t="n">
        <f aca="false">AJ15+AJ16</f>
        <v>25814.4370306013</v>
      </c>
      <c r="AK17" s="281" t="n">
        <f aca="false">AK15+AK16</f>
        <v>26330.7257712133</v>
      </c>
      <c r="AL17" s="352" t="n">
        <f aca="false">AL15+AL16</f>
        <v>26857.3402866376</v>
      </c>
      <c r="AM17" s="281" t="n">
        <f aca="false">AM15+AM16</f>
        <v>27394.4870923703</v>
      </c>
      <c r="AN17" s="281" t="n">
        <f aca="false">AN15+AN16</f>
        <v>27942.3768342177</v>
      </c>
      <c r="AO17" s="281" t="n">
        <f aca="false">AO15+AO16</f>
        <v>28501.2243709021</v>
      </c>
      <c r="AP17" s="281" t="n">
        <f aca="false">AP15+AP16</f>
        <v>29071.2488583201</v>
      </c>
      <c r="AQ17" s="281" t="n">
        <f aca="false">AQ15+AQ16</f>
        <v>29652.6738354865</v>
      </c>
    </row>
    <row r="18" customFormat="false" ht="12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customFormat="false" ht="24" hidden="false" customHeight="true" outlineLevel="0" collapsed="false">
      <c r="B19" s="33" t="s">
        <v>937</v>
      </c>
      <c r="C19" s="35" t="s">
        <v>659</v>
      </c>
      <c r="D19" s="264"/>
      <c r="E19" s="264"/>
      <c r="F19" s="264"/>
      <c r="G19" s="264"/>
      <c r="H19" s="346"/>
      <c r="I19" s="264"/>
      <c r="J19" s="264"/>
      <c r="K19" s="264"/>
      <c r="L19" s="264"/>
      <c r="M19" s="346"/>
      <c r="N19" s="264"/>
      <c r="O19" s="264"/>
      <c r="P19" s="264"/>
      <c r="Q19" s="264"/>
      <c r="R19" s="346"/>
      <c r="S19" s="264"/>
      <c r="T19" s="264"/>
      <c r="U19" s="264"/>
      <c r="V19" s="264"/>
      <c r="W19" s="346"/>
      <c r="X19" s="264"/>
      <c r="Y19" s="264"/>
      <c r="Z19" s="264"/>
      <c r="AA19" s="264"/>
      <c r="AB19" s="346"/>
      <c r="AC19" s="264"/>
      <c r="AD19" s="264"/>
      <c r="AE19" s="264"/>
      <c r="AF19" s="264"/>
      <c r="AG19" s="346"/>
      <c r="AH19" s="264"/>
      <c r="AI19" s="264"/>
      <c r="AJ19" s="264"/>
      <c r="AK19" s="264"/>
      <c r="AL19" s="346"/>
      <c r="AM19" s="264"/>
      <c r="AN19" s="264"/>
      <c r="AO19" s="264"/>
      <c r="AP19" s="264"/>
      <c r="AQ19" s="264"/>
    </row>
    <row r="20" customFormat="false" ht="15.75" hidden="false" customHeight="true" outlineLevel="0" collapsed="false">
      <c r="B20" s="72" t="s">
        <v>938</v>
      </c>
      <c r="C20" s="347" t="s">
        <v>753</v>
      </c>
      <c r="D20" s="206" t="n">
        <f aca="false">MAX(0,Hausgeld_nicht_umlagefaehig-Hausgeld_Ruecklage)*12*(1+Kostensteigerung)^(D9-1)</f>
        <v>420</v>
      </c>
      <c r="E20" s="206" t="n">
        <f aca="false">MAX(0,Hausgeld_nicht_umlagefaehig-Hausgeld_Ruecklage)*12*(1+Kostensteigerung)^(E9-1)</f>
        <v>428.4</v>
      </c>
      <c r="F20" s="206" t="n">
        <f aca="false">MAX(0,Hausgeld_nicht_umlagefaehig-Hausgeld_Ruecklage)*12*(1+Kostensteigerung)^(F9-1)</f>
        <v>436.968</v>
      </c>
      <c r="G20" s="206" t="n">
        <f aca="false">MAX(0,Hausgeld_nicht_umlagefaehig-Hausgeld_Ruecklage)*12*(1+Kostensteigerung)^(G9-1)</f>
        <v>445.70736</v>
      </c>
      <c r="H20" s="348" t="n">
        <f aca="false">MAX(0,Hausgeld_nicht_umlagefaehig-Hausgeld_Ruecklage)*12*(1+Kostensteigerung)^(H9-1)</f>
        <v>454.6215072</v>
      </c>
      <c r="I20" s="206" t="n">
        <f aca="false">MAX(0,Hausgeld_nicht_umlagefaehig-Hausgeld_Ruecklage)*12*(1+Kostensteigerung)^(I9-1)</f>
        <v>463.713937344</v>
      </c>
      <c r="J20" s="206" t="n">
        <f aca="false">MAX(0,Hausgeld_nicht_umlagefaehig-Hausgeld_Ruecklage)*12*(1+Kostensteigerung)^(J9-1)</f>
        <v>472.98821609088</v>
      </c>
      <c r="K20" s="206" t="n">
        <f aca="false">MAX(0,Hausgeld_nicht_umlagefaehig-Hausgeld_Ruecklage)*12*(1+Kostensteigerung)^(K9-1)</f>
        <v>482.447980412698</v>
      </c>
      <c r="L20" s="206" t="n">
        <f aca="false">MAX(0,Hausgeld_nicht_umlagefaehig-Hausgeld_Ruecklage)*12*(1+Kostensteigerung)^(L9-1)</f>
        <v>492.096940020952</v>
      </c>
      <c r="M20" s="348" t="n">
        <f aca="false">MAX(0,Hausgeld_nicht_umlagefaehig-Hausgeld_Ruecklage)*12*(1+Kostensteigerung)^(M9-1)</f>
        <v>501.938878821371</v>
      </c>
      <c r="N20" s="206" t="n">
        <f aca="false">MAX(0,Hausgeld_nicht_umlagefaehig-Hausgeld_Ruecklage)*12*(1+Kostensteigerung)^(N9-1)</f>
        <v>511.977656397798</v>
      </c>
      <c r="O20" s="206" t="n">
        <f aca="false">MAX(0,Hausgeld_nicht_umlagefaehig-Hausgeld_Ruecklage)*12*(1+Kostensteigerung)^(O9-1)</f>
        <v>522.217209525754</v>
      </c>
      <c r="P20" s="206" t="n">
        <f aca="false">MAX(0,Hausgeld_nicht_umlagefaehig-Hausgeld_Ruecklage)*12*(1+Kostensteigerung)^(P9-1)</f>
        <v>532.661553716269</v>
      </c>
      <c r="Q20" s="206" t="n">
        <f aca="false">MAX(0,Hausgeld_nicht_umlagefaehig-Hausgeld_Ruecklage)*12*(1+Kostensteigerung)^(Q9-1)</f>
        <v>543.314784790595</v>
      </c>
      <c r="R20" s="348" t="n">
        <f aca="false">MAX(0,Hausgeld_nicht_umlagefaehig-Hausgeld_Ruecklage)*12*(1+Kostensteigerung)^(R9-1)</f>
        <v>554.181080486406</v>
      </c>
      <c r="S20" s="206" t="n">
        <f aca="false">MAX(0,Hausgeld_nicht_umlagefaehig-Hausgeld_Ruecklage)*12*(1+Kostensteigerung)^(S9-1)</f>
        <v>565.264702096135</v>
      </c>
      <c r="T20" s="206" t="n">
        <f aca="false">MAX(0,Hausgeld_nicht_umlagefaehig-Hausgeld_Ruecklage)*12*(1+Kostensteigerung)^(T9-1)</f>
        <v>576.569996138057</v>
      </c>
      <c r="U20" s="206" t="n">
        <f aca="false">MAX(0,Hausgeld_nicht_umlagefaehig-Hausgeld_Ruecklage)*12*(1+Kostensteigerung)^(U9-1)</f>
        <v>588.101396060818</v>
      </c>
      <c r="V20" s="206" t="n">
        <f aca="false">MAX(0,Hausgeld_nicht_umlagefaehig-Hausgeld_Ruecklage)*12*(1+Kostensteigerung)^(V9-1)</f>
        <v>599.863423982035</v>
      </c>
      <c r="W20" s="348" t="n">
        <f aca="false">MAX(0,Hausgeld_nicht_umlagefaehig-Hausgeld_Ruecklage)*12*(1+Kostensteigerung)^(W9-1)</f>
        <v>611.860692461676</v>
      </c>
      <c r="X20" s="206" t="n">
        <f aca="false">MAX(0,Hausgeld_nicht_umlagefaehig-Hausgeld_Ruecklage)*12*(1+Kostensteigerung)^(X9-1)</f>
        <v>624.097906310909</v>
      </c>
      <c r="Y20" s="206" t="n">
        <f aca="false">MAX(0,Hausgeld_nicht_umlagefaehig-Hausgeld_Ruecklage)*12*(1+Kostensteigerung)^(Y9-1)</f>
        <v>636.579864437127</v>
      </c>
      <c r="Z20" s="206" t="n">
        <f aca="false">MAX(0,Hausgeld_nicht_umlagefaehig-Hausgeld_Ruecklage)*12*(1+Kostensteigerung)^(Z9-1)</f>
        <v>649.31146172587</v>
      </c>
      <c r="AA20" s="206" t="n">
        <f aca="false">MAX(0,Hausgeld_nicht_umlagefaehig-Hausgeld_Ruecklage)*12*(1+Kostensteigerung)^(AA9-1)</f>
        <v>662.297690960387</v>
      </c>
      <c r="AB20" s="348" t="n">
        <f aca="false">MAX(0,Hausgeld_nicht_umlagefaehig-Hausgeld_Ruecklage)*12*(1+Kostensteigerung)^(AB9-1)</f>
        <v>675.543644779595</v>
      </c>
      <c r="AC20" s="206" t="n">
        <f aca="false">MAX(0,Hausgeld_nicht_umlagefaehig-Hausgeld_Ruecklage)*12*(1+Kostensteigerung)^(AC9-1)</f>
        <v>689.054517675187</v>
      </c>
      <c r="AD20" s="206" t="n">
        <f aca="false">MAX(0,Hausgeld_nicht_umlagefaehig-Hausgeld_Ruecklage)*12*(1+Kostensteigerung)^(AD9-1)</f>
        <v>702.835608028691</v>
      </c>
      <c r="AE20" s="206" t="n">
        <f aca="false">MAX(0,Hausgeld_nicht_umlagefaehig-Hausgeld_Ruecklage)*12*(1+Kostensteigerung)^(AE9-1)</f>
        <v>716.892320189264</v>
      </c>
      <c r="AF20" s="206" t="n">
        <f aca="false">MAX(0,Hausgeld_nicht_umlagefaehig-Hausgeld_Ruecklage)*12*(1+Kostensteigerung)^(AF9-1)</f>
        <v>731.23016659305</v>
      </c>
      <c r="AG20" s="348" t="n">
        <f aca="false">MAX(0,Hausgeld_nicht_umlagefaehig-Hausgeld_Ruecklage)*12*(1+Kostensteigerung)^(AG9-1)</f>
        <v>745.854769924911</v>
      </c>
      <c r="AH20" s="206" t="n">
        <f aca="false">MAX(0,Hausgeld_nicht_umlagefaehig-Hausgeld_Ruecklage)*12*(1+Kostensteigerung)^(AH9-1)</f>
        <v>760.771865323409</v>
      </c>
      <c r="AI20" s="206" t="n">
        <f aca="false">MAX(0,Hausgeld_nicht_umlagefaehig-Hausgeld_Ruecklage)*12*(1+Kostensteigerung)^(AI9-1)</f>
        <v>775.987302629877</v>
      </c>
      <c r="AJ20" s="206" t="n">
        <f aca="false">MAX(0,Hausgeld_nicht_umlagefaehig-Hausgeld_Ruecklage)*12*(1+Kostensteigerung)^(AJ9-1)</f>
        <v>791.507048682475</v>
      </c>
      <c r="AK20" s="206" t="n">
        <f aca="false">MAX(0,Hausgeld_nicht_umlagefaehig-Hausgeld_Ruecklage)*12*(1+Kostensteigerung)^(AK9-1)</f>
        <v>807.337189656124</v>
      </c>
      <c r="AL20" s="348" t="n">
        <f aca="false">MAX(0,Hausgeld_nicht_umlagefaehig-Hausgeld_Ruecklage)*12*(1+Kostensteigerung)^(AL9-1)</f>
        <v>823.483933449247</v>
      </c>
      <c r="AM20" s="206" t="n">
        <f aca="false">MAX(0,Hausgeld_nicht_umlagefaehig-Hausgeld_Ruecklage)*12*(1+Kostensteigerung)^(AM9-1)</f>
        <v>839.953612118232</v>
      </c>
      <c r="AN20" s="206" t="n">
        <f aca="false">MAX(0,Hausgeld_nicht_umlagefaehig-Hausgeld_Ruecklage)*12*(1+Kostensteigerung)^(AN9-1)</f>
        <v>856.752684360596</v>
      </c>
      <c r="AO20" s="206" t="n">
        <f aca="false">MAX(0,Hausgeld_nicht_umlagefaehig-Hausgeld_Ruecklage)*12*(1+Kostensteigerung)^(AO9-1)</f>
        <v>873.887738047808</v>
      </c>
      <c r="AP20" s="206" t="n">
        <f aca="false">MAX(0,Hausgeld_nicht_umlagefaehig-Hausgeld_Ruecklage)*12*(1+Kostensteigerung)^(AP9-1)</f>
        <v>891.365492808764</v>
      </c>
      <c r="AQ20" s="206" t="n">
        <f aca="false">MAX(0,Hausgeld_nicht_umlagefaehig-Hausgeld_Ruecklage)*12*(1+Kostensteigerung)^(AQ9-1)</f>
        <v>909.19280266494</v>
      </c>
    </row>
    <row r="21" customFormat="false" ht="15.75" hidden="false" customHeight="true" outlineLevel="0" collapsed="false">
      <c r="B21" s="72" t="s">
        <v>939</v>
      </c>
      <c r="C21" s="347" t="s">
        <v>753</v>
      </c>
      <c r="D21" s="206" t="n">
        <f aca="false">Hausgeld_Ruecklage*12*(1+Kostensteigerung)^(D9-1)</f>
        <v>720</v>
      </c>
      <c r="E21" s="206" t="n">
        <f aca="false">Hausgeld_Ruecklage*12*(1+Kostensteigerung)^(E9-1)</f>
        <v>734.4</v>
      </c>
      <c r="F21" s="206" t="n">
        <f aca="false">Hausgeld_Ruecklage*12*(1+Kostensteigerung)^(F9-1)</f>
        <v>749.088</v>
      </c>
      <c r="G21" s="206" t="n">
        <f aca="false">Hausgeld_Ruecklage*12*(1+Kostensteigerung)^(G9-1)</f>
        <v>764.06976</v>
      </c>
      <c r="H21" s="348" t="n">
        <f aca="false">Hausgeld_Ruecklage*12*(1+Kostensteigerung)^(H9-1)</f>
        <v>779.3511552</v>
      </c>
      <c r="I21" s="206" t="n">
        <f aca="false">Hausgeld_Ruecklage*12*(1+Kostensteigerung)^(I9-1)</f>
        <v>794.938178304</v>
      </c>
      <c r="J21" s="206" t="n">
        <f aca="false">Hausgeld_Ruecklage*12*(1+Kostensteigerung)^(J9-1)</f>
        <v>810.83694187008</v>
      </c>
      <c r="K21" s="206" t="n">
        <f aca="false">Hausgeld_Ruecklage*12*(1+Kostensteigerung)^(K9-1)</f>
        <v>827.053680707482</v>
      </c>
      <c r="L21" s="206" t="n">
        <f aca="false">Hausgeld_Ruecklage*12*(1+Kostensteigerung)^(L9-1)</f>
        <v>843.594754321631</v>
      </c>
      <c r="M21" s="348" t="n">
        <f aca="false">Hausgeld_Ruecklage*12*(1+Kostensteigerung)^(M9-1)</f>
        <v>860.466649408064</v>
      </c>
      <c r="N21" s="206" t="n">
        <f aca="false">Hausgeld_Ruecklage*12*(1+Kostensteigerung)^(N9-1)</f>
        <v>877.675982396225</v>
      </c>
      <c r="O21" s="206" t="n">
        <f aca="false">Hausgeld_Ruecklage*12*(1+Kostensteigerung)^(O9-1)</f>
        <v>895.22950204415</v>
      </c>
      <c r="P21" s="206" t="n">
        <f aca="false">Hausgeld_Ruecklage*12*(1+Kostensteigerung)^(P9-1)</f>
        <v>913.134092085033</v>
      </c>
      <c r="Q21" s="206" t="n">
        <f aca="false">Hausgeld_Ruecklage*12*(1+Kostensteigerung)^(Q9-1)</f>
        <v>931.396773926734</v>
      </c>
      <c r="R21" s="348" t="n">
        <f aca="false">Hausgeld_Ruecklage*12*(1+Kostensteigerung)^(R9-1)</f>
        <v>950.024709405268</v>
      </c>
      <c r="S21" s="206" t="n">
        <f aca="false">Hausgeld_Ruecklage*12*(1+Kostensteigerung)^(S9-1)</f>
        <v>969.025203593374</v>
      </c>
      <c r="T21" s="206" t="n">
        <f aca="false">Hausgeld_Ruecklage*12*(1+Kostensteigerung)^(T9-1)</f>
        <v>988.405707665241</v>
      </c>
      <c r="U21" s="206" t="n">
        <f aca="false">Hausgeld_Ruecklage*12*(1+Kostensteigerung)^(U9-1)</f>
        <v>1008.17382181855</v>
      </c>
      <c r="V21" s="206" t="n">
        <f aca="false">Hausgeld_Ruecklage*12*(1+Kostensteigerung)^(V9-1)</f>
        <v>1028.33729825492</v>
      </c>
      <c r="W21" s="348" t="n">
        <f aca="false">Hausgeld_Ruecklage*12*(1+Kostensteigerung)^(W9-1)</f>
        <v>1048.90404422002</v>
      </c>
      <c r="X21" s="206" t="n">
        <f aca="false">Hausgeld_Ruecklage*12*(1+Kostensteigerung)^(X9-1)</f>
        <v>1069.88212510442</v>
      </c>
      <c r="Y21" s="206" t="n">
        <f aca="false">Hausgeld_Ruecklage*12*(1+Kostensteigerung)^(Y9-1)</f>
        <v>1091.2797676065</v>
      </c>
      <c r="Z21" s="206" t="n">
        <f aca="false">Hausgeld_Ruecklage*12*(1+Kostensteigerung)^(Z9-1)</f>
        <v>1113.10536295863</v>
      </c>
      <c r="AA21" s="206" t="n">
        <f aca="false">Hausgeld_Ruecklage*12*(1+Kostensteigerung)^(AA9-1)</f>
        <v>1135.36747021781</v>
      </c>
      <c r="AB21" s="348" t="n">
        <f aca="false">Hausgeld_Ruecklage*12*(1+Kostensteigerung)^(AB9-1)</f>
        <v>1158.07481962216</v>
      </c>
      <c r="AC21" s="206" t="n">
        <f aca="false">Hausgeld_Ruecklage*12*(1+Kostensteigerung)^(AC9-1)</f>
        <v>1181.23631601461</v>
      </c>
      <c r="AD21" s="206" t="n">
        <f aca="false">Hausgeld_Ruecklage*12*(1+Kostensteigerung)^(AD9-1)</f>
        <v>1204.8610423349</v>
      </c>
      <c r="AE21" s="206" t="n">
        <f aca="false">Hausgeld_Ruecklage*12*(1+Kostensteigerung)^(AE9-1)</f>
        <v>1228.9582631816</v>
      </c>
      <c r="AF21" s="206" t="n">
        <f aca="false">Hausgeld_Ruecklage*12*(1+Kostensteigerung)^(AF9-1)</f>
        <v>1253.53742844523</v>
      </c>
      <c r="AG21" s="348" t="n">
        <f aca="false">Hausgeld_Ruecklage*12*(1+Kostensteigerung)^(AG9-1)</f>
        <v>1278.60817701413</v>
      </c>
      <c r="AH21" s="206" t="n">
        <f aca="false">Hausgeld_Ruecklage*12*(1+Kostensteigerung)^(AH9-1)</f>
        <v>1304.18034055442</v>
      </c>
      <c r="AI21" s="206" t="n">
        <f aca="false">Hausgeld_Ruecklage*12*(1+Kostensteigerung)^(AI9-1)</f>
        <v>1330.2639473655</v>
      </c>
      <c r="AJ21" s="206" t="n">
        <f aca="false">Hausgeld_Ruecklage*12*(1+Kostensteigerung)^(AJ9-1)</f>
        <v>1356.86922631281</v>
      </c>
      <c r="AK21" s="206" t="n">
        <f aca="false">Hausgeld_Ruecklage*12*(1+Kostensteigerung)^(AK9-1)</f>
        <v>1384.00661083907</v>
      </c>
      <c r="AL21" s="348" t="n">
        <f aca="false">Hausgeld_Ruecklage*12*(1+Kostensteigerung)^(AL9-1)</f>
        <v>1411.68674305585</v>
      </c>
      <c r="AM21" s="206" t="n">
        <f aca="false">Hausgeld_Ruecklage*12*(1+Kostensteigerung)^(AM9-1)</f>
        <v>1439.92047791697</v>
      </c>
      <c r="AN21" s="206" t="n">
        <f aca="false">Hausgeld_Ruecklage*12*(1+Kostensteigerung)^(AN9-1)</f>
        <v>1468.71888747531</v>
      </c>
      <c r="AO21" s="206" t="n">
        <f aca="false">Hausgeld_Ruecklage*12*(1+Kostensteigerung)^(AO9-1)</f>
        <v>1498.09326522481</v>
      </c>
      <c r="AP21" s="206" t="n">
        <f aca="false">Hausgeld_Ruecklage*12*(1+Kostensteigerung)^(AP9-1)</f>
        <v>1528.05513052931</v>
      </c>
      <c r="AQ21" s="206" t="n">
        <f aca="false">Hausgeld_Ruecklage*12*(1+Kostensteigerung)^(AQ9-1)</f>
        <v>1558.6162331399</v>
      </c>
    </row>
    <row r="22" customFormat="false" ht="15.75" hidden="false" customHeight="true" outlineLevel="0" collapsed="false">
      <c r="B22" s="72" t="s">
        <v>940</v>
      </c>
      <c r="C22" s="347" t="s">
        <v>753</v>
      </c>
      <c r="D22" s="206" t="n">
        <f aca="false">Verwaltung_Monat*12*(1+Kostensteigerung)^(D9-1)</f>
        <v>300</v>
      </c>
      <c r="E22" s="206" t="n">
        <f aca="false">Verwaltung_Monat*12*(1+Kostensteigerung)^(E9-1)</f>
        <v>306</v>
      </c>
      <c r="F22" s="206" t="n">
        <f aca="false">Verwaltung_Monat*12*(1+Kostensteigerung)^(F9-1)</f>
        <v>312.12</v>
      </c>
      <c r="G22" s="206" t="n">
        <f aca="false">Verwaltung_Monat*12*(1+Kostensteigerung)^(G9-1)</f>
        <v>318.3624</v>
      </c>
      <c r="H22" s="348" t="n">
        <f aca="false">Verwaltung_Monat*12*(1+Kostensteigerung)^(H9-1)</f>
        <v>324.729648</v>
      </c>
      <c r="I22" s="206" t="n">
        <f aca="false">Verwaltung_Monat*12*(1+Kostensteigerung)^(I9-1)</f>
        <v>331.22424096</v>
      </c>
      <c r="J22" s="206" t="n">
        <f aca="false">Verwaltung_Monat*12*(1+Kostensteigerung)^(J9-1)</f>
        <v>337.8487257792</v>
      </c>
      <c r="K22" s="206" t="n">
        <f aca="false">Verwaltung_Monat*12*(1+Kostensteigerung)^(K9-1)</f>
        <v>344.605700294784</v>
      </c>
      <c r="L22" s="206" t="n">
        <f aca="false">Verwaltung_Monat*12*(1+Kostensteigerung)^(L9-1)</f>
        <v>351.49781430068</v>
      </c>
      <c r="M22" s="348" t="n">
        <f aca="false">Verwaltung_Monat*12*(1+Kostensteigerung)^(M9-1)</f>
        <v>358.527770586693</v>
      </c>
      <c r="N22" s="206" t="n">
        <f aca="false">Verwaltung_Monat*12*(1+Kostensteigerung)^(N9-1)</f>
        <v>365.698325998427</v>
      </c>
      <c r="O22" s="206" t="n">
        <f aca="false">Verwaltung_Monat*12*(1+Kostensteigerung)^(O9-1)</f>
        <v>373.012292518396</v>
      </c>
      <c r="P22" s="206" t="n">
        <f aca="false">Verwaltung_Monat*12*(1+Kostensteigerung)^(P9-1)</f>
        <v>380.472538368764</v>
      </c>
      <c r="Q22" s="206" t="n">
        <f aca="false">Verwaltung_Monat*12*(1+Kostensteigerung)^(Q9-1)</f>
        <v>388.081989136139</v>
      </c>
      <c r="R22" s="348" t="n">
        <f aca="false">Verwaltung_Monat*12*(1+Kostensteigerung)^(R9-1)</f>
        <v>395.843628918862</v>
      </c>
      <c r="S22" s="206" t="n">
        <f aca="false">Verwaltung_Monat*12*(1+Kostensteigerung)^(S9-1)</f>
        <v>403.760501497239</v>
      </c>
      <c r="T22" s="206" t="n">
        <f aca="false">Verwaltung_Monat*12*(1+Kostensteigerung)^(T9-1)</f>
        <v>411.835711527184</v>
      </c>
      <c r="U22" s="206" t="n">
        <f aca="false">Verwaltung_Monat*12*(1+Kostensteigerung)^(U9-1)</f>
        <v>420.072425757727</v>
      </c>
      <c r="V22" s="206" t="n">
        <f aca="false">Verwaltung_Monat*12*(1+Kostensteigerung)^(V9-1)</f>
        <v>428.473874272882</v>
      </c>
      <c r="W22" s="348" t="n">
        <f aca="false">Verwaltung_Monat*12*(1+Kostensteigerung)^(W9-1)</f>
        <v>437.04335175834</v>
      </c>
      <c r="X22" s="206" t="n">
        <f aca="false">Verwaltung_Monat*12*(1+Kostensteigerung)^(X9-1)</f>
        <v>445.784218793506</v>
      </c>
      <c r="Y22" s="206" t="n">
        <f aca="false">Verwaltung_Monat*12*(1+Kostensteigerung)^(Y9-1)</f>
        <v>454.699903169377</v>
      </c>
      <c r="Z22" s="206" t="n">
        <f aca="false">Verwaltung_Monat*12*(1+Kostensteigerung)^(Z9-1)</f>
        <v>463.793901232764</v>
      </c>
      <c r="AA22" s="206" t="n">
        <f aca="false">Verwaltung_Monat*12*(1+Kostensteigerung)^(AA9-1)</f>
        <v>473.069779257419</v>
      </c>
      <c r="AB22" s="348" t="n">
        <f aca="false">Verwaltung_Monat*12*(1+Kostensteigerung)^(AB9-1)</f>
        <v>482.531174842568</v>
      </c>
      <c r="AC22" s="206" t="n">
        <f aca="false">Verwaltung_Monat*12*(1+Kostensteigerung)^(AC9-1)</f>
        <v>492.181798339419</v>
      </c>
      <c r="AD22" s="206" t="n">
        <f aca="false">Verwaltung_Monat*12*(1+Kostensteigerung)^(AD9-1)</f>
        <v>502.025434306208</v>
      </c>
      <c r="AE22" s="206" t="n">
        <f aca="false">Verwaltung_Monat*12*(1+Kostensteigerung)^(AE9-1)</f>
        <v>512.065942992332</v>
      </c>
      <c r="AF22" s="206" t="n">
        <f aca="false">Verwaltung_Monat*12*(1+Kostensteigerung)^(AF9-1)</f>
        <v>522.307261852178</v>
      </c>
      <c r="AG22" s="348" t="n">
        <f aca="false">Verwaltung_Monat*12*(1+Kostensteigerung)^(AG9-1)</f>
        <v>532.753407089222</v>
      </c>
      <c r="AH22" s="206" t="n">
        <f aca="false">Verwaltung_Monat*12*(1+Kostensteigerung)^(AH9-1)</f>
        <v>543.408475231007</v>
      </c>
      <c r="AI22" s="206" t="n">
        <f aca="false">Verwaltung_Monat*12*(1+Kostensteigerung)^(AI9-1)</f>
        <v>554.276644735627</v>
      </c>
      <c r="AJ22" s="206" t="n">
        <f aca="false">Verwaltung_Monat*12*(1+Kostensteigerung)^(AJ9-1)</f>
        <v>565.362177630339</v>
      </c>
      <c r="AK22" s="206" t="n">
        <f aca="false">Verwaltung_Monat*12*(1+Kostensteigerung)^(AK9-1)</f>
        <v>576.669421182946</v>
      </c>
      <c r="AL22" s="348" t="n">
        <f aca="false">Verwaltung_Monat*12*(1+Kostensteigerung)^(AL9-1)</f>
        <v>588.202809606605</v>
      </c>
      <c r="AM22" s="206" t="n">
        <f aca="false">Verwaltung_Monat*12*(1+Kostensteigerung)^(AM9-1)</f>
        <v>599.966865798737</v>
      </c>
      <c r="AN22" s="206" t="n">
        <f aca="false">Verwaltung_Monat*12*(1+Kostensteigerung)^(AN9-1)</f>
        <v>611.966203114712</v>
      </c>
      <c r="AO22" s="206" t="n">
        <f aca="false">Verwaltung_Monat*12*(1+Kostensteigerung)^(AO9-1)</f>
        <v>624.205527177006</v>
      </c>
      <c r="AP22" s="206" t="n">
        <f aca="false">Verwaltung_Monat*12*(1+Kostensteigerung)^(AP9-1)</f>
        <v>636.689637720546</v>
      </c>
      <c r="AQ22" s="206" t="n">
        <f aca="false">Verwaltung_Monat*12*(1+Kostensteigerung)^(AQ9-1)</f>
        <v>649.423430474957</v>
      </c>
    </row>
    <row r="23" customFormat="false" ht="15.75" hidden="false" customHeight="true" outlineLevel="0" collapsed="false">
      <c r="B23" s="72" t="s">
        <v>316</v>
      </c>
      <c r="C23" s="347" t="s">
        <v>753</v>
      </c>
      <c r="D23" s="206" t="n">
        <f aca="false">Sonst_WK_pa*(1+Kostensteigerung)^(D9-1)</f>
        <v>300</v>
      </c>
      <c r="E23" s="206" t="n">
        <f aca="false">Sonst_WK_pa*(1+Kostensteigerung)^(E9-1)</f>
        <v>306</v>
      </c>
      <c r="F23" s="206" t="n">
        <f aca="false">Sonst_WK_pa*(1+Kostensteigerung)^(F9-1)</f>
        <v>312.12</v>
      </c>
      <c r="G23" s="206" t="n">
        <f aca="false">Sonst_WK_pa*(1+Kostensteigerung)^(G9-1)</f>
        <v>318.3624</v>
      </c>
      <c r="H23" s="348" t="n">
        <f aca="false">Sonst_WK_pa*(1+Kostensteigerung)^(H9-1)</f>
        <v>324.729648</v>
      </c>
      <c r="I23" s="206" t="n">
        <f aca="false">Sonst_WK_pa*(1+Kostensteigerung)^(I9-1)</f>
        <v>331.22424096</v>
      </c>
      <c r="J23" s="206" t="n">
        <f aca="false">Sonst_WK_pa*(1+Kostensteigerung)^(J9-1)</f>
        <v>337.8487257792</v>
      </c>
      <c r="K23" s="206" t="n">
        <f aca="false">Sonst_WK_pa*(1+Kostensteigerung)^(K9-1)</f>
        <v>344.605700294784</v>
      </c>
      <c r="L23" s="206" t="n">
        <f aca="false">Sonst_WK_pa*(1+Kostensteigerung)^(L9-1)</f>
        <v>351.49781430068</v>
      </c>
      <c r="M23" s="348" t="n">
        <f aca="false">Sonst_WK_pa*(1+Kostensteigerung)^(M9-1)</f>
        <v>358.527770586693</v>
      </c>
      <c r="N23" s="206" t="n">
        <f aca="false">Sonst_WK_pa*(1+Kostensteigerung)^(N9-1)</f>
        <v>365.698325998427</v>
      </c>
      <c r="O23" s="206" t="n">
        <f aca="false">Sonst_WK_pa*(1+Kostensteigerung)^(O9-1)</f>
        <v>373.012292518396</v>
      </c>
      <c r="P23" s="206" t="n">
        <f aca="false">Sonst_WK_pa*(1+Kostensteigerung)^(P9-1)</f>
        <v>380.472538368764</v>
      </c>
      <c r="Q23" s="206" t="n">
        <f aca="false">Sonst_WK_pa*(1+Kostensteigerung)^(Q9-1)</f>
        <v>388.081989136139</v>
      </c>
      <c r="R23" s="348" t="n">
        <f aca="false">Sonst_WK_pa*(1+Kostensteigerung)^(R9-1)</f>
        <v>395.843628918862</v>
      </c>
      <c r="S23" s="206" t="n">
        <f aca="false">Sonst_WK_pa*(1+Kostensteigerung)^(S9-1)</f>
        <v>403.760501497239</v>
      </c>
      <c r="T23" s="206" t="n">
        <f aca="false">Sonst_WK_pa*(1+Kostensteigerung)^(T9-1)</f>
        <v>411.835711527184</v>
      </c>
      <c r="U23" s="206" t="n">
        <f aca="false">Sonst_WK_pa*(1+Kostensteigerung)^(U9-1)</f>
        <v>420.072425757727</v>
      </c>
      <c r="V23" s="206" t="n">
        <f aca="false">Sonst_WK_pa*(1+Kostensteigerung)^(V9-1)</f>
        <v>428.473874272882</v>
      </c>
      <c r="W23" s="348" t="n">
        <f aca="false">Sonst_WK_pa*(1+Kostensteigerung)^(W9-1)</f>
        <v>437.04335175834</v>
      </c>
      <c r="X23" s="206" t="n">
        <f aca="false">Sonst_WK_pa*(1+Kostensteigerung)^(X9-1)</f>
        <v>445.784218793506</v>
      </c>
      <c r="Y23" s="206" t="n">
        <f aca="false">Sonst_WK_pa*(1+Kostensteigerung)^(Y9-1)</f>
        <v>454.699903169377</v>
      </c>
      <c r="Z23" s="206" t="n">
        <f aca="false">Sonst_WK_pa*(1+Kostensteigerung)^(Z9-1)</f>
        <v>463.793901232764</v>
      </c>
      <c r="AA23" s="206" t="n">
        <f aca="false">Sonst_WK_pa*(1+Kostensteigerung)^(AA9-1)</f>
        <v>473.069779257419</v>
      </c>
      <c r="AB23" s="348" t="n">
        <f aca="false">Sonst_WK_pa*(1+Kostensteigerung)^(AB9-1)</f>
        <v>482.531174842568</v>
      </c>
      <c r="AC23" s="206" t="n">
        <f aca="false">Sonst_WK_pa*(1+Kostensteigerung)^(AC9-1)</f>
        <v>492.181798339419</v>
      </c>
      <c r="AD23" s="206" t="n">
        <f aca="false">Sonst_WK_pa*(1+Kostensteigerung)^(AD9-1)</f>
        <v>502.025434306208</v>
      </c>
      <c r="AE23" s="206" t="n">
        <f aca="false">Sonst_WK_pa*(1+Kostensteigerung)^(AE9-1)</f>
        <v>512.065942992332</v>
      </c>
      <c r="AF23" s="206" t="n">
        <f aca="false">Sonst_WK_pa*(1+Kostensteigerung)^(AF9-1)</f>
        <v>522.307261852178</v>
      </c>
      <c r="AG23" s="348" t="n">
        <f aca="false">Sonst_WK_pa*(1+Kostensteigerung)^(AG9-1)</f>
        <v>532.753407089222</v>
      </c>
      <c r="AH23" s="206" t="n">
        <f aca="false">Sonst_WK_pa*(1+Kostensteigerung)^(AH9-1)</f>
        <v>543.408475231007</v>
      </c>
      <c r="AI23" s="206" t="n">
        <f aca="false">Sonst_WK_pa*(1+Kostensteigerung)^(AI9-1)</f>
        <v>554.276644735627</v>
      </c>
      <c r="AJ23" s="206" t="n">
        <f aca="false">Sonst_WK_pa*(1+Kostensteigerung)^(AJ9-1)</f>
        <v>565.362177630339</v>
      </c>
      <c r="AK23" s="206" t="n">
        <f aca="false">Sonst_WK_pa*(1+Kostensteigerung)^(AK9-1)</f>
        <v>576.669421182946</v>
      </c>
      <c r="AL23" s="348" t="n">
        <f aca="false">Sonst_WK_pa*(1+Kostensteigerung)^(AL9-1)</f>
        <v>588.202809606605</v>
      </c>
      <c r="AM23" s="206" t="n">
        <f aca="false">Sonst_WK_pa*(1+Kostensteigerung)^(AM9-1)</f>
        <v>599.966865798737</v>
      </c>
      <c r="AN23" s="206" t="n">
        <f aca="false">Sonst_WK_pa*(1+Kostensteigerung)^(AN9-1)</f>
        <v>611.966203114712</v>
      </c>
      <c r="AO23" s="206" t="n">
        <f aca="false">Sonst_WK_pa*(1+Kostensteigerung)^(AO9-1)</f>
        <v>624.205527177006</v>
      </c>
      <c r="AP23" s="206" t="n">
        <f aca="false">Sonst_WK_pa*(1+Kostensteigerung)^(AP9-1)</f>
        <v>636.689637720546</v>
      </c>
      <c r="AQ23" s="206" t="n">
        <f aca="false">Sonst_WK_pa*(1+Kostensteigerung)^(AQ9-1)</f>
        <v>649.423430474957</v>
      </c>
    </row>
    <row r="24" customFormat="false" ht="15.75" hidden="false" customHeight="true" outlineLevel="0" collapsed="false">
      <c r="B24" s="72" t="s">
        <v>941</v>
      </c>
      <c r="C24" s="347" t="s">
        <v>753</v>
      </c>
      <c r="D24" s="206" t="n">
        <f aca="false">IH_Ruecklage_qm*Wohnflaeche*(1+Kostensteigerung)^(D9-1)</f>
        <v>750</v>
      </c>
      <c r="E24" s="206" t="n">
        <f aca="false">IH_Ruecklage_qm*Wohnflaeche*(1+Kostensteigerung)^(E9-1)</f>
        <v>765</v>
      </c>
      <c r="F24" s="206" t="n">
        <f aca="false">IH_Ruecklage_qm*Wohnflaeche*(1+Kostensteigerung)^(F9-1)</f>
        <v>780.3</v>
      </c>
      <c r="G24" s="206" t="n">
        <f aca="false">IH_Ruecklage_qm*Wohnflaeche*(1+Kostensteigerung)^(G9-1)</f>
        <v>795.906</v>
      </c>
      <c r="H24" s="348" t="n">
        <f aca="false">IH_Ruecklage_qm*Wohnflaeche*(1+Kostensteigerung)^(H9-1)</f>
        <v>811.82412</v>
      </c>
      <c r="I24" s="206" t="n">
        <f aca="false">IH_Ruecklage_qm*Wohnflaeche*(1+Kostensteigerung)^(I9-1)</f>
        <v>828.0606024</v>
      </c>
      <c r="J24" s="206" t="n">
        <f aca="false">IH_Ruecklage_qm*Wohnflaeche*(1+Kostensteigerung)^(J9-1)</f>
        <v>844.621814448</v>
      </c>
      <c r="K24" s="206" t="n">
        <f aca="false">IH_Ruecklage_qm*Wohnflaeche*(1+Kostensteigerung)^(K9-1)</f>
        <v>861.51425073696</v>
      </c>
      <c r="L24" s="206" t="n">
        <f aca="false">IH_Ruecklage_qm*Wohnflaeche*(1+Kostensteigerung)^(L9-1)</f>
        <v>878.744535751699</v>
      </c>
      <c r="M24" s="348" t="n">
        <f aca="false">IH_Ruecklage_qm*Wohnflaeche*(1+Kostensteigerung)^(M9-1)</f>
        <v>896.319426466733</v>
      </c>
      <c r="N24" s="206" t="n">
        <f aca="false">IH_Ruecklage_qm*Wohnflaeche*(1+Kostensteigerung)^(N9-1)</f>
        <v>914.245814996068</v>
      </c>
      <c r="O24" s="206" t="n">
        <f aca="false">IH_Ruecklage_qm*Wohnflaeche*(1+Kostensteigerung)^(O9-1)</f>
        <v>932.530731295989</v>
      </c>
      <c r="P24" s="206" t="n">
        <f aca="false">IH_Ruecklage_qm*Wohnflaeche*(1+Kostensteigerung)^(P9-1)</f>
        <v>951.181345921909</v>
      </c>
      <c r="Q24" s="206" t="n">
        <f aca="false">IH_Ruecklage_qm*Wohnflaeche*(1+Kostensteigerung)^(Q9-1)</f>
        <v>970.204972840347</v>
      </c>
      <c r="R24" s="348" t="n">
        <f aca="false">IH_Ruecklage_qm*Wohnflaeche*(1+Kostensteigerung)^(R9-1)</f>
        <v>989.609072297154</v>
      </c>
      <c r="S24" s="206" t="n">
        <f aca="false">IH_Ruecklage_qm*Wohnflaeche*(1+Kostensteigerung)^(S9-1)</f>
        <v>1009.4012537431</v>
      </c>
      <c r="T24" s="206" t="n">
        <f aca="false">IH_Ruecklage_qm*Wohnflaeche*(1+Kostensteigerung)^(T9-1)</f>
        <v>1029.58927881796</v>
      </c>
      <c r="U24" s="206" t="n">
        <f aca="false">IH_Ruecklage_qm*Wohnflaeche*(1+Kostensteigerung)^(U9-1)</f>
        <v>1050.18106439432</v>
      </c>
      <c r="V24" s="206" t="n">
        <f aca="false">IH_Ruecklage_qm*Wohnflaeche*(1+Kostensteigerung)^(V9-1)</f>
        <v>1071.18468568221</v>
      </c>
      <c r="W24" s="348" t="n">
        <f aca="false">IH_Ruecklage_qm*Wohnflaeche*(1+Kostensteigerung)^(W9-1)</f>
        <v>1092.60837939585</v>
      </c>
      <c r="X24" s="206" t="n">
        <f aca="false">IH_Ruecklage_qm*Wohnflaeche*(1+Kostensteigerung)^(X9-1)</f>
        <v>1114.46054698377</v>
      </c>
      <c r="Y24" s="206" t="n">
        <f aca="false">IH_Ruecklage_qm*Wohnflaeche*(1+Kostensteigerung)^(Y9-1)</f>
        <v>1136.74975792344</v>
      </c>
      <c r="Z24" s="206" t="n">
        <f aca="false">IH_Ruecklage_qm*Wohnflaeche*(1+Kostensteigerung)^(Z9-1)</f>
        <v>1159.48475308191</v>
      </c>
      <c r="AA24" s="206" t="n">
        <f aca="false">IH_Ruecklage_qm*Wohnflaeche*(1+Kostensteigerung)^(AA9-1)</f>
        <v>1182.67444814355</v>
      </c>
      <c r="AB24" s="348" t="n">
        <f aca="false">IH_Ruecklage_qm*Wohnflaeche*(1+Kostensteigerung)^(AB9-1)</f>
        <v>1206.32793710642</v>
      </c>
      <c r="AC24" s="206" t="n">
        <f aca="false">IH_Ruecklage_qm*Wohnflaeche*(1+Kostensteigerung)^(AC9-1)</f>
        <v>1230.45449584855</v>
      </c>
      <c r="AD24" s="206" t="n">
        <f aca="false">IH_Ruecklage_qm*Wohnflaeche*(1+Kostensteigerung)^(AD9-1)</f>
        <v>1255.06358576552</v>
      </c>
      <c r="AE24" s="206" t="n">
        <f aca="false">IH_Ruecklage_qm*Wohnflaeche*(1+Kostensteigerung)^(AE9-1)</f>
        <v>1280.16485748083</v>
      </c>
      <c r="AF24" s="206" t="n">
        <f aca="false">IH_Ruecklage_qm*Wohnflaeche*(1+Kostensteigerung)^(AF9-1)</f>
        <v>1305.76815463045</v>
      </c>
      <c r="AG24" s="348" t="n">
        <f aca="false">IH_Ruecklage_qm*Wohnflaeche*(1+Kostensteigerung)^(AG9-1)</f>
        <v>1331.88351772305</v>
      </c>
      <c r="AH24" s="206" t="n">
        <f aca="false">IH_Ruecklage_qm*Wohnflaeche*(1+Kostensteigerung)^(AH9-1)</f>
        <v>1358.52118807752</v>
      </c>
      <c r="AI24" s="206" t="n">
        <f aca="false">IH_Ruecklage_qm*Wohnflaeche*(1+Kostensteigerung)^(AI9-1)</f>
        <v>1385.69161183907</v>
      </c>
      <c r="AJ24" s="206" t="n">
        <f aca="false">IH_Ruecklage_qm*Wohnflaeche*(1+Kostensteigerung)^(AJ9-1)</f>
        <v>1413.40544407585</v>
      </c>
      <c r="AK24" s="206" t="n">
        <f aca="false">IH_Ruecklage_qm*Wohnflaeche*(1+Kostensteigerung)^(AK9-1)</f>
        <v>1441.67355295736</v>
      </c>
      <c r="AL24" s="348" t="n">
        <f aca="false">IH_Ruecklage_qm*Wohnflaeche*(1+Kostensteigerung)^(AL9-1)</f>
        <v>1470.50702401651</v>
      </c>
      <c r="AM24" s="206" t="n">
        <f aca="false">IH_Ruecklage_qm*Wohnflaeche*(1+Kostensteigerung)^(AM9-1)</f>
        <v>1499.91716449684</v>
      </c>
      <c r="AN24" s="206" t="n">
        <f aca="false">IH_Ruecklage_qm*Wohnflaeche*(1+Kostensteigerung)^(AN9-1)</f>
        <v>1529.91550778678</v>
      </c>
      <c r="AO24" s="206" t="n">
        <f aca="false">IH_Ruecklage_qm*Wohnflaeche*(1+Kostensteigerung)^(AO9-1)</f>
        <v>1560.51381794251</v>
      </c>
      <c r="AP24" s="206" t="n">
        <f aca="false">IH_Ruecklage_qm*Wohnflaeche*(1+Kostensteigerung)^(AP9-1)</f>
        <v>1591.72409430136</v>
      </c>
      <c r="AQ24" s="206" t="n">
        <f aca="false">IH_Ruecklage_qm*Wohnflaeche*(1+Kostensteigerung)^(AQ9-1)</f>
        <v>1623.55857618739</v>
      </c>
    </row>
    <row r="25" customFormat="false" ht="15.75" hidden="false" customHeight="true" outlineLevel="0" collapsed="false">
      <c r="B25" s="72" t="s">
        <v>942</v>
      </c>
      <c r="C25" s="347" t="s">
        <v>753</v>
      </c>
      <c r="D25" s="206" t="n">
        <f aca="false">IF(D9=2,Reno_J2,IF(D9=3,Reno_J3,0))</f>
        <v>0</v>
      </c>
      <c r="E25" s="206" t="n">
        <f aca="false">IF(E9=2,Reno_J2,IF(E9=3,Reno_J3,0))</f>
        <v>0</v>
      </c>
      <c r="F25" s="206" t="n">
        <f aca="false">IF(F9=2,Reno_J2,IF(F9=3,Reno_J3,0))</f>
        <v>0</v>
      </c>
      <c r="G25" s="206" t="n">
        <f aca="false">IF(G9=2,Reno_J2,IF(G9=3,Reno_J3,0))</f>
        <v>0</v>
      </c>
      <c r="H25" s="348" t="n">
        <f aca="false">IF(H9=2,Reno_J2,IF(H9=3,Reno_J3,0))</f>
        <v>0</v>
      </c>
      <c r="I25" s="206" t="n">
        <f aca="false">IF(I9=2,Reno_J2,IF(I9=3,Reno_J3,0))</f>
        <v>0</v>
      </c>
      <c r="J25" s="206" t="n">
        <f aca="false">IF(J9=2,Reno_J2,IF(J9=3,Reno_J3,0))</f>
        <v>0</v>
      </c>
      <c r="K25" s="206" t="n">
        <f aca="false">IF(K9=2,Reno_J2,IF(K9=3,Reno_J3,0))</f>
        <v>0</v>
      </c>
      <c r="L25" s="206" t="n">
        <f aca="false">IF(L9=2,Reno_J2,IF(L9=3,Reno_J3,0))</f>
        <v>0</v>
      </c>
      <c r="M25" s="348" t="n">
        <f aca="false">IF(M9=2,Reno_J2,IF(M9=3,Reno_J3,0))</f>
        <v>0</v>
      </c>
      <c r="N25" s="206" t="n">
        <f aca="false">IF(N9=2,Reno_J2,IF(N9=3,Reno_J3,0))</f>
        <v>0</v>
      </c>
      <c r="O25" s="206" t="n">
        <f aca="false">IF(O9=2,Reno_J2,IF(O9=3,Reno_J3,0))</f>
        <v>0</v>
      </c>
      <c r="P25" s="206" t="n">
        <f aca="false">IF(P9=2,Reno_J2,IF(P9=3,Reno_J3,0))</f>
        <v>0</v>
      </c>
      <c r="Q25" s="206" t="n">
        <f aca="false">IF(Q9=2,Reno_J2,IF(Q9=3,Reno_J3,0))</f>
        <v>0</v>
      </c>
      <c r="R25" s="348" t="n">
        <f aca="false">IF(R9=2,Reno_J2,IF(R9=3,Reno_J3,0))</f>
        <v>0</v>
      </c>
      <c r="S25" s="206" t="n">
        <f aca="false">IF(S9=2,Reno_J2,IF(S9=3,Reno_J3,0))</f>
        <v>0</v>
      </c>
      <c r="T25" s="206" t="n">
        <f aca="false">IF(T9=2,Reno_J2,IF(T9=3,Reno_J3,0))</f>
        <v>0</v>
      </c>
      <c r="U25" s="206" t="n">
        <f aca="false">IF(U9=2,Reno_J2,IF(U9=3,Reno_J3,0))</f>
        <v>0</v>
      </c>
      <c r="V25" s="206" t="n">
        <f aca="false">IF(V9=2,Reno_J2,IF(V9=3,Reno_J3,0))</f>
        <v>0</v>
      </c>
      <c r="W25" s="348" t="n">
        <f aca="false">IF(W9=2,Reno_J2,IF(W9=3,Reno_J3,0))</f>
        <v>0</v>
      </c>
      <c r="X25" s="206" t="n">
        <f aca="false">IF(X9=2,Reno_J2,IF(X9=3,Reno_J3,0))</f>
        <v>0</v>
      </c>
      <c r="Y25" s="206" t="n">
        <f aca="false">IF(Y9=2,Reno_J2,IF(Y9=3,Reno_J3,0))</f>
        <v>0</v>
      </c>
      <c r="Z25" s="206" t="n">
        <f aca="false">IF(Z9=2,Reno_J2,IF(Z9=3,Reno_J3,0))</f>
        <v>0</v>
      </c>
      <c r="AA25" s="206" t="n">
        <f aca="false">IF(AA9=2,Reno_J2,IF(AA9=3,Reno_J3,0))</f>
        <v>0</v>
      </c>
      <c r="AB25" s="348" t="n">
        <f aca="false">IF(AB9=2,Reno_J2,IF(AB9=3,Reno_J3,0))</f>
        <v>0</v>
      </c>
      <c r="AC25" s="206" t="n">
        <f aca="false">IF(AC9=2,Reno_J2,IF(AC9=3,Reno_J3,0))</f>
        <v>0</v>
      </c>
      <c r="AD25" s="206" t="n">
        <f aca="false">IF(AD9=2,Reno_J2,IF(AD9=3,Reno_J3,0))</f>
        <v>0</v>
      </c>
      <c r="AE25" s="206" t="n">
        <f aca="false">IF(AE9=2,Reno_J2,IF(AE9=3,Reno_J3,0))</f>
        <v>0</v>
      </c>
      <c r="AF25" s="206" t="n">
        <f aca="false">IF(AF9=2,Reno_J2,IF(AF9=3,Reno_J3,0))</f>
        <v>0</v>
      </c>
      <c r="AG25" s="348" t="n">
        <f aca="false">IF(AG9=2,Reno_J2,IF(AG9=3,Reno_J3,0))</f>
        <v>0</v>
      </c>
      <c r="AH25" s="206" t="n">
        <f aca="false">IF(AH9=2,Reno_J2,IF(AH9=3,Reno_J3,0))</f>
        <v>0</v>
      </c>
      <c r="AI25" s="206" t="n">
        <f aca="false">IF(AI9=2,Reno_J2,IF(AI9=3,Reno_J3,0))</f>
        <v>0</v>
      </c>
      <c r="AJ25" s="206" t="n">
        <f aca="false">IF(AJ9=2,Reno_J2,IF(AJ9=3,Reno_J3,0))</f>
        <v>0</v>
      </c>
      <c r="AK25" s="206" t="n">
        <f aca="false">IF(AK9=2,Reno_J2,IF(AK9=3,Reno_J3,0))</f>
        <v>0</v>
      </c>
      <c r="AL25" s="348" t="n">
        <f aca="false">IF(AL9=2,Reno_J2,IF(AL9=3,Reno_J3,0))</f>
        <v>0</v>
      </c>
      <c r="AM25" s="206" t="n">
        <f aca="false">IF(AM9=2,Reno_J2,IF(AM9=3,Reno_J3,0))</f>
        <v>0</v>
      </c>
      <c r="AN25" s="206" t="n">
        <f aca="false">IF(AN9=2,Reno_J2,IF(AN9=3,Reno_J3,0))</f>
        <v>0</v>
      </c>
      <c r="AO25" s="206" t="n">
        <f aca="false">IF(AO9=2,Reno_J2,IF(AO9=3,Reno_J3,0))</f>
        <v>0</v>
      </c>
      <c r="AP25" s="206" t="n">
        <f aca="false">IF(AP9=2,Reno_J2,IF(AP9=3,Reno_J3,0))</f>
        <v>0</v>
      </c>
      <c r="AQ25" s="206" t="n">
        <f aca="false">IF(AQ9=2,Reno_J2,IF(AQ9=3,Reno_J3,0))</f>
        <v>0</v>
      </c>
    </row>
    <row r="26" customFormat="false" ht="15.75" hidden="false" customHeight="true" outlineLevel="0" collapsed="false">
      <c r="B26" s="141" t="s">
        <v>943</v>
      </c>
      <c r="C26" s="349" t="s">
        <v>753</v>
      </c>
      <c r="D26" s="210" t="n">
        <f aca="false">SUM(D20:D25)</f>
        <v>2490</v>
      </c>
      <c r="E26" s="210" t="n">
        <f aca="false">SUM(E20:E25)</f>
        <v>2539.8</v>
      </c>
      <c r="F26" s="210" t="n">
        <f aca="false">SUM(F20:F25)</f>
        <v>2590.596</v>
      </c>
      <c r="G26" s="210" t="n">
        <f aca="false">SUM(G20:G25)</f>
        <v>2642.40792</v>
      </c>
      <c r="H26" s="350" t="n">
        <f aca="false">SUM(H20:H25)</f>
        <v>2695.2560784</v>
      </c>
      <c r="I26" s="210" t="n">
        <f aca="false">SUM(I20:I25)</f>
        <v>2749.161199968</v>
      </c>
      <c r="J26" s="210" t="n">
        <f aca="false">SUM(J20:J25)</f>
        <v>2804.14442396736</v>
      </c>
      <c r="K26" s="210" t="n">
        <f aca="false">SUM(K20:K25)</f>
        <v>2860.22731244671</v>
      </c>
      <c r="L26" s="210" t="n">
        <f aca="false">SUM(L20:L25)</f>
        <v>2917.43185869564</v>
      </c>
      <c r="M26" s="350" t="n">
        <f aca="false">SUM(M20:M25)</f>
        <v>2975.78049586955</v>
      </c>
      <c r="N26" s="210" t="n">
        <f aca="false">SUM(N20:N25)</f>
        <v>3035.29610578695</v>
      </c>
      <c r="O26" s="210" t="n">
        <f aca="false">SUM(O20:O25)</f>
        <v>3096.00202790269</v>
      </c>
      <c r="P26" s="210" t="n">
        <f aca="false">SUM(P20:P25)</f>
        <v>3157.92206846074</v>
      </c>
      <c r="Q26" s="210" t="n">
        <f aca="false">SUM(Q20:Q25)</f>
        <v>3221.08050982995</v>
      </c>
      <c r="R26" s="350" t="n">
        <f aca="false">SUM(R20:R25)</f>
        <v>3285.50212002655</v>
      </c>
      <c r="S26" s="210" t="n">
        <f aca="false">SUM(S20:S25)</f>
        <v>3351.21216242708</v>
      </c>
      <c r="T26" s="210" t="n">
        <f aca="false">SUM(T20:T25)</f>
        <v>3418.23640567563</v>
      </c>
      <c r="U26" s="210" t="n">
        <f aca="false">SUM(U20:U25)</f>
        <v>3486.60113378914</v>
      </c>
      <c r="V26" s="210" t="n">
        <f aca="false">SUM(V20:V25)</f>
        <v>3556.33315646492</v>
      </c>
      <c r="W26" s="350" t="n">
        <f aca="false">SUM(W20:W25)</f>
        <v>3627.45981959422</v>
      </c>
      <c r="X26" s="210" t="n">
        <f aca="false">SUM(X20:X25)</f>
        <v>3700.0090159861</v>
      </c>
      <c r="Y26" s="210" t="n">
        <f aca="false">SUM(Y20:Y25)</f>
        <v>3774.00919630583</v>
      </c>
      <c r="Z26" s="210" t="n">
        <f aca="false">SUM(Z20:Z25)</f>
        <v>3849.48938023194</v>
      </c>
      <c r="AA26" s="210" t="n">
        <f aca="false">SUM(AA20:AA25)</f>
        <v>3926.47916783658</v>
      </c>
      <c r="AB26" s="350" t="n">
        <f aca="false">SUM(AB20:AB25)</f>
        <v>4005.00875119331</v>
      </c>
      <c r="AC26" s="210" t="n">
        <f aca="false">SUM(AC20:AC25)</f>
        <v>4085.10892621718</v>
      </c>
      <c r="AD26" s="210" t="n">
        <f aca="false">SUM(AD20:AD25)</f>
        <v>4166.81110474152</v>
      </c>
      <c r="AE26" s="210" t="n">
        <f aca="false">SUM(AE20:AE25)</f>
        <v>4250.14732683635</v>
      </c>
      <c r="AF26" s="210" t="n">
        <f aca="false">SUM(AF20:AF25)</f>
        <v>4335.15027337308</v>
      </c>
      <c r="AG26" s="350" t="n">
        <f aca="false">SUM(AG20:AG25)</f>
        <v>4421.85327884054</v>
      </c>
      <c r="AH26" s="210" t="n">
        <f aca="false">SUM(AH20:AH25)</f>
        <v>4510.29034441735</v>
      </c>
      <c r="AI26" s="210" t="n">
        <f aca="false">SUM(AI20:AI25)</f>
        <v>4600.4961513057</v>
      </c>
      <c r="AJ26" s="210" t="n">
        <f aca="false">SUM(AJ20:AJ25)</f>
        <v>4692.50607433181</v>
      </c>
      <c r="AK26" s="210" t="n">
        <f aca="false">SUM(AK20:AK25)</f>
        <v>4786.35619581845</v>
      </c>
      <c r="AL26" s="350" t="n">
        <f aca="false">SUM(AL20:AL25)</f>
        <v>4882.08331973482</v>
      </c>
      <c r="AM26" s="210" t="n">
        <f aca="false">SUM(AM20:AM25)</f>
        <v>4979.72498612952</v>
      </c>
      <c r="AN26" s="210" t="n">
        <f aca="false">SUM(AN20:AN25)</f>
        <v>5079.31948585211</v>
      </c>
      <c r="AO26" s="210" t="n">
        <f aca="false">SUM(AO20:AO25)</f>
        <v>5180.90587556915</v>
      </c>
      <c r="AP26" s="210" t="n">
        <f aca="false">SUM(AP20:AP25)</f>
        <v>5284.52399308053</v>
      </c>
      <c r="AQ26" s="210" t="n">
        <f aca="false">SUM(AQ20:AQ25)</f>
        <v>5390.21447294214</v>
      </c>
    </row>
    <row r="27" customFormat="false" ht="12" hidden="false" customHeight="tru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customFormat="false" ht="24" hidden="false" customHeight="true" outlineLevel="0" collapsed="false">
      <c r="B28" s="33" t="s">
        <v>944</v>
      </c>
      <c r="C28" s="35" t="s">
        <v>659</v>
      </c>
      <c r="D28" s="264"/>
      <c r="E28" s="264"/>
      <c r="F28" s="264"/>
      <c r="G28" s="264"/>
      <c r="H28" s="346"/>
      <c r="I28" s="264"/>
      <c r="J28" s="264"/>
      <c r="K28" s="264"/>
      <c r="L28" s="264"/>
      <c r="M28" s="346"/>
      <c r="N28" s="264"/>
      <c r="O28" s="264"/>
      <c r="P28" s="264"/>
      <c r="Q28" s="264"/>
      <c r="R28" s="346"/>
      <c r="S28" s="264"/>
      <c r="T28" s="264"/>
      <c r="U28" s="264"/>
      <c r="V28" s="264"/>
      <c r="W28" s="346"/>
      <c r="X28" s="264"/>
      <c r="Y28" s="264"/>
      <c r="Z28" s="264"/>
      <c r="AA28" s="264"/>
      <c r="AB28" s="346"/>
      <c r="AC28" s="264"/>
      <c r="AD28" s="264"/>
      <c r="AE28" s="264"/>
      <c r="AF28" s="264"/>
      <c r="AG28" s="346"/>
      <c r="AH28" s="264"/>
      <c r="AI28" s="264"/>
      <c r="AJ28" s="264"/>
      <c r="AK28" s="264"/>
      <c r="AL28" s="346"/>
      <c r="AM28" s="264"/>
      <c r="AN28" s="264"/>
      <c r="AO28" s="264"/>
      <c r="AP28" s="264"/>
      <c r="AQ28" s="264"/>
    </row>
    <row r="29" customFormat="false" ht="15.75" hidden="false" customHeight="true" outlineLevel="0" collapsed="false">
      <c r="B29" s="141" t="s">
        <v>945</v>
      </c>
      <c r="C29" s="349" t="s">
        <v>753</v>
      </c>
      <c r="D29" s="210" t="n">
        <f aca="false">D15-D26</f>
        <v>8568</v>
      </c>
      <c r="E29" s="210" t="n">
        <f aca="false">E15-E26</f>
        <v>8739.36</v>
      </c>
      <c r="F29" s="210" t="n">
        <f aca="false">F15-F26</f>
        <v>8914.1472</v>
      </c>
      <c r="G29" s="210" t="n">
        <f aca="false">G15-G26</f>
        <v>9092.430144</v>
      </c>
      <c r="H29" s="350" t="n">
        <f aca="false">H15-H26</f>
        <v>9274.27874688</v>
      </c>
      <c r="I29" s="210" t="n">
        <f aca="false">I15-I26</f>
        <v>9459.7643218176</v>
      </c>
      <c r="J29" s="210" t="n">
        <f aca="false">J15-J26</f>
        <v>9648.95960825395</v>
      </c>
      <c r="K29" s="210" t="n">
        <f aca="false">K15-K26</f>
        <v>9841.93880041903</v>
      </c>
      <c r="L29" s="210" t="n">
        <f aca="false">L15-L26</f>
        <v>10038.7775764274</v>
      </c>
      <c r="M29" s="350" t="n">
        <f aca="false">M15-M26</f>
        <v>10239.553127956</v>
      </c>
      <c r="N29" s="210" t="n">
        <f aca="false">N15-N26</f>
        <v>10444.3441905151</v>
      </c>
      <c r="O29" s="210" t="n">
        <f aca="false">O15-O26</f>
        <v>10653.2310743254</v>
      </c>
      <c r="P29" s="210" t="n">
        <f aca="false">P15-P26</f>
        <v>10866.2956958119</v>
      </c>
      <c r="Q29" s="210" t="n">
        <f aca="false">Q15-Q26</f>
        <v>11083.6216097281</v>
      </c>
      <c r="R29" s="350" t="n">
        <f aca="false">R15-R26</f>
        <v>11305.2940419227</v>
      </c>
      <c r="S29" s="210" t="n">
        <f aca="false">S15-S26</f>
        <v>11531.3999227611</v>
      </c>
      <c r="T29" s="210" t="n">
        <f aca="false">T15-T26</f>
        <v>11762.0279212164</v>
      </c>
      <c r="U29" s="210" t="n">
        <f aca="false">U15-U26</f>
        <v>11997.2684796407</v>
      </c>
      <c r="V29" s="210" t="n">
        <f aca="false">V15-V26</f>
        <v>12237.2138492335</v>
      </c>
      <c r="W29" s="350" t="n">
        <f aca="false">W15-W26</f>
        <v>12481.9581262182</v>
      </c>
      <c r="X29" s="210" t="n">
        <f aca="false">X15-X26</f>
        <v>12731.5972887425</v>
      </c>
      <c r="Y29" s="210" t="n">
        <f aca="false">Y15-Y26</f>
        <v>12986.2292345174</v>
      </c>
      <c r="Z29" s="210" t="n">
        <f aca="false">Z15-Z26</f>
        <v>13245.9538192077</v>
      </c>
      <c r="AA29" s="210" t="n">
        <f aca="false">AA15-AA26</f>
        <v>13510.8728955919</v>
      </c>
      <c r="AB29" s="350" t="n">
        <f aca="false">AB15-AB26</f>
        <v>13781.0903535037</v>
      </c>
      <c r="AC29" s="210" t="n">
        <f aca="false">AC15-AC26</f>
        <v>14056.7121605738</v>
      </c>
      <c r="AD29" s="210" t="n">
        <f aca="false">AD15-AD26</f>
        <v>14337.8464037853</v>
      </c>
      <c r="AE29" s="210" t="n">
        <f aca="false">AE15-AE26</f>
        <v>14624.603331861</v>
      </c>
      <c r="AF29" s="210" t="n">
        <f aca="false">AF15-AF26</f>
        <v>14917.0953984982</v>
      </c>
      <c r="AG29" s="350" t="n">
        <f aca="false">AG15-AG26</f>
        <v>15215.4373064682</v>
      </c>
      <c r="AH29" s="210" t="n">
        <f aca="false">AH15-AH26</f>
        <v>15519.7460525975</v>
      </c>
      <c r="AI29" s="210" t="n">
        <f aca="false">AI15-AI26</f>
        <v>15830.1409736495</v>
      </c>
      <c r="AJ29" s="210" t="n">
        <f aca="false">AJ15-AJ26</f>
        <v>16146.7437931225</v>
      </c>
      <c r="AK29" s="210" t="n">
        <f aca="false">AK15-AK26</f>
        <v>16469.6786689849</v>
      </c>
      <c r="AL29" s="350" t="n">
        <f aca="false">AL15-AL26</f>
        <v>16799.0722423646</v>
      </c>
      <c r="AM29" s="210" t="n">
        <f aca="false">AM15-AM26</f>
        <v>17135.0536872119</v>
      </c>
      <c r="AN29" s="210" t="n">
        <f aca="false">AN15-AN26</f>
        <v>17477.7547609562</v>
      </c>
      <c r="AO29" s="210" t="n">
        <f aca="false">AO15-AO26</f>
        <v>17827.3098561753</v>
      </c>
      <c r="AP29" s="210" t="n">
        <f aca="false">AP15-AP26</f>
        <v>18183.8560532988</v>
      </c>
      <c r="AQ29" s="210" t="n">
        <f aca="false">AQ15-AQ26</f>
        <v>18547.5331743648</v>
      </c>
    </row>
    <row r="30" customFormat="false" ht="15.75" hidden="false" customHeight="true" outlineLevel="0" collapsed="false">
      <c r="B30" s="143" t="s">
        <v>533</v>
      </c>
      <c r="C30" s="347" t="s">
        <v>753</v>
      </c>
      <c r="D30" s="206" t="n">
        <f aca="false">Finanzierung!D35</f>
        <v>9000</v>
      </c>
      <c r="E30" s="206" t="n">
        <f aca="false">Finanzierung!E35</f>
        <v>8820</v>
      </c>
      <c r="F30" s="206" t="n">
        <f aca="false">Finanzierung!F35</f>
        <v>8633.52</v>
      </c>
      <c r="G30" s="206" t="n">
        <f aca="false">Finanzierung!G35</f>
        <v>8440.32672</v>
      </c>
      <c r="H30" s="348" t="n">
        <f aca="false">Finanzierung!H35</f>
        <v>8240.17848192</v>
      </c>
      <c r="I30" s="206" t="n">
        <f aca="false">Finanzierung!I35</f>
        <v>8032.82490726912</v>
      </c>
      <c r="J30" s="206" t="n">
        <f aca="false">Finanzierung!J35</f>
        <v>7818.00660393081</v>
      </c>
      <c r="K30" s="206" t="n">
        <f aca="false">Finanzierung!K35</f>
        <v>7595.45484167232</v>
      </c>
      <c r="L30" s="206" t="n">
        <f aca="false">Finanzierung!L35</f>
        <v>7364.89121597252</v>
      </c>
      <c r="M30" s="348" t="n">
        <f aca="false">Finanzierung!M35</f>
        <v>7126.02729974753</v>
      </c>
      <c r="N30" s="206" t="n">
        <f aca="false">Finanzierung!N35</f>
        <v>8598.20535317305</v>
      </c>
      <c r="O30" s="206" t="n">
        <f aca="false">Finanzierung!O35</f>
        <v>8355.12459406584</v>
      </c>
      <c r="P30" s="206" t="n">
        <f aca="false">Finanzierung!P35</f>
        <v>8101.10520079881</v>
      </c>
      <c r="Q30" s="206" t="n">
        <f aca="false">Finanzierung!Q35</f>
        <v>7835.65493483475</v>
      </c>
      <c r="R30" s="348" t="n">
        <f aca="false">Finanzierung!R35</f>
        <v>7558.25940690232</v>
      </c>
      <c r="S30" s="206" t="n">
        <f aca="false">Finanzierung!S35</f>
        <v>7268.38108021292</v>
      </c>
      <c r="T30" s="206" t="n">
        <f aca="false">Finanzierung!T35</f>
        <v>6965.4582288225</v>
      </c>
      <c r="U30" s="206" t="n">
        <f aca="false">Finanzierung!U35</f>
        <v>6648.90384911951</v>
      </c>
      <c r="V30" s="206" t="n">
        <f aca="false">Finanzierung!V35</f>
        <v>6318.10452232989</v>
      </c>
      <c r="W30" s="348" t="n">
        <f aca="false">Finanzierung!W35</f>
        <v>5972.41922583474</v>
      </c>
      <c r="X30" s="206" t="n">
        <f aca="false">Finanzierung!X35</f>
        <v>5611.1780909973</v>
      </c>
      <c r="Y30" s="206" t="n">
        <f aca="false">Finanzierung!Y35</f>
        <v>5233.68110509218</v>
      </c>
      <c r="Z30" s="206" t="n">
        <f aca="false">Finanzierung!Z35</f>
        <v>4839.19675482133</v>
      </c>
      <c r="AA30" s="206" t="n">
        <f aca="false">Finanzierung!AA35</f>
        <v>4426.96060878829</v>
      </c>
      <c r="AB30" s="348" t="n">
        <f aca="false">Finanzierung!AB35</f>
        <v>3996.17383618376</v>
      </c>
      <c r="AC30" s="206" t="n">
        <f aca="false">Finanzierung!AC35</f>
        <v>3546.00165881203</v>
      </c>
      <c r="AD30" s="206" t="n">
        <f aca="false">Finanzierung!AD35</f>
        <v>3075.57173345857</v>
      </c>
      <c r="AE30" s="206" t="n">
        <f aca="false">Finanzierung!AE35</f>
        <v>2583.97246146421</v>
      </c>
      <c r="AF30" s="206" t="n">
        <f aca="false">Finanzierung!AF35</f>
        <v>2070.2512222301</v>
      </c>
      <c r="AG30" s="348" t="n">
        <f aca="false">Finanzierung!AG35</f>
        <v>1533.41252723045</v>
      </c>
      <c r="AH30" s="206" t="n">
        <f aca="false">Finanzierung!AH35</f>
        <v>972.416090955821</v>
      </c>
      <c r="AI30" s="206" t="n">
        <f aca="false">Finanzierung!AI35</f>
        <v>386.174815048833</v>
      </c>
      <c r="AJ30" s="206" t="n">
        <f aca="false">Finanzierung!AJ35</f>
        <v>0</v>
      </c>
      <c r="AK30" s="206" t="n">
        <f aca="false">Finanzierung!AK35</f>
        <v>0</v>
      </c>
      <c r="AL30" s="348" t="n">
        <f aca="false">Finanzierung!AL35</f>
        <v>0</v>
      </c>
      <c r="AM30" s="206" t="n">
        <f aca="false">Finanzierung!AM35</f>
        <v>0</v>
      </c>
      <c r="AN30" s="206" t="n">
        <f aca="false">Finanzierung!AN35</f>
        <v>0</v>
      </c>
      <c r="AO30" s="206" t="n">
        <f aca="false">Finanzierung!AO35</f>
        <v>0</v>
      </c>
      <c r="AP30" s="206" t="n">
        <f aca="false">Finanzierung!AP35</f>
        <v>0</v>
      </c>
      <c r="AQ30" s="206" t="n">
        <f aca="false">Finanzierung!AQ35</f>
        <v>0</v>
      </c>
    </row>
    <row r="31" customFormat="false" ht="15.75" hidden="false" customHeight="true" outlineLevel="0" collapsed="false">
      <c r="B31" s="143" t="s">
        <v>946</v>
      </c>
      <c r="C31" s="347" t="s">
        <v>753</v>
      </c>
      <c r="D31" s="206" t="n">
        <f aca="false">Finanzierung!D36</f>
        <v>5000</v>
      </c>
      <c r="E31" s="206" t="n">
        <f aca="false">Finanzierung!E36</f>
        <v>5180</v>
      </c>
      <c r="F31" s="206" t="n">
        <f aca="false">Finanzierung!F36</f>
        <v>5366.48</v>
      </c>
      <c r="G31" s="206" t="n">
        <f aca="false">Finanzierung!G36</f>
        <v>5559.67328</v>
      </c>
      <c r="H31" s="348" t="n">
        <f aca="false">Finanzierung!H36</f>
        <v>5759.82151808</v>
      </c>
      <c r="I31" s="206" t="n">
        <f aca="false">Finanzierung!I36</f>
        <v>5967.17509273088</v>
      </c>
      <c r="J31" s="206" t="n">
        <f aca="false">Finanzierung!J36</f>
        <v>6181.99339606919</v>
      </c>
      <c r="K31" s="206" t="n">
        <f aca="false">Finanzierung!K36</f>
        <v>6404.54515832768</v>
      </c>
      <c r="L31" s="206" t="n">
        <f aca="false">Finanzierung!L36</f>
        <v>6635.10878402748</v>
      </c>
      <c r="M31" s="348" t="n">
        <f aca="false">Finanzierung!M36</f>
        <v>6873.97270025247</v>
      </c>
      <c r="N31" s="206" t="n">
        <f aca="false">Finanzierung!N36</f>
        <v>5401.79464682694</v>
      </c>
      <c r="O31" s="206" t="n">
        <f aca="false">Finanzierung!O36</f>
        <v>5644.87540593416</v>
      </c>
      <c r="P31" s="206" t="n">
        <f aca="false">Finanzierung!P36</f>
        <v>5898.89479920119</v>
      </c>
      <c r="Q31" s="206" t="n">
        <f aca="false">Finanzierung!Q36</f>
        <v>6164.34506516525</v>
      </c>
      <c r="R31" s="348" t="n">
        <f aca="false">Finanzierung!R36</f>
        <v>6441.74059309768</v>
      </c>
      <c r="S31" s="206" t="n">
        <f aca="false">Finanzierung!S36</f>
        <v>6731.61891978708</v>
      </c>
      <c r="T31" s="206" t="n">
        <f aca="false">Finanzierung!T36</f>
        <v>7034.5417711775</v>
      </c>
      <c r="U31" s="206" t="n">
        <f aca="false">Finanzierung!U36</f>
        <v>7351.09615088049</v>
      </c>
      <c r="V31" s="206" t="n">
        <f aca="false">Finanzierung!V36</f>
        <v>7681.89547767011</v>
      </c>
      <c r="W31" s="348" t="n">
        <f aca="false">Finanzierung!W36</f>
        <v>8027.58077416526</v>
      </c>
      <c r="X31" s="206" t="n">
        <f aca="false">Finanzierung!X36</f>
        <v>8388.8219090027</v>
      </c>
      <c r="Y31" s="206" t="n">
        <f aca="false">Finanzierung!Y36</f>
        <v>8766.31889490782</v>
      </c>
      <c r="Z31" s="206" t="n">
        <f aca="false">Finanzierung!Z36</f>
        <v>9160.80324517867</v>
      </c>
      <c r="AA31" s="206" t="n">
        <f aca="false">Finanzierung!AA36</f>
        <v>9573.03939121171</v>
      </c>
      <c r="AB31" s="348" t="n">
        <f aca="false">Finanzierung!AB36</f>
        <v>10003.8261638162</v>
      </c>
      <c r="AC31" s="206" t="n">
        <f aca="false">Finanzierung!AC36</f>
        <v>10453.998341188</v>
      </c>
      <c r="AD31" s="206" t="n">
        <f aca="false">Finanzierung!AD36</f>
        <v>10924.4282665414</v>
      </c>
      <c r="AE31" s="206" t="n">
        <f aca="false">Finanzierung!AE36</f>
        <v>11416.0275385358</v>
      </c>
      <c r="AF31" s="206" t="n">
        <f aca="false">Finanzierung!AF36</f>
        <v>11929.7487777699</v>
      </c>
      <c r="AG31" s="348" t="n">
        <f aca="false">Finanzierung!AG36</f>
        <v>12466.5874727695</v>
      </c>
      <c r="AH31" s="206" t="n">
        <f aca="false">Finanzierung!AH36</f>
        <v>13027.5839090442</v>
      </c>
      <c r="AI31" s="206" t="n">
        <f aca="false">Finanzierung!AI36</f>
        <v>8581.66255664074</v>
      </c>
      <c r="AJ31" s="206" t="n">
        <f aca="false">Finanzierung!AJ36</f>
        <v>0</v>
      </c>
      <c r="AK31" s="206" t="n">
        <f aca="false">Finanzierung!AK36</f>
        <v>0</v>
      </c>
      <c r="AL31" s="348" t="n">
        <f aca="false">Finanzierung!AL36</f>
        <v>0</v>
      </c>
      <c r="AM31" s="206" t="n">
        <f aca="false">Finanzierung!AM36</f>
        <v>0</v>
      </c>
      <c r="AN31" s="206" t="n">
        <f aca="false">Finanzierung!AN36</f>
        <v>0</v>
      </c>
      <c r="AO31" s="206" t="n">
        <f aca="false">Finanzierung!AO36</f>
        <v>0</v>
      </c>
      <c r="AP31" s="206" t="n">
        <f aca="false">Finanzierung!AP36</f>
        <v>0</v>
      </c>
      <c r="AQ31" s="206" t="n">
        <f aca="false">Finanzierung!AQ36</f>
        <v>0</v>
      </c>
    </row>
    <row r="32" customFormat="false" ht="15.75" hidden="false" customHeight="true" outlineLevel="0" collapsed="false">
      <c r="B32" s="141" t="s">
        <v>947</v>
      </c>
      <c r="C32" s="349" t="s">
        <v>753</v>
      </c>
      <c r="D32" s="210" t="n">
        <f aca="false">D30+D31</f>
        <v>14000</v>
      </c>
      <c r="E32" s="210" t="n">
        <f aca="false">E30+E31</f>
        <v>14000</v>
      </c>
      <c r="F32" s="210" t="n">
        <f aca="false">F30+F31</f>
        <v>14000</v>
      </c>
      <c r="G32" s="210" t="n">
        <f aca="false">G30+G31</f>
        <v>14000</v>
      </c>
      <c r="H32" s="350" t="n">
        <f aca="false">H30+H31</f>
        <v>14000</v>
      </c>
      <c r="I32" s="210" t="n">
        <f aca="false">I30+I31</f>
        <v>14000</v>
      </c>
      <c r="J32" s="210" t="n">
        <f aca="false">J30+J31</f>
        <v>14000</v>
      </c>
      <c r="K32" s="210" t="n">
        <f aca="false">K30+K31</f>
        <v>14000</v>
      </c>
      <c r="L32" s="210" t="n">
        <f aca="false">L30+L31</f>
        <v>14000</v>
      </c>
      <c r="M32" s="350" t="n">
        <f aca="false">M30+M31</f>
        <v>14000</v>
      </c>
      <c r="N32" s="210" t="n">
        <f aca="false">N30+N31</f>
        <v>14000</v>
      </c>
      <c r="O32" s="210" t="n">
        <f aca="false">O30+O31</f>
        <v>14000</v>
      </c>
      <c r="P32" s="210" t="n">
        <f aca="false">P30+P31</f>
        <v>14000</v>
      </c>
      <c r="Q32" s="210" t="n">
        <f aca="false">Q30+Q31</f>
        <v>14000</v>
      </c>
      <c r="R32" s="350" t="n">
        <f aca="false">R30+R31</f>
        <v>14000</v>
      </c>
      <c r="S32" s="210" t="n">
        <f aca="false">S30+S31</f>
        <v>14000</v>
      </c>
      <c r="T32" s="210" t="n">
        <f aca="false">T30+T31</f>
        <v>14000</v>
      </c>
      <c r="U32" s="210" t="n">
        <f aca="false">U30+U31</f>
        <v>14000</v>
      </c>
      <c r="V32" s="210" t="n">
        <f aca="false">V30+V31</f>
        <v>14000</v>
      </c>
      <c r="W32" s="350" t="n">
        <f aca="false">W30+W31</f>
        <v>14000</v>
      </c>
      <c r="X32" s="210" t="n">
        <f aca="false">X30+X31</f>
        <v>14000</v>
      </c>
      <c r="Y32" s="210" t="n">
        <f aca="false">Y30+Y31</f>
        <v>14000</v>
      </c>
      <c r="Z32" s="210" t="n">
        <f aca="false">Z30+Z31</f>
        <v>14000</v>
      </c>
      <c r="AA32" s="210" t="n">
        <f aca="false">AA30+AA31</f>
        <v>14000</v>
      </c>
      <c r="AB32" s="350" t="n">
        <f aca="false">AB30+AB31</f>
        <v>14000</v>
      </c>
      <c r="AC32" s="210" t="n">
        <f aca="false">AC30+AC31</f>
        <v>14000</v>
      </c>
      <c r="AD32" s="210" t="n">
        <f aca="false">AD30+AD31</f>
        <v>14000</v>
      </c>
      <c r="AE32" s="210" t="n">
        <f aca="false">AE30+AE31</f>
        <v>14000</v>
      </c>
      <c r="AF32" s="210" t="n">
        <f aca="false">AF30+AF31</f>
        <v>14000</v>
      </c>
      <c r="AG32" s="350" t="n">
        <f aca="false">AG30+AG31</f>
        <v>14000</v>
      </c>
      <c r="AH32" s="210" t="n">
        <f aca="false">AH30+AH31</f>
        <v>14000</v>
      </c>
      <c r="AI32" s="210" t="n">
        <f aca="false">AI30+AI31</f>
        <v>8967.83737168958</v>
      </c>
      <c r="AJ32" s="210" t="n">
        <f aca="false">AJ30+AJ31</f>
        <v>0</v>
      </c>
      <c r="AK32" s="210" t="n">
        <f aca="false">AK30+AK31</f>
        <v>0</v>
      </c>
      <c r="AL32" s="350" t="n">
        <f aca="false">AL30+AL31</f>
        <v>0</v>
      </c>
      <c r="AM32" s="210" t="n">
        <f aca="false">AM30+AM31</f>
        <v>0</v>
      </c>
      <c r="AN32" s="210" t="n">
        <f aca="false">AN30+AN31</f>
        <v>0</v>
      </c>
      <c r="AO32" s="210" t="n">
        <f aca="false">AO30+AO31</f>
        <v>0</v>
      </c>
      <c r="AP32" s="210" t="n">
        <f aca="false">AP30+AP31</f>
        <v>0</v>
      </c>
      <c r="AQ32" s="210" t="n">
        <f aca="false">AQ30+AQ31</f>
        <v>0</v>
      </c>
    </row>
    <row r="33" customFormat="false" ht="15.75" hidden="false" customHeight="true" outlineLevel="0" collapsed="false">
      <c r="B33" s="141" t="s">
        <v>553</v>
      </c>
      <c r="C33" s="349" t="s">
        <v>753</v>
      </c>
      <c r="D33" s="210" t="n">
        <f aca="false">D29-D32</f>
        <v>-5432</v>
      </c>
      <c r="E33" s="210" t="n">
        <f aca="false">E29-E32</f>
        <v>-5260.64</v>
      </c>
      <c r="F33" s="210" t="n">
        <f aca="false">F29-F32</f>
        <v>-5085.8528</v>
      </c>
      <c r="G33" s="210" t="n">
        <f aca="false">G29-G32</f>
        <v>-4907.569856</v>
      </c>
      <c r="H33" s="350" t="n">
        <f aca="false">H29-H32</f>
        <v>-4725.72125312</v>
      </c>
      <c r="I33" s="210" t="n">
        <f aca="false">I29-I32</f>
        <v>-4540.2356781824</v>
      </c>
      <c r="J33" s="210" t="n">
        <f aca="false">J29-J32</f>
        <v>-4351.04039174604</v>
      </c>
      <c r="K33" s="210" t="n">
        <f aca="false">K29-K32</f>
        <v>-4158.06119958097</v>
      </c>
      <c r="L33" s="210" t="n">
        <f aca="false">L29-L32</f>
        <v>-3961.22242357258</v>
      </c>
      <c r="M33" s="350" t="n">
        <f aca="false">M29-M32</f>
        <v>-3760.44687204404</v>
      </c>
      <c r="N33" s="210" t="n">
        <f aca="false">N29-N32</f>
        <v>-3555.65580948492</v>
      </c>
      <c r="O33" s="210" t="n">
        <f aca="false">O29-O32</f>
        <v>-3346.76892567462</v>
      </c>
      <c r="P33" s="210" t="n">
        <f aca="false">P29-P32</f>
        <v>-3133.70430418811</v>
      </c>
      <c r="Q33" s="210" t="n">
        <f aca="false">Q29-Q32</f>
        <v>-2916.37839027187</v>
      </c>
      <c r="R33" s="350" t="n">
        <f aca="false">R29-R32</f>
        <v>-2694.70595807731</v>
      </c>
      <c r="S33" s="210" t="n">
        <f aca="false">S29-S32</f>
        <v>-2468.60007723885</v>
      </c>
      <c r="T33" s="210" t="n">
        <f aca="false">T29-T32</f>
        <v>-2237.97207878363</v>
      </c>
      <c r="U33" s="210" t="n">
        <f aca="false">U29-U32</f>
        <v>-2002.7315203593</v>
      </c>
      <c r="V33" s="210" t="n">
        <f aca="false">V29-V32</f>
        <v>-1762.78615076649</v>
      </c>
      <c r="W33" s="350" t="n">
        <f aca="false">W29-W32</f>
        <v>-1518.04187378182</v>
      </c>
      <c r="X33" s="210" t="n">
        <f aca="false">X29-X32</f>
        <v>-1268.40271125745</v>
      </c>
      <c r="Y33" s="210" t="n">
        <f aca="false">Y29-Y32</f>
        <v>-1013.7707654826</v>
      </c>
      <c r="Z33" s="210" t="n">
        <f aca="false">Z29-Z32</f>
        <v>-754.046180792255</v>
      </c>
      <c r="AA33" s="210" t="n">
        <f aca="false">AA29-AA32</f>
        <v>-489.1271044081</v>
      </c>
      <c r="AB33" s="350" t="n">
        <f aca="false">AB29-AB32</f>
        <v>-218.909646496259</v>
      </c>
      <c r="AC33" s="210" t="n">
        <f aca="false">AC29-AC32</f>
        <v>56.7121605738121</v>
      </c>
      <c r="AD33" s="210" t="n">
        <f aca="false">AD29-AD32</f>
        <v>337.846403785288</v>
      </c>
      <c r="AE33" s="210" t="n">
        <f aca="false">AE29-AE32</f>
        <v>624.603331860995</v>
      </c>
      <c r="AF33" s="210" t="n">
        <f aca="false">AF29-AF32</f>
        <v>917.095398498215</v>
      </c>
      <c r="AG33" s="350" t="n">
        <f aca="false">AG29-AG32</f>
        <v>1215.43730646818</v>
      </c>
      <c r="AH33" s="210" t="n">
        <f aca="false">AH29-AH32</f>
        <v>1519.74605259755</v>
      </c>
      <c r="AI33" s="210" t="n">
        <f aca="false">AI29-AI32</f>
        <v>6862.30360195992</v>
      </c>
      <c r="AJ33" s="210" t="n">
        <f aca="false">AJ29-AJ32</f>
        <v>16146.7437931225</v>
      </c>
      <c r="AK33" s="210" t="n">
        <f aca="false">AK29-AK32</f>
        <v>16469.6786689849</v>
      </c>
      <c r="AL33" s="350" t="n">
        <f aca="false">AL29-AL32</f>
        <v>16799.0722423646</v>
      </c>
      <c r="AM33" s="210" t="n">
        <f aca="false">AM29-AM32</f>
        <v>17135.0536872119</v>
      </c>
      <c r="AN33" s="210" t="n">
        <f aca="false">AN29-AN32</f>
        <v>17477.7547609562</v>
      </c>
      <c r="AO33" s="210" t="n">
        <f aca="false">AO29-AO32</f>
        <v>17827.3098561753</v>
      </c>
      <c r="AP33" s="210" t="n">
        <f aca="false">AP29-AP32</f>
        <v>18183.8560532988</v>
      </c>
      <c r="AQ33" s="210" t="n">
        <f aca="false">AQ29-AQ32</f>
        <v>18547.5331743648</v>
      </c>
    </row>
    <row r="34" customFormat="false" ht="15.75" hidden="false" customHeight="true" outlineLevel="0" collapsed="false">
      <c r="B34" s="280" t="s">
        <v>948</v>
      </c>
      <c r="C34" s="351" t="s">
        <v>753</v>
      </c>
      <c r="D34" s="281" t="n">
        <f aca="false">Steuern!D67</f>
        <v>-18397.3569343066</v>
      </c>
      <c r="E34" s="281" t="n">
        <f aca="false">Steuern!E67</f>
        <v>-4266.59693430657</v>
      </c>
      <c r="F34" s="281" t="n">
        <f aca="false">Steuern!F67</f>
        <v>-3875.34173430657</v>
      </c>
      <c r="G34" s="281" t="n">
        <f aca="false">Steuern!G67</f>
        <v>-3473.27775030657</v>
      </c>
      <c r="H34" s="352" t="n">
        <f aca="false">Steuern!H67</f>
        <v>-3060.08139414657</v>
      </c>
      <c r="I34" s="281" t="n">
        <f aca="false">Steuern!I67</f>
        <v>-2635.41873905409</v>
      </c>
      <c r="J34" s="281" t="n">
        <f aca="false">Steuern!J67</f>
        <v>-2198.94517366534</v>
      </c>
      <c r="K34" s="281" t="n">
        <f aca="false">Steuern!K67</f>
        <v>-1750.30504411541</v>
      </c>
      <c r="L34" s="281" t="n">
        <f aca="false">Steuern!L67</f>
        <v>-1289.13128377835</v>
      </c>
      <c r="M34" s="352" t="n">
        <f aca="false">Steuern!M67</f>
        <v>-815.045030223342</v>
      </c>
      <c r="N34" s="281" t="n">
        <f aca="false">Steuern!N67</f>
        <v>-1247.29629957225</v>
      </c>
      <c r="O34" s="281" t="n">
        <f aca="false">Steuern!O67</f>
        <v>-759.490220706892</v>
      </c>
      <c r="P34" s="281" t="n">
        <f aca="false">Steuern!P67</f>
        <v>-255.851001286543</v>
      </c>
      <c r="Q34" s="281" t="n">
        <f aca="false">Steuern!Q67</f>
        <v>264.211487353889</v>
      </c>
      <c r="R34" s="352" t="n">
        <f aca="false">Steuern!R67</f>
        <v>801.311482416226</v>
      </c>
      <c r="S34" s="281" t="n">
        <f aca="false">Steuern!S67</f>
        <v>1356.08836557813</v>
      </c>
      <c r="T34" s="281" t="n">
        <f aca="false">Steuern!T67</f>
        <v>1929.2077445705</v>
      </c>
      <c r="U34" s="281" t="n">
        <f aca="false">Steuern!U67</f>
        <v>2521.36258242748</v>
      </c>
      <c r="V34" s="281" t="n">
        <f aca="false">Steuern!V67</f>
        <v>3133.27437653417</v>
      </c>
      <c r="W34" s="352" t="n">
        <f aca="false">Steuern!W67</f>
        <v>3765.69438969274</v>
      </c>
      <c r="X34" s="281" t="n">
        <f aca="false">Steuern!X67</f>
        <v>4419.40493552686</v>
      </c>
      <c r="Y34" s="281" t="n">
        <f aca="false">Steuern!Y67</f>
        <v>5095.22072064859</v>
      </c>
      <c r="Z34" s="281" t="n">
        <f aca="false">Steuern!Z67</f>
        <v>5793.99024612039</v>
      </c>
      <c r="AA34" s="281" t="n">
        <f aca="false">Steuern!AA67</f>
        <v>6516.5972708584</v>
      </c>
      <c r="AB34" s="352" t="n">
        <f aca="false">Steuern!AB67</f>
        <v>7263.96233974199</v>
      </c>
      <c r="AC34" s="281" t="n">
        <f aca="false">Steuern!AC67</f>
        <v>8037.04437931837</v>
      </c>
      <c r="AD34" s="281" t="n">
        <f aca="false">Steuern!AD67</f>
        <v>8836.84236412056</v>
      </c>
      <c r="AE34" s="281" t="n">
        <f aca="false">Steuern!AE67</f>
        <v>9664.39705675264</v>
      </c>
      <c r="AF34" s="281" t="n">
        <f aca="false">Steuern!AF67</f>
        <v>10520.7928250372</v>
      </c>
      <c r="AG34" s="352" t="n">
        <f aca="false">Steuern!AG67</f>
        <v>11407.1595396683</v>
      </c>
      <c r="AH34" s="281" t="n">
        <f aca="false">Steuern!AH67</f>
        <v>12324.6745559671</v>
      </c>
      <c r="AI34" s="281" t="n">
        <f aca="false">Steuern!AI67</f>
        <v>13274.5647834987</v>
      </c>
      <c r="AJ34" s="281" t="n">
        <f aca="false">Steuern!AJ67</f>
        <v>14031.6615292046</v>
      </c>
      <c r="AK34" s="281" t="n">
        <f aca="false">Steuern!AK67</f>
        <v>14410.0018984748</v>
      </c>
      <c r="AL34" s="352" t="n">
        <f aca="false">Steuern!AL67</f>
        <v>14795.9090751304</v>
      </c>
      <c r="AM34" s="281" t="n">
        <f aca="false">Steuern!AM67</f>
        <v>15189.5343953192</v>
      </c>
      <c r="AN34" s="281" t="n">
        <f aca="false">Steuern!AN67</f>
        <v>15591.0322219117</v>
      </c>
      <c r="AO34" s="281" t="n">
        <f aca="false">Steuern!AO67</f>
        <v>16000.5600050361</v>
      </c>
      <c r="AP34" s="281" t="n">
        <f aca="false">Steuern!AP67</f>
        <v>16418.2783438229</v>
      </c>
      <c r="AQ34" s="281" t="n">
        <f aca="false">Steuern!AQ67</f>
        <v>16844.3510493855</v>
      </c>
    </row>
    <row r="35" customFormat="false" ht="15.75" hidden="false" customHeight="true" outlineLevel="0" collapsed="false">
      <c r="B35" s="72" t="s">
        <v>949</v>
      </c>
      <c r="C35" s="347" t="s">
        <v>753</v>
      </c>
      <c r="D35" s="206" t="n">
        <f aca="false">Steuern!D73</f>
        <v>-8510.39654952701</v>
      </c>
      <c r="E35" s="206" t="n">
        <f aca="false">Steuern!E73</f>
        <v>-1973.67654264701</v>
      </c>
      <c r="F35" s="206" t="n">
        <f aca="false">Steuern!F73</f>
        <v>-1792.68658218941</v>
      </c>
      <c r="G35" s="206" t="n">
        <f aca="false">Steuern!G73</f>
        <v>-1606.69660795881</v>
      </c>
      <c r="H35" s="348" t="n">
        <f aca="false">Steuern!H73</f>
        <v>-1415.55693195547</v>
      </c>
      <c r="I35" s="206" t="n">
        <f aca="false">Steuern!I73</f>
        <v>-1219.11308366155</v>
      </c>
      <c r="J35" s="206" t="n">
        <f aca="false">Steuern!J73</f>
        <v>-1017.2056499955</v>
      </c>
      <c r="K35" s="206" t="n">
        <f aca="false">Steuern!K73</f>
        <v>-809.670109747261</v>
      </c>
      <c r="L35" s="206" t="n">
        <f aca="false">Steuern!L73</f>
        <v>-596.336662300458</v>
      </c>
      <c r="M35" s="348" t="n">
        <f aca="false">Steuern!M73</f>
        <v>-377.030050440955</v>
      </c>
      <c r="N35" s="206" t="n">
        <f aca="false">Steuern!N73</f>
        <v>-576.984300626527</v>
      </c>
      <c r="O35" s="206" t="n">
        <f aca="false">Steuern!O73</f>
        <v>-351.33106221636</v>
      </c>
      <c r="P35" s="206" t="n">
        <f aca="false">Steuern!P73</f>
        <v>-118.353602983139</v>
      </c>
      <c r="Q35" s="206" t="n">
        <f aca="false">Steuern!Q73</f>
        <v>122.221063512061</v>
      </c>
      <c r="R35" s="348" t="n">
        <f aca="false">Steuern!R73</f>
        <v>370.677076027957</v>
      </c>
      <c r="S35" s="206" t="n">
        <f aca="false">Steuern!S73</f>
        <v>627.310204856056</v>
      </c>
      <c r="T35" s="206" t="n">
        <f aca="false">Steuern!T73</f>
        <v>892.428352145378</v>
      </c>
      <c r="U35" s="206" t="n">
        <f aca="false">Steuern!U73</f>
        <v>1166.35207427996</v>
      </c>
      <c r="V35" s="206" t="n">
        <f aca="false">Steuern!V73</f>
        <v>1449.41512729219</v>
      </c>
      <c r="W35" s="348" t="n">
        <f aca="false">Steuern!W73</f>
        <v>1741.96503633918</v>
      </c>
      <c r="X35" s="206" t="n">
        <f aca="false">Steuern!X73</f>
        <v>2044.3636903155</v>
      </c>
      <c r="Y35" s="206" t="n">
        <f aca="false">Steuern!Y73</f>
        <v>2356.98796272339</v>
      </c>
      <c r="Z35" s="206" t="n">
        <f aca="false">Steuern!Z73</f>
        <v>2680.23035997234</v>
      </c>
      <c r="AA35" s="206" t="n">
        <f aca="false">Steuern!AA73</f>
        <v>3014.49969833184</v>
      </c>
      <c r="AB35" s="348" t="n">
        <f aca="false">Steuern!AB73</f>
        <v>3360.22181081657</v>
      </c>
      <c r="AC35" s="206" t="n">
        <f aca="false">Steuern!AC73</f>
        <v>3717.84028534012</v>
      </c>
      <c r="AD35" s="206" t="n">
        <f aca="false">Steuern!AD73</f>
        <v>4087.8172355338</v>
      </c>
      <c r="AE35" s="206" t="n">
        <f aca="false">Steuern!AE73</f>
        <v>4470.63410568909</v>
      </c>
      <c r="AF35" s="206" t="n">
        <f aca="false">Steuern!AF73</f>
        <v>4866.79251134832</v>
      </c>
      <c r="AG35" s="348" t="n">
        <f aca="false">Steuern!AG73</f>
        <v>5276.8151171361</v>
      </c>
      <c r="AH35" s="206" t="n">
        <f aca="false">Steuern!AH73</f>
        <v>5701.2465534957</v>
      </c>
      <c r="AI35" s="206" t="n">
        <f aca="false">Steuern!AI73</f>
        <v>6140.65437406908</v>
      </c>
      <c r="AJ35" s="206" t="n">
        <f aca="false">Steuern!AJ73</f>
        <v>6490.87824347169</v>
      </c>
      <c r="AK35" s="206" t="n">
        <f aca="false">Steuern!AK73</f>
        <v>6665.89395821166</v>
      </c>
      <c r="AL35" s="348" t="n">
        <f aca="false">Steuern!AL73</f>
        <v>6844.40998724643</v>
      </c>
      <c r="AM35" s="206" t="n">
        <f aca="false">Steuern!AM73</f>
        <v>7026.4963368619</v>
      </c>
      <c r="AN35" s="206" t="n">
        <f aca="false">Steuern!AN73</f>
        <v>7212.22441346968</v>
      </c>
      <c r="AO35" s="206" t="n">
        <f aca="false">Steuern!AO73</f>
        <v>7401.66705160962</v>
      </c>
      <c r="AP35" s="206" t="n">
        <f aca="false">Steuern!AP73</f>
        <v>7594.89854251235</v>
      </c>
      <c r="AQ35" s="206" t="n">
        <f aca="false">Steuern!AQ73</f>
        <v>7791.99466323314</v>
      </c>
    </row>
    <row r="36" customFormat="false" ht="18" hidden="false" customHeight="true" outlineLevel="0" collapsed="false">
      <c r="B36" s="73" t="s">
        <v>555</v>
      </c>
      <c r="C36" s="353" t="s">
        <v>753</v>
      </c>
      <c r="D36" s="213" t="n">
        <f aca="false">D33-D35</f>
        <v>3078.39654952701</v>
      </c>
      <c r="E36" s="213" t="n">
        <f aca="false">E33-E35</f>
        <v>-3286.96345735299</v>
      </c>
      <c r="F36" s="213" t="n">
        <f aca="false">F33-F35</f>
        <v>-3293.16621781059</v>
      </c>
      <c r="G36" s="213" t="n">
        <f aca="false">G33-G35</f>
        <v>-3300.87324804118</v>
      </c>
      <c r="H36" s="354" t="n">
        <f aca="false">H33-H35</f>
        <v>-3310.16432116452</v>
      </c>
      <c r="I36" s="213" t="n">
        <f aca="false">I33-I35</f>
        <v>-3321.12259452085</v>
      </c>
      <c r="J36" s="213" t="n">
        <f aca="false">J33-J35</f>
        <v>-3333.83474175054</v>
      </c>
      <c r="K36" s="213" t="n">
        <f aca="false">K33-K35</f>
        <v>-3348.39108983371</v>
      </c>
      <c r="L36" s="213" t="n">
        <f aca="false">L33-L35</f>
        <v>-3364.88576127213</v>
      </c>
      <c r="M36" s="354" t="n">
        <f aca="false">M33-M35</f>
        <v>-3383.41682160308</v>
      </c>
      <c r="N36" s="213" t="n">
        <f aca="false">N33-N35</f>
        <v>-2978.67150885839</v>
      </c>
      <c r="O36" s="213" t="n">
        <f aca="false">O33-O35</f>
        <v>-2995.43786345826</v>
      </c>
      <c r="P36" s="213" t="n">
        <f aca="false">P33-P35</f>
        <v>-3015.35070120497</v>
      </c>
      <c r="Q36" s="213" t="n">
        <f aca="false">Q33-Q35</f>
        <v>-3038.59945378393</v>
      </c>
      <c r="R36" s="354" t="n">
        <f aca="false">R33-R35</f>
        <v>-3065.38303410527</v>
      </c>
      <c r="S36" s="213" t="n">
        <f aca="false">S33-S35</f>
        <v>-3095.91028209491</v>
      </c>
      <c r="T36" s="213" t="n">
        <f aca="false">T33-T35</f>
        <v>-3130.40043092901</v>
      </c>
      <c r="U36" s="213" t="n">
        <f aca="false">U33-U35</f>
        <v>-3169.08359463926</v>
      </c>
      <c r="V36" s="213" t="n">
        <f aca="false">V33-V35</f>
        <v>-3212.20127805868</v>
      </c>
      <c r="W36" s="354" t="n">
        <f aca="false">W33-W35</f>
        <v>-3260.006910121</v>
      </c>
      <c r="X36" s="213" t="n">
        <f aca="false">X33-X35</f>
        <v>-3312.76640157295</v>
      </c>
      <c r="Y36" s="213" t="n">
        <f aca="false">Y33-Y35</f>
        <v>-3370.75872820599</v>
      </c>
      <c r="Z36" s="213" t="n">
        <f aca="false">Z33-Z35</f>
        <v>-3434.27654076459</v>
      </c>
      <c r="AA36" s="213" t="n">
        <f aca="false">AA33-AA35</f>
        <v>-3503.62680273994</v>
      </c>
      <c r="AB36" s="354" t="n">
        <f aca="false">AB33-AB35</f>
        <v>-3579.13145731283</v>
      </c>
      <c r="AC36" s="213" t="n">
        <f aca="false">AC33-AC35</f>
        <v>-3661.12812476631</v>
      </c>
      <c r="AD36" s="213" t="n">
        <f aca="false">AD33-AD35</f>
        <v>-3749.97083174851</v>
      </c>
      <c r="AE36" s="213" t="n">
        <f aca="false">AE33-AE35</f>
        <v>-3846.0307738281</v>
      </c>
      <c r="AF36" s="213" t="n">
        <f aca="false">AF33-AF35</f>
        <v>-3949.6971128501</v>
      </c>
      <c r="AG36" s="354" t="n">
        <f aca="false">AG33-AG35</f>
        <v>-4061.37781066792</v>
      </c>
      <c r="AH36" s="213" t="n">
        <f aca="false">AH33-AH35</f>
        <v>-4181.50050089816</v>
      </c>
      <c r="AI36" s="213" t="n">
        <f aca="false">AI33-AI35</f>
        <v>721.649227890842</v>
      </c>
      <c r="AJ36" s="213" t="n">
        <f aca="false">AJ33-AJ35</f>
        <v>9655.8655496508</v>
      </c>
      <c r="AK36" s="213" t="n">
        <f aca="false">AK33-AK35</f>
        <v>9803.78471077327</v>
      </c>
      <c r="AL36" s="354" t="n">
        <f aca="false">AL33-AL35</f>
        <v>9954.6622551182</v>
      </c>
      <c r="AM36" s="213" t="n">
        <f aca="false">AM33-AM35</f>
        <v>10108.55735035</v>
      </c>
      <c r="AN36" s="213" t="n">
        <f aca="false">AN33-AN35</f>
        <v>10265.5303474865</v>
      </c>
      <c r="AO36" s="213" t="n">
        <f aca="false">AO33-AO35</f>
        <v>10425.6428045657</v>
      </c>
      <c r="AP36" s="213" t="n">
        <f aca="false">AP33-AP35</f>
        <v>10588.9575107864</v>
      </c>
      <c r="AQ36" s="213" t="n">
        <f aca="false">AQ33-AQ35</f>
        <v>10755.5385111316</v>
      </c>
    </row>
    <row r="37" customFormat="false" ht="15.75" hidden="false" customHeight="true" outlineLevel="0" collapsed="false">
      <c r="B37" s="280" t="s">
        <v>603</v>
      </c>
      <c r="C37" s="351" t="s">
        <v>753</v>
      </c>
      <c r="D37" s="281" t="n">
        <f aca="false">D36/12</f>
        <v>256.533045793917</v>
      </c>
      <c r="E37" s="281" t="n">
        <f aca="false">E36/12</f>
        <v>-273.913621446083</v>
      </c>
      <c r="F37" s="281" t="n">
        <f aca="false">F36/12</f>
        <v>-274.430518150883</v>
      </c>
      <c r="G37" s="281" t="n">
        <f aca="false">G36/12</f>
        <v>-275.072770670098</v>
      </c>
      <c r="H37" s="352" t="n">
        <f aca="false">H36/12</f>
        <v>-275.84702676371</v>
      </c>
      <c r="I37" s="281" t="n">
        <f aca="false">I36/12</f>
        <v>-276.76021621007</v>
      </c>
      <c r="J37" s="281" t="n">
        <f aca="false">J36/12</f>
        <v>-277.819561812545</v>
      </c>
      <c r="K37" s="281" t="n">
        <f aca="false">K36/12</f>
        <v>-279.032590819476</v>
      </c>
      <c r="L37" s="281" t="n">
        <f aca="false">L36/12</f>
        <v>-280.407146772677</v>
      </c>
      <c r="M37" s="352" t="n">
        <f aca="false">M36/12</f>
        <v>-281.951401800257</v>
      </c>
      <c r="N37" s="281" t="n">
        <f aca="false">N36/12</f>
        <v>-248.222625738199</v>
      </c>
      <c r="O37" s="281" t="n">
        <f aca="false">O36/12</f>
        <v>-249.619821954855</v>
      </c>
      <c r="P37" s="281" t="n">
        <f aca="false">P36/12</f>
        <v>-251.279225100414</v>
      </c>
      <c r="Q37" s="281" t="n">
        <f aca="false">Q36/12</f>
        <v>-253.216621148661</v>
      </c>
      <c r="R37" s="352" t="n">
        <f aca="false">R36/12</f>
        <v>-255.448586175439</v>
      </c>
      <c r="S37" s="281" t="n">
        <f aca="false">S36/12</f>
        <v>-257.992523507909</v>
      </c>
      <c r="T37" s="281" t="n">
        <f aca="false">T36/12</f>
        <v>-260.866702577417</v>
      </c>
      <c r="U37" s="281" t="n">
        <f aca="false">U36/12</f>
        <v>-264.090299553272</v>
      </c>
      <c r="V37" s="281" t="n">
        <f aca="false">V36/12</f>
        <v>-267.683439838223</v>
      </c>
      <c r="W37" s="352" t="n">
        <f aca="false">W36/12</f>
        <v>-271.667242510084</v>
      </c>
      <c r="X37" s="281" t="n">
        <f aca="false">X36/12</f>
        <v>-276.063866797746</v>
      </c>
      <c r="Y37" s="281" t="n">
        <f aca="false">Y36/12</f>
        <v>-280.896560683833</v>
      </c>
      <c r="Z37" s="281" t="n">
        <f aca="false">Z36/12</f>
        <v>-286.189711730383</v>
      </c>
      <c r="AA37" s="281" t="n">
        <f aca="false">AA36/12</f>
        <v>-291.968900228329</v>
      </c>
      <c r="AB37" s="352" t="n">
        <f aca="false">AB36/12</f>
        <v>-298.260954776069</v>
      </c>
      <c r="AC37" s="281" t="n">
        <f aca="false">AC36/12</f>
        <v>-305.094010397193</v>
      </c>
      <c r="AD37" s="281" t="n">
        <f aca="false">AD36/12</f>
        <v>-312.497569312376</v>
      </c>
      <c r="AE37" s="281" t="n">
        <f aca="false">AE36/12</f>
        <v>-320.502564485675</v>
      </c>
      <c r="AF37" s="281" t="n">
        <f aca="false">AF36/12</f>
        <v>-329.141426070842</v>
      </c>
      <c r="AG37" s="352" t="n">
        <f aca="false">AG36/12</f>
        <v>-338.448150888994</v>
      </c>
      <c r="AH37" s="281" t="n">
        <f aca="false">AH36/12</f>
        <v>-348.458375074846</v>
      </c>
      <c r="AI37" s="281" t="n">
        <f aca="false">AI36/12</f>
        <v>60.1374356575701</v>
      </c>
      <c r="AJ37" s="281" t="n">
        <f aca="false">AJ36/12</f>
        <v>804.6554624709</v>
      </c>
      <c r="AK37" s="281" t="n">
        <f aca="false">AK36/12</f>
        <v>816.982059231106</v>
      </c>
      <c r="AL37" s="352" t="n">
        <f aca="false">AL36/12</f>
        <v>829.555187926516</v>
      </c>
      <c r="AM37" s="281" t="n">
        <f aca="false">AM36/12</f>
        <v>842.379779195835</v>
      </c>
      <c r="AN37" s="281" t="n">
        <f aca="false">AN36/12</f>
        <v>855.46086229054</v>
      </c>
      <c r="AO37" s="281" t="n">
        <f aca="false">AO36/12</f>
        <v>868.80356704714</v>
      </c>
      <c r="AP37" s="281" t="n">
        <f aca="false">AP36/12</f>
        <v>882.413125898871</v>
      </c>
      <c r="AQ37" s="281" t="n">
        <f aca="false">AQ36/12</f>
        <v>896.294875927637</v>
      </c>
    </row>
    <row r="38" customFormat="false" ht="15.75" hidden="false" customHeight="true" outlineLevel="0" collapsed="false">
      <c r="B38" s="280" t="s">
        <v>607</v>
      </c>
      <c r="C38" s="351" t="s">
        <v>753</v>
      </c>
      <c r="D38" s="281" t="n">
        <f aca="false">D36</f>
        <v>3078.39654952701</v>
      </c>
      <c r="E38" s="281" t="n">
        <f aca="false">D38+E36</f>
        <v>-208.566907825983</v>
      </c>
      <c r="F38" s="281" t="n">
        <f aca="false">E38+F36</f>
        <v>-3501.73312563657</v>
      </c>
      <c r="G38" s="281" t="n">
        <f aca="false">F38+G36</f>
        <v>-6802.60637367776</v>
      </c>
      <c r="H38" s="352" t="n">
        <f aca="false">G38+H36</f>
        <v>-10112.7706948423</v>
      </c>
      <c r="I38" s="281" t="n">
        <f aca="false">H38+I36</f>
        <v>-13433.8932893631</v>
      </c>
      <c r="J38" s="281" t="n">
        <f aca="false">I38+J36</f>
        <v>-16767.7280311137</v>
      </c>
      <c r="K38" s="281" t="n">
        <f aca="false">J38+K36</f>
        <v>-20116.1191209474</v>
      </c>
      <c r="L38" s="281" t="n">
        <f aca="false">K38+L36</f>
        <v>-23481.0048822195</v>
      </c>
      <c r="M38" s="352" t="n">
        <f aca="false">L38+M36</f>
        <v>-26864.4217038226</v>
      </c>
      <c r="N38" s="281" t="n">
        <f aca="false">M38+N36</f>
        <v>-29843.093212681</v>
      </c>
      <c r="O38" s="281" t="n">
        <f aca="false">N38+O36</f>
        <v>-32838.5310761392</v>
      </c>
      <c r="P38" s="281" t="n">
        <f aca="false">O38+P36</f>
        <v>-35853.8817773442</v>
      </c>
      <c r="Q38" s="281" t="n">
        <f aca="false">P38+Q36</f>
        <v>-38892.4812311281</v>
      </c>
      <c r="R38" s="352" t="n">
        <f aca="false">Q38+R36</f>
        <v>-41957.8642652334</v>
      </c>
      <c r="S38" s="281" t="n">
        <f aca="false">R38+S36</f>
        <v>-45053.7745473283</v>
      </c>
      <c r="T38" s="281" t="n">
        <f aca="false">S38+T36</f>
        <v>-48184.1749782573</v>
      </c>
      <c r="U38" s="281" t="n">
        <f aca="false">T38+U36</f>
        <v>-51353.2585728966</v>
      </c>
      <c r="V38" s="281" t="n">
        <f aca="false">U38+V36</f>
        <v>-54565.4598509552</v>
      </c>
      <c r="W38" s="352" t="n">
        <f aca="false">V38+W36</f>
        <v>-57825.4667610762</v>
      </c>
      <c r="X38" s="281" t="n">
        <f aca="false">W38+X36</f>
        <v>-61138.2331626492</v>
      </c>
      <c r="Y38" s="281" t="n">
        <f aca="false">X38+Y36</f>
        <v>-64508.9918908552</v>
      </c>
      <c r="Z38" s="281" t="n">
        <f aca="false">Y38+Z36</f>
        <v>-67943.2684316198</v>
      </c>
      <c r="AA38" s="281" t="n">
        <f aca="false">Z38+AA36</f>
        <v>-71446.8952343597</v>
      </c>
      <c r="AB38" s="352" t="n">
        <f aca="false">AA38+AB36</f>
        <v>-75026.0266916726</v>
      </c>
      <c r="AC38" s="281" t="n">
        <f aca="false">AB38+AC36</f>
        <v>-78687.1548164389</v>
      </c>
      <c r="AD38" s="281" t="n">
        <f aca="false">AC38+AD36</f>
        <v>-82437.1256481874</v>
      </c>
      <c r="AE38" s="281" t="n">
        <f aca="false">AD38+AE36</f>
        <v>-86283.1564220155</v>
      </c>
      <c r="AF38" s="281" t="n">
        <f aca="false">AE38+AF36</f>
        <v>-90232.8535348656</v>
      </c>
      <c r="AG38" s="352" t="n">
        <f aca="false">AF38+AG36</f>
        <v>-94294.2313455335</v>
      </c>
      <c r="AH38" s="281" t="n">
        <f aca="false">AG38+AH36</f>
        <v>-98475.7318464317</v>
      </c>
      <c r="AI38" s="281" t="n">
        <f aca="false">AH38+AI36</f>
        <v>-97754.0826185408</v>
      </c>
      <c r="AJ38" s="281" t="n">
        <f aca="false">AI38+AJ36</f>
        <v>-88098.21706889</v>
      </c>
      <c r="AK38" s="281" t="n">
        <f aca="false">AJ38+AK36</f>
        <v>-78294.4323581168</v>
      </c>
      <c r="AL38" s="352" t="n">
        <f aca="false">AK38+AL36</f>
        <v>-68339.7701029986</v>
      </c>
      <c r="AM38" s="281" t="n">
        <f aca="false">AL38+AM36</f>
        <v>-58231.2127526485</v>
      </c>
      <c r="AN38" s="281" t="n">
        <f aca="false">AM38+AN36</f>
        <v>-47965.6824051621</v>
      </c>
      <c r="AO38" s="281" t="n">
        <f aca="false">AN38+AO36</f>
        <v>-37540.0396005964</v>
      </c>
      <c r="AP38" s="281" t="n">
        <f aca="false">AO38+AP36</f>
        <v>-26951.0820898099</v>
      </c>
      <c r="AQ38" s="281" t="n">
        <f aca="false">AP38+AQ36</f>
        <v>-16195.5435786783</v>
      </c>
    </row>
    <row r="39" customFormat="false" ht="12" hidden="false" customHeight="tru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customFormat="false" ht="24" hidden="false" customHeight="true" outlineLevel="0" collapsed="false">
      <c r="B40" s="33" t="s">
        <v>541</v>
      </c>
      <c r="C40" s="35" t="s">
        <v>659</v>
      </c>
      <c r="D40" s="264"/>
      <c r="E40" s="264"/>
      <c r="F40" s="264"/>
      <c r="G40" s="264"/>
      <c r="H40" s="346"/>
      <c r="I40" s="264"/>
      <c r="J40" s="264"/>
      <c r="K40" s="264"/>
      <c r="L40" s="264"/>
      <c r="M40" s="346"/>
      <c r="N40" s="264"/>
      <c r="O40" s="264"/>
      <c r="P40" s="264"/>
      <c r="Q40" s="264"/>
      <c r="R40" s="346"/>
      <c r="S40" s="264"/>
      <c r="T40" s="264"/>
      <c r="U40" s="264"/>
      <c r="V40" s="264"/>
      <c r="W40" s="346"/>
      <c r="X40" s="264"/>
      <c r="Y40" s="264"/>
      <c r="Z40" s="264"/>
      <c r="AA40" s="264"/>
      <c r="AB40" s="346"/>
      <c r="AC40" s="264"/>
      <c r="AD40" s="264"/>
      <c r="AE40" s="264"/>
      <c r="AF40" s="264"/>
      <c r="AG40" s="346"/>
      <c r="AH40" s="264"/>
      <c r="AI40" s="264"/>
      <c r="AJ40" s="264"/>
      <c r="AK40" s="264"/>
      <c r="AL40" s="346"/>
      <c r="AM40" s="264"/>
      <c r="AN40" s="264"/>
      <c r="AO40" s="264"/>
      <c r="AP40" s="264"/>
      <c r="AQ40" s="264"/>
    </row>
    <row r="41" customFormat="false" ht="15.75" hidden="false" customHeight="true" outlineLevel="0" collapsed="false">
      <c r="B41" s="72" t="s">
        <v>950</v>
      </c>
      <c r="C41" s="347" t="s">
        <v>753</v>
      </c>
      <c r="D41" s="206" t="n">
        <f aca="false">(Kaufpreis+Investition_J1*Reno_Wertsteigerung_Pct)*(1+Wertsteigerung)</f>
        <v>302940</v>
      </c>
      <c r="E41" s="206" t="n">
        <f aca="false">D41*(1+Wertsteigerung)+E25*Reno_Wertsteigerung_Pct</f>
        <v>308998.8</v>
      </c>
      <c r="F41" s="206" t="n">
        <f aca="false">E41*(1+Wertsteigerung)+F25*Reno_Wertsteigerung_Pct</f>
        <v>315178.776</v>
      </c>
      <c r="G41" s="206" t="n">
        <f aca="false">F41*(1+Wertsteigerung)+G25*Reno_Wertsteigerung_Pct</f>
        <v>321482.35152</v>
      </c>
      <c r="H41" s="348" t="n">
        <f aca="false">G41*(1+Wertsteigerung)+H25*Reno_Wertsteigerung_Pct</f>
        <v>327911.9985504</v>
      </c>
      <c r="I41" s="206" t="n">
        <f aca="false">H41*(1+Wertsteigerung)+I25*Reno_Wertsteigerung_Pct</f>
        <v>334470.238521408</v>
      </c>
      <c r="J41" s="206" t="n">
        <f aca="false">I41*(1+Wertsteigerung)+J25*Reno_Wertsteigerung_Pct</f>
        <v>341159.643291836</v>
      </c>
      <c r="K41" s="206" t="n">
        <f aca="false">J41*(1+Wertsteigerung)+K25*Reno_Wertsteigerung_Pct</f>
        <v>347982.836157673</v>
      </c>
      <c r="L41" s="206" t="n">
        <f aca="false">K41*(1+Wertsteigerung)+L25*Reno_Wertsteigerung_Pct</f>
        <v>354942.492880826</v>
      </c>
      <c r="M41" s="348" t="n">
        <f aca="false">L41*(1+Wertsteigerung)+M25*Reno_Wertsteigerung_Pct</f>
        <v>362041.342738443</v>
      </c>
      <c r="N41" s="206" t="n">
        <f aca="false">M41*(1+Wertsteigerung)+N25*Reno_Wertsteigerung_Pct</f>
        <v>369282.169593212</v>
      </c>
      <c r="O41" s="206" t="n">
        <f aca="false">N41*(1+Wertsteigerung)+O25*Reno_Wertsteigerung_Pct</f>
        <v>376667.812985076</v>
      </c>
      <c r="P41" s="206" t="n">
        <f aca="false">O41*(1+Wertsteigerung)+P25*Reno_Wertsteigerung_Pct</f>
        <v>384201.169244778</v>
      </c>
      <c r="Q41" s="206" t="n">
        <f aca="false">P41*(1+Wertsteigerung)+Q25*Reno_Wertsteigerung_Pct</f>
        <v>391885.192629673</v>
      </c>
      <c r="R41" s="348" t="n">
        <f aca="false">Q41*(1+Wertsteigerung)+R25*Reno_Wertsteigerung_Pct</f>
        <v>399722.896482267</v>
      </c>
      <c r="S41" s="206" t="n">
        <f aca="false">R41*(1+Wertsteigerung)+S25*Reno_Wertsteigerung_Pct</f>
        <v>407717.354411912</v>
      </c>
      <c r="T41" s="206" t="n">
        <f aca="false">S41*(1+Wertsteigerung)+T25*Reno_Wertsteigerung_Pct</f>
        <v>415871.70150015</v>
      </c>
      <c r="U41" s="206" t="n">
        <f aca="false">T41*(1+Wertsteigerung)+U25*Reno_Wertsteigerung_Pct</f>
        <v>424189.135530153</v>
      </c>
      <c r="V41" s="206" t="n">
        <f aca="false">U41*(1+Wertsteigerung)+V25*Reno_Wertsteigerung_Pct</f>
        <v>432672.918240756</v>
      </c>
      <c r="W41" s="348" t="n">
        <f aca="false">V41*(1+Wertsteigerung)+W25*Reno_Wertsteigerung_Pct</f>
        <v>441326.376605572</v>
      </c>
      <c r="X41" s="206" t="n">
        <f aca="false">W41*(1+Wertsteigerung)+X25*Reno_Wertsteigerung_Pct</f>
        <v>450152.904137683</v>
      </c>
      <c r="Y41" s="206" t="n">
        <f aca="false">X41*(1+Wertsteigerung)+Y25*Reno_Wertsteigerung_Pct</f>
        <v>459155.962220437</v>
      </c>
      <c r="Z41" s="206" t="n">
        <f aca="false">Y41*(1+Wertsteigerung)+Z25*Reno_Wertsteigerung_Pct</f>
        <v>468339.081464845</v>
      </c>
      <c r="AA41" s="206" t="n">
        <f aca="false">Z41*(1+Wertsteigerung)+AA25*Reno_Wertsteigerung_Pct</f>
        <v>477705.863094142</v>
      </c>
      <c r="AB41" s="348" t="n">
        <f aca="false">AA41*(1+Wertsteigerung)+AB25*Reno_Wertsteigerung_Pct</f>
        <v>487259.980356025</v>
      </c>
      <c r="AC41" s="206" t="n">
        <f aca="false">AB41*(1+Wertsteigerung)+AC25*Reno_Wertsteigerung_Pct</f>
        <v>497005.179963146</v>
      </c>
      <c r="AD41" s="206" t="n">
        <f aca="false">AC41*(1+Wertsteigerung)+AD25*Reno_Wertsteigerung_Pct</f>
        <v>506945.283562409</v>
      </c>
      <c r="AE41" s="206" t="n">
        <f aca="false">AD41*(1+Wertsteigerung)+AE25*Reno_Wertsteigerung_Pct</f>
        <v>517084.189233657</v>
      </c>
      <c r="AF41" s="206" t="n">
        <f aca="false">AE41*(1+Wertsteigerung)+AF25*Reno_Wertsteigerung_Pct</f>
        <v>527425.87301833</v>
      </c>
      <c r="AG41" s="348" t="n">
        <f aca="false">AF41*(1+Wertsteigerung)+AG25*Reno_Wertsteigerung_Pct</f>
        <v>537974.390478696</v>
      </c>
      <c r="AH41" s="206" t="n">
        <f aca="false">AG41*(1+Wertsteigerung)+AH25*Reno_Wertsteigerung_Pct</f>
        <v>548733.87828827</v>
      </c>
      <c r="AI41" s="206" t="n">
        <f aca="false">AH41*(1+Wertsteigerung)+AI25*Reno_Wertsteigerung_Pct</f>
        <v>559708.555854036</v>
      </c>
      <c r="AJ41" s="206" t="n">
        <f aca="false">AI41*(1+Wertsteigerung)+AJ25*Reno_Wertsteigerung_Pct</f>
        <v>570902.726971117</v>
      </c>
      <c r="AK41" s="206" t="n">
        <f aca="false">AJ41*(1+Wertsteigerung)+AK25*Reno_Wertsteigerung_Pct</f>
        <v>582320.781510539</v>
      </c>
      <c r="AL41" s="348" t="n">
        <f aca="false">AK41*(1+Wertsteigerung)+AL25*Reno_Wertsteigerung_Pct</f>
        <v>593967.19714075</v>
      </c>
      <c r="AM41" s="206" t="n">
        <f aca="false">AL41*(1+Wertsteigerung)+AM25*Reno_Wertsteigerung_Pct</f>
        <v>605846.541083565</v>
      </c>
      <c r="AN41" s="206" t="n">
        <f aca="false">AM41*(1+Wertsteigerung)+AN25*Reno_Wertsteigerung_Pct</f>
        <v>617963.471905236</v>
      </c>
      <c r="AO41" s="206" t="n">
        <f aca="false">AN41*(1+Wertsteigerung)+AO25*Reno_Wertsteigerung_Pct</f>
        <v>630322.741343341</v>
      </c>
      <c r="AP41" s="206" t="n">
        <f aca="false">AO41*(1+Wertsteigerung)+AP25*Reno_Wertsteigerung_Pct</f>
        <v>642929.196170208</v>
      </c>
      <c r="AQ41" s="206" t="n">
        <f aca="false">AP41*(1+Wertsteigerung)+AQ25*Reno_Wertsteigerung_Pct</f>
        <v>655787.780093612</v>
      </c>
    </row>
    <row r="42" customFormat="false" ht="15.75" hidden="false" customHeight="true" outlineLevel="0" collapsed="false">
      <c r="B42" s="72" t="s">
        <v>951</v>
      </c>
      <c r="C42" s="347" t="s">
        <v>753</v>
      </c>
      <c r="D42" s="206" t="n">
        <f aca="false">Finanzierung!D38</f>
        <v>245000</v>
      </c>
      <c r="E42" s="206" t="n">
        <f aca="false">Finanzierung!E38</f>
        <v>239820</v>
      </c>
      <c r="F42" s="206" t="n">
        <f aca="false">Finanzierung!F38</f>
        <v>234453.52</v>
      </c>
      <c r="G42" s="206" t="n">
        <f aca="false">Finanzierung!G38</f>
        <v>228893.84672</v>
      </c>
      <c r="H42" s="348" t="n">
        <f aca="false">Finanzierung!H38</f>
        <v>223134.02520192</v>
      </c>
      <c r="I42" s="206" t="n">
        <f aca="false">Finanzierung!I38</f>
        <v>217166.850109189</v>
      </c>
      <c r="J42" s="206" t="n">
        <f aca="false">Finanzierung!J38</f>
        <v>210984.85671312</v>
      </c>
      <c r="K42" s="206" t="n">
        <f aca="false">Finanzierung!K38</f>
        <v>204580.311554792</v>
      </c>
      <c r="L42" s="206" t="n">
        <f aca="false">Finanzierung!L38</f>
        <v>197945.202770765</v>
      </c>
      <c r="M42" s="348" t="n">
        <f aca="false">Finanzierung!M38</f>
        <v>191071.230070512</v>
      </c>
      <c r="N42" s="206" t="n">
        <f aca="false">Finanzierung!N38</f>
        <v>185669.435423685</v>
      </c>
      <c r="O42" s="206" t="n">
        <f aca="false">Finanzierung!O38</f>
        <v>180024.560017751</v>
      </c>
      <c r="P42" s="206" t="n">
        <f aca="false">Finanzierung!P38</f>
        <v>174125.66521855</v>
      </c>
      <c r="Q42" s="206" t="n">
        <f aca="false">Finanzierung!Q38</f>
        <v>167961.320153385</v>
      </c>
      <c r="R42" s="348" t="n">
        <f aca="false">Finanzierung!R38</f>
        <v>161519.579560287</v>
      </c>
      <c r="S42" s="206" t="n">
        <f aca="false">Finanzierung!S38</f>
        <v>154787.9606405</v>
      </c>
      <c r="T42" s="206" t="n">
        <f aca="false">Finanzierung!T38</f>
        <v>147753.418869323</v>
      </c>
      <c r="U42" s="206" t="n">
        <f aca="false">Finanzierung!U38</f>
        <v>140402.322718442</v>
      </c>
      <c r="V42" s="206" t="n">
        <f aca="false">Finanzierung!V38</f>
        <v>132720.427240772</v>
      </c>
      <c r="W42" s="348" t="n">
        <f aca="false">Finanzierung!W38</f>
        <v>124692.846466607</v>
      </c>
      <c r="X42" s="206" t="n">
        <f aca="false">Finanzierung!X38</f>
        <v>116304.024557604</v>
      </c>
      <c r="Y42" s="206" t="n">
        <f aca="false">Finanzierung!Y38</f>
        <v>107537.705662696</v>
      </c>
      <c r="Z42" s="206" t="n">
        <f aca="false">Finanzierung!Z38</f>
        <v>98376.9024175175</v>
      </c>
      <c r="AA42" s="206" t="n">
        <f aca="false">Finanzierung!AA38</f>
        <v>88803.8630263058</v>
      </c>
      <c r="AB42" s="348" t="n">
        <f aca="false">Finanzierung!AB38</f>
        <v>78800.0368624896</v>
      </c>
      <c r="AC42" s="206" t="n">
        <f aca="false">Finanzierung!AC38</f>
        <v>68346.0385213016</v>
      </c>
      <c r="AD42" s="206" t="n">
        <f aca="false">Finanzierung!AD38</f>
        <v>57421.6102547602</v>
      </c>
      <c r="AE42" s="206" t="n">
        <f aca="false">Finanzierung!AE38</f>
        <v>46005.5827162244</v>
      </c>
      <c r="AF42" s="206" t="n">
        <f aca="false">Finanzierung!AF38</f>
        <v>34075.8339384545</v>
      </c>
      <c r="AG42" s="348" t="n">
        <f aca="false">Finanzierung!AG38</f>
        <v>21609.2464656849</v>
      </c>
      <c r="AH42" s="206" t="n">
        <f aca="false">Finanzierung!AH38</f>
        <v>8581.66255664074</v>
      </c>
      <c r="AI42" s="206" t="n">
        <f aca="false">Finanzierung!AI38</f>
        <v>0</v>
      </c>
      <c r="AJ42" s="206" t="n">
        <f aca="false">Finanzierung!AJ38</f>
        <v>0</v>
      </c>
      <c r="AK42" s="206" t="n">
        <f aca="false">Finanzierung!AK38</f>
        <v>0</v>
      </c>
      <c r="AL42" s="348" t="n">
        <f aca="false">Finanzierung!AL38</f>
        <v>0</v>
      </c>
      <c r="AM42" s="206" t="n">
        <f aca="false">Finanzierung!AM38</f>
        <v>0</v>
      </c>
      <c r="AN42" s="206" t="n">
        <f aca="false">Finanzierung!AN38</f>
        <v>0</v>
      </c>
      <c r="AO42" s="206" t="n">
        <f aca="false">Finanzierung!AO38</f>
        <v>0</v>
      </c>
      <c r="AP42" s="206" t="n">
        <f aca="false">Finanzierung!AP38</f>
        <v>0</v>
      </c>
      <c r="AQ42" s="206" t="n">
        <f aca="false">Finanzierung!AQ38</f>
        <v>0</v>
      </c>
    </row>
    <row r="43" customFormat="false" ht="18" hidden="false" customHeight="true" outlineLevel="0" collapsed="false">
      <c r="B43" s="73" t="s">
        <v>563</v>
      </c>
      <c r="C43" s="353" t="s">
        <v>753</v>
      </c>
      <c r="D43" s="213" t="n">
        <f aca="false">D41-D42</f>
        <v>57940</v>
      </c>
      <c r="E43" s="213" t="n">
        <f aca="false">E41-E42</f>
        <v>69178.8</v>
      </c>
      <c r="F43" s="213" t="n">
        <f aca="false">F41-F42</f>
        <v>80725.256</v>
      </c>
      <c r="G43" s="213" t="n">
        <f aca="false">G41-G42</f>
        <v>92588.5048</v>
      </c>
      <c r="H43" s="354" t="n">
        <f aca="false">H41-H42</f>
        <v>104777.97334848</v>
      </c>
      <c r="I43" s="213" t="n">
        <f aca="false">I41-I42</f>
        <v>117303.388412219</v>
      </c>
      <c r="J43" s="213" t="n">
        <f aca="false">J41-J42</f>
        <v>130174.786578716</v>
      </c>
      <c r="K43" s="213" t="n">
        <f aca="false">K41-K42</f>
        <v>143402.524602881</v>
      </c>
      <c r="L43" s="213" t="n">
        <f aca="false">L41-L42</f>
        <v>156997.290110062</v>
      </c>
      <c r="M43" s="354" t="n">
        <f aca="false">M41-M42</f>
        <v>170970.112667931</v>
      </c>
      <c r="N43" s="213" t="n">
        <f aca="false">N41-N42</f>
        <v>183612.734169526</v>
      </c>
      <c r="O43" s="213" t="n">
        <f aca="false">O41-O42</f>
        <v>196643.252967325</v>
      </c>
      <c r="P43" s="213" t="n">
        <f aca="false">P41-P42</f>
        <v>210075.504026228</v>
      </c>
      <c r="Q43" s="213" t="n">
        <f aca="false">Q41-Q42</f>
        <v>223923.872476288</v>
      </c>
      <c r="R43" s="354" t="n">
        <f aca="false">R41-R42</f>
        <v>238203.31692198</v>
      </c>
      <c r="S43" s="213" t="n">
        <f aca="false">S41-S42</f>
        <v>252929.393771412</v>
      </c>
      <c r="T43" s="213" t="n">
        <f aca="false">T41-T42</f>
        <v>268118.282630828</v>
      </c>
      <c r="U43" s="213" t="n">
        <f aca="false">U41-U42</f>
        <v>283786.812811711</v>
      </c>
      <c r="V43" s="213" t="n">
        <f aca="false">V41-V42</f>
        <v>299952.490999984</v>
      </c>
      <c r="W43" s="354" t="n">
        <f aca="false">W41-W42</f>
        <v>316633.530138965</v>
      </c>
      <c r="X43" s="213" t="n">
        <f aca="false">X41-X42</f>
        <v>333848.879580079</v>
      </c>
      <c r="Y43" s="213" t="n">
        <f aca="false">Y41-Y42</f>
        <v>351618.25655774</v>
      </c>
      <c r="Z43" s="213" t="n">
        <f aca="false">Z41-Z42</f>
        <v>369962.179047328</v>
      </c>
      <c r="AA43" s="213" t="n">
        <f aca="false">AA41-AA42</f>
        <v>388902.000067836</v>
      </c>
      <c r="AB43" s="354" t="n">
        <f aca="false">AB41-AB42</f>
        <v>408459.943493536</v>
      </c>
      <c r="AC43" s="213" t="n">
        <f aca="false">AC41-AC42</f>
        <v>428659.141441844</v>
      </c>
      <c r="AD43" s="213" t="n">
        <f aca="false">AD41-AD42</f>
        <v>449523.673307648</v>
      </c>
      <c r="AE43" s="213" t="n">
        <f aca="false">AE41-AE42</f>
        <v>471078.606517432</v>
      </c>
      <c r="AF43" s="213" t="n">
        <f aca="false">AF41-AF42</f>
        <v>493350.039079875</v>
      </c>
      <c r="AG43" s="354" t="n">
        <f aca="false">AG41-AG42</f>
        <v>516365.144013012</v>
      </c>
      <c r="AH43" s="213" t="n">
        <f aca="false">AH41-AH42</f>
        <v>540152.21573163</v>
      </c>
      <c r="AI43" s="213" t="n">
        <f aca="false">AI41-AI42</f>
        <v>559708.555854036</v>
      </c>
      <c r="AJ43" s="213" t="n">
        <f aca="false">AJ41-AJ42</f>
        <v>570902.726971117</v>
      </c>
      <c r="AK43" s="213" t="n">
        <f aca="false">AK41-AK42</f>
        <v>582320.781510539</v>
      </c>
      <c r="AL43" s="354" t="n">
        <f aca="false">AL41-AL42</f>
        <v>593967.19714075</v>
      </c>
      <c r="AM43" s="213" t="n">
        <f aca="false">AM41-AM42</f>
        <v>605846.541083565</v>
      </c>
      <c r="AN43" s="213" t="n">
        <f aca="false">AN41-AN42</f>
        <v>617963.471905236</v>
      </c>
      <c r="AO43" s="213" t="n">
        <f aca="false">AO41-AO42</f>
        <v>630322.741343341</v>
      </c>
      <c r="AP43" s="213" t="n">
        <f aca="false">AP41-AP42</f>
        <v>642929.196170208</v>
      </c>
      <c r="AQ43" s="213" t="n">
        <f aca="false">AQ41-AQ42</f>
        <v>655787.780093612</v>
      </c>
    </row>
    <row r="44" customFormat="false" ht="15.75" hidden="false" customHeight="true" outlineLevel="0" collapsed="false">
      <c r="B44" s="280" t="s">
        <v>952</v>
      </c>
      <c r="C44" s="351" t="s">
        <v>753</v>
      </c>
      <c r="D44" s="281" t="n">
        <f aca="false">D36+(Darlehen_Summe-D42)+(D41-(Kaufpreis+Investition_J1*Reno_Wertsteigerung_Pct))</f>
        <v>14018.396549527</v>
      </c>
      <c r="E44" s="281" t="n">
        <f aca="false">E36+(D42-E42)+(E41-D41)</f>
        <v>7951.836542647</v>
      </c>
      <c r="F44" s="281" t="n">
        <f aca="false">F36+(E42-F42)+(F41-E41)</f>
        <v>8253.28978218944</v>
      </c>
      <c r="G44" s="281" t="n">
        <f aca="false">G36+(F42-G42)+(G41-F41)</f>
        <v>8562.37555195882</v>
      </c>
      <c r="H44" s="352" t="n">
        <f aca="false">H36+(G42-H42)+(H41-G41)</f>
        <v>8879.30422731546</v>
      </c>
      <c r="I44" s="281" t="n">
        <f aca="false">I36+(H42-I42)+(I41-H41)</f>
        <v>9204.29246921807</v>
      </c>
      <c r="J44" s="281" t="n">
        <f aca="false">J36+(I42-J42)+(J41-I41)</f>
        <v>9537.56342474679</v>
      </c>
      <c r="K44" s="281" t="n">
        <f aca="false">K36+(J42-K42)+(K41-J41)</f>
        <v>9879.34693433069</v>
      </c>
      <c r="L44" s="281" t="n">
        <f aca="false">L36+(K42-L42)+(L41-K41)</f>
        <v>10229.8797459088</v>
      </c>
      <c r="M44" s="352" t="n">
        <f aca="false">M36+(L42-M42)+(M41-L41)</f>
        <v>10589.4057362659</v>
      </c>
      <c r="N44" s="281" t="n">
        <f aca="false">N36+(M42-N42)+(N41-M41)</f>
        <v>9663.94999273741</v>
      </c>
      <c r="O44" s="281" t="n">
        <f aca="false">O36+(N42-O42)+(O41-N41)</f>
        <v>10035.0809343401</v>
      </c>
      <c r="P44" s="281" t="n">
        <f aca="false">P36+(O42-P42)+(P41-O41)</f>
        <v>10416.9003576978</v>
      </c>
      <c r="Q44" s="281" t="n">
        <f aca="false">Q36+(P42-Q42)+(Q41-P41)</f>
        <v>10809.7689962769</v>
      </c>
      <c r="R44" s="352" t="n">
        <f aca="false">R36+(Q42-R42)+(R41-Q41)</f>
        <v>11214.0614115859</v>
      </c>
      <c r="S44" s="281" t="n">
        <f aca="false">S36+(R42-S42)+(S41-R41)</f>
        <v>11630.1665673375</v>
      </c>
      <c r="T44" s="281" t="n">
        <f aca="false">T36+(S42-T42)+(T41-S41)</f>
        <v>12058.4884284867</v>
      </c>
      <c r="U44" s="281" t="n">
        <f aca="false">U36+(T42-U42)+(U41-T41)</f>
        <v>12499.4465862442</v>
      </c>
      <c r="V44" s="281" t="n">
        <f aca="false">V36+(U42-V42)+(V41-U41)</f>
        <v>12953.4769102145</v>
      </c>
      <c r="W44" s="352" t="n">
        <f aca="false">W36+(V42-W42)+(W41-V41)</f>
        <v>13421.0322288594</v>
      </c>
      <c r="X44" s="281" t="n">
        <f aca="false">X36+(W42-X42)+(X41-W41)</f>
        <v>13902.5830395412</v>
      </c>
      <c r="Y44" s="281" t="n">
        <f aca="false">Y36+(X42-Y42)+(Y41-X41)</f>
        <v>14398.6182494555</v>
      </c>
      <c r="Z44" s="281" t="n">
        <f aca="false">Z36+(Y42-Z42)+(Z41-Y41)</f>
        <v>14909.6459488228</v>
      </c>
      <c r="AA44" s="281" t="n">
        <f aca="false">AA36+(Z42-AA42)+(AA41-Z41)</f>
        <v>15436.1942177687</v>
      </c>
      <c r="AB44" s="352" t="n">
        <f aca="false">AB36+(AA42-AB42)+(AB41-AA41)</f>
        <v>15978.8119683863</v>
      </c>
      <c r="AC44" s="281" t="n">
        <f aca="false">AC36+(AB42-AC42)+(AC41-AB41)</f>
        <v>16538.0698235422</v>
      </c>
      <c r="AD44" s="281" t="n">
        <f aca="false">AD36+(AC42-AD42)+(AD41-AC41)</f>
        <v>17114.5610340559</v>
      </c>
      <c r="AE44" s="281" t="n">
        <f aca="false">AE36+(AD42-AE42)+(AE41-AD41)</f>
        <v>17708.9024359558</v>
      </c>
      <c r="AF44" s="281" t="n">
        <f aca="false">AF36+(AE42-AF42)+(AF41-AE41)</f>
        <v>18321.7354495929</v>
      </c>
      <c r="AG44" s="352" t="n">
        <f aca="false">AG36+(AF42-AG42)+(AG41-AF41)</f>
        <v>18953.7271224682</v>
      </c>
      <c r="AH44" s="281" t="n">
        <f aca="false">AH36+(AG42-AH42)+(AH41-AG41)</f>
        <v>19605.5712177199</v>
      </c>
      <c r="AI44" s="281" t="n">
        <f aca="false">AI36+(AH42-AI42)+(AI41-AH41)</f>
        <v>20277.989350297</v>
      </c>
      <c r="AJ44" s="281" t="n">
        <f aca="false">AJ36+(AI42-AJ42)+(AJ41-AI41)</f>
        <v>20850.0366667315</v>
      </c>
      <c r="AK44" s="281" t="n">
        <f aca="false">AK36+(AJ42-AK42)+(AK41-AJ41)</f>
        <v>21221.8392501957</v>
      </c>
      <c r="AL44" s="352" t="n">
        <f aca="false">AL36+(AK42-AL42)+(AL41-AK41)</f>
        <v>21601.077885329</v>
      </c>
      <c r="AM44" s="281" t="n">
        <f aca="false">AM36+(AL42-AM42)+(AM41-AL41)</f>
        <v>21987.901293165</v>
      </c>
      <c r="AN44" s="281" t="n">
        <f aca="false">AN36+(AM42-AN42)+(AN41-AM41)</f>
        <v>22382.4611691578</v>
      </c>
      <c r="AO44" s="281" t="n">
        <f aca="false">AO36+(AN42-AO42)+(AO41-AN41)</f>
        <v>22784.9122426704</v>
      </c>
      <c r="AP44" s="281" t="n">
        <f aca="false">AP36+(AO42-AP42)+(AP41-AO41)</f>
        <v>23195.4123376533</v>
      </c>
      <c r="AQ44" s="281" t="n">
        <f aca="false">AQ36+(AP42-AQ42)+(AQ41-AP41)</f>
        <v>23614.1224345357</v>
      </c>
    </row>
    <row r="45" customFormat="false" ht="15.75" hidden="false" customHeight="true" outlineLevel="0" collapsed="false">
      <c r="B45" s="61" t="s">
        <v>953</v>
      </c>
      <c r="C45" s="347" t="s">
        <v>765</v>
      </c>
      <c r="D45" s="355" t="n">
        <f aca="false">IF(Eigenkapital&gt;0,D44/Eigenkapital,0)</f>
        <v>0.177505353620814</v>
      </c>
      <c r="E45" s="355" t="n">
        <f aca="false">IF(Eigenkapital&gt;0,E44/Eigenkapital,0)</f>
        <v>0.100688659537534</v>
      </c>
      <c r="F45" s="355" t="n">
        <f aca="false">IF(Eigenkapital&gt;0,F44/Eigenkapital,0)</f>
        <v>0.104505755429784</v>
      </c>
      <c r="G45" s="355" t="n">
        <f aca="false">IF(Eigenkapital&gt;0,G44/Eigenkapital,0)</f>
        <v>0.108419496824403</v>
      </c>
      <c r="H45" s="356" t="n">
        <f aca="false">IF(Eigenkapital&gt;0,H44/Eigenkapital,0)</f>
        <v>0.112432547560484</v>
      </c>
      <c r="I45" s="355" t="n">
        <f aca="false">IF(Eigenkapital&gt;0,I44/Eigenkapital,0)</f>
        <v>0.116547651067345</v>
      </c>
      <c r="J45" s="355" t="n">
        <f aca="false">IF(Eigenkapital&gt;0,J44/Eigenkapital,0)</f>
        <v>0.120767632903618</v>
      </c>
      <c r="K45" s="355" t="n">
        <f aca="false">IF(Eigenkapital&gt;0,K44/Eigenkapital,0)</f>
        <v>0.125095403381227</v>
      </c>
      <c r="L45" s="355" t="n">
        <f aca="false">IF(Eigenkapital&gt;0,L44/Eigenkapital,0)</f>
        <v>0.129533960277163</v>
      </c>
      <c r="M45" s="356" t="n">
        <f aca="false">IF(Eigenkapital&gt;0,M44/Eigenkapital,0)</f>
        <v>0.134086391636109</v>
      </c>
      <c r="N45" s="355" t="n">
        <f aca="false">IF(Eigenkapital&gt;0,N44/Eigenkapital,0)</f>
        <v>0.122367979445738</v>
      </c>
      <c r="O45" s="355" t="n">
        <f aca="false">IF(Eigenkapital&gt;0,O44/Eigenkapital,0)</f>
        <v>0.127067356353508</v>
      </c>
      <c r="P45" s="355" t="n">
        <f aca="false">IF(Eigenkapital&gt;0,P44/Eigenkapital,0)</f>
        <v>0.131902074184677</v>
      </c>
      <c r="Q45" s="355" t="n">
        <f aca="false">IF(Eigenkapital&gt;0,Q44/Eigenkapital,0)</f>
        <v>0.136876700660047</v>
      </c>
      <c r="R45" s="356" t="n">
        <f aca="false">IF(Eigenkapital&gt;0,R44/Eigenkapital,0)</f>
        <v>0.141995978595444</v>
      </c>
      <c r="S45" s="355" t="n">
        <f aca="false">IF(Eigenkapital&gt;0,S44/Eigenkapital,0)</f>
        <v>0.147264833171941</v>
      </c>
      <c r="T45" s="355" t="n">
        <f aca="false">IF(Eigenkapital&gt;0,T44/Eigenkapital,0)</f>
        <v>0.15268837952107</v>
      </c>
      <c r="U45" s="355" t="n">
        <f aca="false">IF(Eigenkapital&gt;0,U44/Eigenkapital,0)</f>
        <v>0.158271930638931</v>
      </c>
      <c r="V45" s="355" t="n">
        <f aca="false">IF(Eigenkapital&gt;0,V44/Eigenkapital,0)</f>
        <v>0.164021005643778</v>
      </c>
      <c r="W45" s="356" t="n">
        <f aca="false">IF(Eigenkapital&gt;0,W44/Eigenkapital,0)</f>
        <v>0.169941338392258</v>
      </c>
      <c r="X45" s="355" t="n">
        <f aca="false">IF(Eigenkapital&gt;0,X44/Eigenkapital,0)</f>
        <v>0.176038886470205</v>
      </c>
      <c r="Y45" s="355" t="n">
        <f aca="false">IF(Eigenkapital&gt;0,Y44/Eigenkapital,0)</f>
        <v>0.182319840574559</v>
      </c>
      <c r="Z45" s="355" t="n">
        <f aca="false">IF(Eigenkapital&gt;0,Z44/Eigenkapital,0)</f>
        <v>0.188790634303767</v>
      </c>
      <c r="AA45" s="355" t="n">
        <f aca="false">IF(Eigenkapital&gt;0,AA44/Eigenkapital,0)</f>
        <v>0.19545795437475</v>
      </c>
      <c r="AB45" s="356" t="n">
        <f aca="false">IF(Eigenkapital&gt;0,AB44/Eigenkapital,0)</f>
        <v>0.202328751285368</v>
      </c>
      <c r="AC45" s="355" t="n">
        <f aca="false">IF(Eigenkapital&gt;0,AC44/Eigenkapital,0)</f>
        <v>0.209410250442132</v>
      </c>
      <c r="AD45" s="355" t="n">
        <f aca="false">IF(Eigenkapital&gt;0,AD44/Eigenkapital,0)</f>
        <v>0.216709963773824</v>
      </c>
      <c r="AE45" s="355" t="n">
        <f aca="false">IF(Eigenkapital&gt;0,AE44/Eigenkapital,0)</f>
        <v>0.224235701852571</v>
      </c>
      <c r="AF45" s="355" t="n">
        <f aca="false">IF(Eigenkapital&gt;0,AF44/Eigenkapital,0)</f>
        <v>0.231995586544934</v>
      </c>
      <c r="AG45" s="356" t="n">
        <f aca="false">IF(Eigenkapital&gt;0,AG44/Eigenkapital,0)</f>
        <v>0.239998064216528</v>
      </c>
      <c r="AH45" s="355" t="n">
        <f aca="false">IF(Eigenkapital&gt;0,AH44/Eigenkapital,0)</f>
        <v>0.248251919514779</v>
      </c>
      <c r="AI45" s="355" t="n">
        <f aca="false">IF(Eigenkapital&gt;0,AI44/Eigenkapital,0)</f>
        <v>0.256766289755516</v>
      </c>
      <c r="AJ45" s="355" t="n">
        <f aca="false">IF(Eigenkapital&gt;0,AJ44/Eigenkapital,0)</f>
        <v>0.264009733100324</v>
      </c>
      <c r="AK45" s="355" t="n">
        <f aca="false">IF(Eigenkapital&gt;0,AK44/Eigenkapital,0)</f>
        <v>0.268717614548945</v>
      </c>
      <c r="AL45" s="356" t="n">
        <f aca="false">IF(Eigenkapital&gt;0,AL44/Eigenkapital,0)</f>
        <v>0.273519653626537</v>
      </c>
      <c r="AM45" s="355" t="n">
        <f aca="false">IF(Eigenkapital&gt;0,AM44/Eigenkapital,0)</f>
        <v>0.278417733485682</v>
      </c>
      <c r="AN45" s="355" t="n">
        <f aca="false">IF(Eigenkapital&gt;0,AN44/Eigenkapital,0)</f>
        <v>0.28341377494201</v>
      </c>
      <c r="AO45" s="355" t="n">
        <f aca="false">IF(Eigenkapital&gt;0,AO44/Eigenkapital,0)</f>
        <v>0.288509737227464</v>
      </c>
      <c r="AP45" s="355" t="n">
        <f aca="false">IF(Eigenkapital&gt;0,AP44/Eigenkapital,0)</f>
        <v>0.293707618758629</v>
      </c>
      <c r="AQ45" s="355" t="n">
        <f aca="false">IF(Eigenkapital&gt;0,AQ44/Eigenkapital,0)</f>
        <v>0.299009457920414</v>
      </c>
    </row>
    <row r="46" customFormat="false" ht="15.75" hidden="false" customHeight="true" outlineLevel="0" collapsed="false">
      <c r="B46" s="280" t="s">
        <v>760</v>
      </c>
      <c r="C46" s="351" t="s">
        <v>753</v>
      </c>
      <c r="D46" s="281" t="n">
        <f aca="false">Steuern!D74</f>
        <v>-8510.39654952701</v>
      </c>
      <c r="E46" s="281" t="n">
        <f aca="false">Steuern!E74</f>
        <v>-10484.073092174</v>
      </c>
      <c r="F46" s="281" t="n">
        <f aca="false">Steuern!F74</f>
        <v>-12276.7596743634</v>
      </c>
      <c r="G46" s="281" t="n">
        <f aca="false">Steuern!G74</f>
        <v>-13883.4562823222</v>
      </c>
      <c r="H46" s="352" t="n">
        <f aca="false">Steuern!H74</f>
        <v>-15299.0132142777</v>
      </c>
      <c r="I46" s="281" t="n">
        <f aca="false">Steuern!I74</f>
        <v>-16518.1262979393</v>
      </c>
      <c r="J46" s="281" t="n">
        <f aca="false">Steuern!J74</f>
        <v>-17535.3319479348</v>
      </c>
      <c r="K46" s="281" t="n">
        <f aca="false">Steuern!K74</f>
        <v>-18345.002057682</v>
      </c>
      <c r="L46" s="281" t="n">
        <f aca="false">Steuern!L74</f>
        <v>-18941.3387199825</v>
      </c>
      <c r="M46" s="352" t="n">
        <f aca="false">Steuern!M74</f>
        <v>-19318.3687704234</v>
      </c>
      <c r="N46" s="281" t="n">
        <f aca="false">Steuern!N74</f>
        <v>-19895.35307105</v>
      </c>
      <c r="O46" s="281" t="n">
        <f aca="false">Steuern!O74</f>
        <v>-20246.6841332663</v>
      </c>
      <c r="P46" s="281" t="n">
        <f aca="false">Steuern!P74</f>
        <v>-20365.0377362495</v>
      </c>
      <c r="Q46" s="281" t="n">
        <f aca="false">Steuern!Q74</f>
        <v>-20242.8166727374</v>
      </c>
      <c r="R46" s="352" t="n">
        <f aca="false">Steuern!R74</f>
        <v>-19872.1395967094</v>
      </c>
      <c r="S46" s="281" t="n">
        <f aca="false">Steuern!S74</f>
        <v>-19244.8293918534</v>
      </c>
      <c r="T46" s="281" t="n">
        <f aca="false">Steuern!T74</f>
        <v>-18352.401039708</v>
      </c>
      <c r="U46" s="281" t="n">
        <f aca="false">Steuern!U74</f>
        <v>-17186.048965428</v>
      </c>
      <c r="V46" s="281" t="n">
        <f aca="false">Steuern!V74</f>
        <v>-15736.6338381359</v>
      </c>
      <c r="W46" s="352" t="n">
        <f aca="false">Steuern!W74</f>
        <v>-13994.6688017967</v>
      </c>
      <c r="X46" s="281" t="n">
        <f aca="false">Steuern!X74</f>
        <v>-11950.3051114812</v>
      </c>
      <c r="Y46" s="281" t="n">
        <f aca="false">Steuern!Y74</f>
        <v>-9593.31714875779</v>
      </c>
      <c r="Z46" s="281" t="n">
        <f aca="false">Steuern!Z74</f>
        <v>-6913.08678878545</v>
      </c>
      <c r="AA46" s="281" t="n">
        <f aca="false">Steuern!AA74</f>
        <v>-3898.58709045361</v>
      </c>
      <c r="AB46" s="352" t="n">
        <f aca="false">Steuern!AB74</f>
        <v>-538.365279637037</v>
      </c>
      <c r="AC46" s="281" t="n">
        <f aca="false">Steuern!AC74</f>
        <v>3179.47500570309</v>
      </c>
      <c r="AD46" s="281" t="n">
        <f aca="false">Steuern!AD74</f>
        <v>7267.29224123689</v>
      </c>
      <c r="AE46" s="281" t="n">
        <f aca="false">Steuern!AE74</f>
        <v>11737.926346926</v>
      </c>
      <c r="AF46" s="281" t="n">
        <f aca="false">Steuern!AF74</f>
        <v>16604.7188582743</v>
      </c>
      <c r="AG46" s="352" t="n">
        <f aca="false">Steuern!AG74</f>
        <v>21881.5339754104</v>
      </c>
      <c r="AH46" s="281" t="n">
        <f aca="false">Steuern!AH74</f>
        <v>27582.7805289061</v>
      </c>
      <c r="AI46" s="281" t="n">
        <f aca="false">Steuern!AI74</f>
        <v>33723.4349029752</v>
      </c>
      <c r="AJ46" s="281" t="n">
        <f aca="false">Steuern!AJ74</f>
        <v>40214.3131464469</v>
      </c>
      <c r="AK46" s="281" t="n">
        <f aca="false">Steuern!AK74</f>
        <v>46880.2071046585</v>
      </c>
      <c r="AL46" s="352" t="n">
        <f aca="false">Steuern!AL74</f>
        <v>53724.617091905</v>
      </c>
      <c r="AM46" s="281" t="n">
        <f aca="false">Steuern!AM74</f>
        <v>60751.1134287669</v>
      </c>
      <c r="AN46" s="281" t="n">
        <f aca="false">Steuern!AN74</f>
        <v>67963.3378422365</v>
      </c>
      <c r="AO46" s="281" t="n">
        <f aca="false">Steuern!AO74</f>
        <v>75365.0048938462</v>
      </c>
      <c r="AP46" s="281" t="n">
        <f aca="false">Steuern!AP74</f>
        <v>82959.9034363585</v>
      </c>
      <c r="AQ46" s="281" t="n">
        <f aca="false">Steuern!AQ74</f>
        <v>90751.8980995917</v>
      </c>
    </row>
    <row r="47" customFormat="false" ht="12" hidden="false" customHeight="tru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customFormat="false" ht="24" hidden="false" customHeight="true" outlineLevel="0" collapsed="false">
      <c r="B48" s="33" t="s">
        <v>954</v>
      </c>
      <c r="C48" s="35" t="s">
        <v>659</v>
      </c>
      <c r="D48" s="264"/>
      <c r="E48" s="264"/>
      <c r="F48" s="264"/>
      <c r="G48" s="264"/>
      <c r="H48" s="346"/>
      <c r="I48" s="264"/>
      <c r="J48" s="264"/>
      <c r="K48" s="264"/>
      <c r="L48" s="264"/>
      <c r="M48" s="346"/>
      <c r="N48" s="264"/>
      <c r="O48" s="264"/>
      <c r="P48" s="264"/>
      <c r="Q48" s="264"/>
      <c r="R48" s="346"/>
      <c r="S48" s="264"/>
      <c r="T48" s="264"/>
      <c r="U48" s="264"/>
      <c r="V48" s="264"/>
      <c r="W48" s="346"/>
      <c r="X48" s="264"/>
      <c r="Y48" s="264"/>
      <c r="Z48" s="264"/>
      <c r="AA48" s="264"/>
      <c r="AB48" s="346"/>
      <c r="AC48" s="264"/>
      <c r="AD48" s="264"/>
      <c r="AE48" s="264"/>
      <c r="AF48" s="264"/>
      <c r="AG48" s="346"/>
      <c r="AH48" s="264"/>
      <c r="AI48" s="264"/>
      <c r="AJ48" s="264"/>
      <c r="AK48" s="264"/>
      <c r="AL48" s="346"/>
      <c r="AM48" s="264"/>
      <c r="AN48" s="264"/>
      <c r="AO48" s="264"/>
      <c r="AP48" s="264"/>
      <c r="AQ48" s="264"/>
    </row>
    <row r="49" customFormat="false" ht="18" hidden="false" customHeight="true" outlineLevel="0" collapsed="false">
      <c r="B49" s="73" t="s">
        <v>955</v>
      </c>
      <c r="C49" s="213" t="n">
        <f aca="false">-Eigenkapital</f>
        <v>-78974.5</v>
      </c>
      <c r="D49" s="213" t="n">
        <f aca="false">IF(D9&lt;Haltedauer,D36,IF(D9=Haltedauer,D36+Exit_Netto,0))</f>
        <v>3078.39654952701</v>
      </c>
      <c r="E49" s="213" t="n">
        <f aca="false">IF(E9&lt;Haltedauer,E36,IF(E9=Haltedauer,E36+Exit_Netto,0))</f>
        <v>-3286.96345735299</v>
      </c>
      <c r="F49" s="213" t="n">
        <f aca="false">IF(F9&lt;Haltedauer,F36,IF(F9=Haltedauer,F36+Exit_Netto,0))</f>
        <v>-3293.16621781059</v>
      </c>
      <c r="G49" s="213" t="n">
        <f aca="false">IF(G9&lt;Haltedauer,G36,IF(G9=Haltedauer,G36+Exit_Netto,0))</f>
        <v>-3300.87324804118</v>
      </c>
      <c r="H49" s="354" t="n">
        <f aca="false">IF(H9&lt;Haltedauer,H36,IF(H9=Haltedauer,H36+Exit_Netto,0))</f>
        <v>-3310.16432116452</v>
      </c>
      <c r="I49" s="213" t="n">
        <f aca="false">IF(I9&lt;Haltedauer,I36,IF(I9=Haltedauer,I36+Exit_Netto,0))</f>
        <v>-3321.12259452085</v>
      </c>
      <c r="J49" s="213" t="n">
        <f aca="false">IF(J9&lt;Haltedauer,J36,IF(J9=Haltedauer,J36+Exit_Netto,0))</f>
        <v>-3333.83474175054</v>
      </c>
      <c r="K49" s="213" t="n">
        <f aca="false">IF(K9&lt;Haltedauer,K36,IF(K9=Haltedauer,K36+Exit_Netto,0))</f>
        <v>-3348.39108983371</v>
      </c>
      <c r="L49" s="213" t="n">
        <f aca="false">IF(L9&lt;Haltedauer,L36,IF(L9=Haltedauer,L36+Exit_Netto,0))</f>
        <v>-3364.88576127213</v>
      </c>
      <c r="M49" s="354" t="n">
        <f aca="false">IF(M9&lt;Haltedauer,M36,IF(M9=Haltedauer,M36+Exit_Netto,0))</f>
        <v>-3383.41682160308</v>
      </c>
      <c r="N49" s="213" t="n">
        <f aca="false">IF(N9&lt;Haltedauer,N36,IF(N9=Haltedauer,N36+Exit_Netto,0))</f>
        <v>-2978.67150885839</v>
      </c>
      <c r="O49" s="213" t="n">
        <f aca="false">IF(O9&lt;Haltedauer,O36,IF(O9=Haltedauer,O36+Exit_Netto,0))</f>
        <v>186114.458844165</v>
      </c>
      <c r="P49" s="213" t="n">
        <f aca="false">IF(P9&lt;Haltedauer,P36,IF(P9=Haltedauer,P36+Exit_Netto,0))</f>
        <v>0</v>
      </c>
      <c r="Q49" s="213" t="n">
        <f aca="false">IF(Q9&lt;Haltedauer,Q36,IF(Q9=Haltedauer,Q36+Exit_Netto,0))</f>
        <v>0</v>
      </c>
      <c r="R49" s="354" t="n">
        <f aca="false">IF(R9&lt;Haltedauer,R36,IF(R9=Haltedauer,R36+Exit_Netto,0))</f>
        <v>0</v>
      </c>
      <c r="S49" s="213" t="n">
        <f aca="false">IF(S9&lt;Haltedauer,S36,IF(S9=Haltedauer,S36+Exit_Netto,0))</f>
        <v>0</v>
      </c>
      <c r="T49" s="213" t="n">
        <f aca="false">IF(T9&lt;Haltedauer,T36,IF(T9=Haltedauer,T36+Exit_Netto,0))</f>
        <v>0</v>
      </c>
      <c r="U49" s="213" t="n">
        <f aca="false">IF(U9&lt;Haltedauer,U36,IF(U9=Haltedauer,U36+Exit_Netto,0))</f>
        <v>0</v>
      </c>
      <c r="V49" s="213" t="n">
        <f aca="false">IF(V9&lt;Haltedauer,V36,IF(V9=Haltedauer,V36+Exit_Netto,0))</f>
        <v>0</v>
      </c>
      <c r="W49" s="354" t="n">
        <f aca="false">IF(W9&lt;Haltedauer,W36,IF(W9=Haltedauer,W36+Exit_Netto,0))</f>
        <v>0</v>
      </c>
      <c r="X49" s="213" t="n">
        <f aca="false">IF(X9&lt;Haltedauer,X36,IF(X9=Haltedauer,X36+Exit_Netto,0))</f>
        <v>0</v>
      </c>
      <c r="Y49" s="213" t="n">
        <f aca="false">IF(Y9&lt;Haltedauer,Y36,IF(Y9=Haltedauer,Y36+Exit_Netto,0))</f>
        <v>0</v>
      </c>
      <c r="Z49" s="213" t="n">
        <f aca="false">IF(Z9&lt;Haltedauer,Z36,IF(Z9=Haltedauer,Z36+Exit_Netto,0))</f>
        <v>0</v>
      </c>
      <c r="AA49" s="213" t="n">
        <f aca="false">IF(AA9&lt;Haltedauer,AA36,IF(AA9=Haltedauer,AA36+Exit_Netto,0))</f>
        <v>0</v>
      </c>
      <c r="AB49" s="354" t="n">
        <f aca="false">IF(AB9&lt;Haltedauer,AB36,IF(AB9=Haltedauer,AB36+Exit_Netto,0))</f>
        <v>0</v>
      </c>
      <c r="AC49" s="213" t="n">
        <f aca="false">IF(AC9&lt;Haltedauer,AC36,IF(AC9=Haltedauer,AC36+Exit_Netto,0))</f>
        <v>0</v>
      </c>
      <c r="AD49" s="213" t="n">
        <f aca="false">IF(AD9&lt;Haltedauer,AD36,IF(AD9=Haltedauer,AD36+Exit_Netto,0))</f>
        <v>0</v>
      </c>
      <c r="AE49" s="213" t="n">
        <f aca="false">IF(AE9&lt;Haltedauer,AE36,IF(AE9=Haltedauer,AE36+Exit_Netto,0))</f>
        <v>0</v>
      </c>
      <c r="AF49" s="213" t="n">
        <f aca="false">IF(AF9&lt;Haltedauer,AF36,IF(AF9=Haltedauer,AF36+Exit_Netto,0))</f>
        <v>0</v>
      </c>
      <c r="AG49" s="354" t="n">
        <f aca="false">IF(AG9&lt;Haltedauer,AG36,IF(AG9=Haltedauer,AG36+Exit_Netto,0))</f>
        <v>0</v>
      </c>
      <c r="AH49" s="213" t="n">
        <f aca="false">IF(AH9&lt;Haltedauer,AH36,IF(AH9=Haltedauer,AH36+Exit_Netto,0))</f>
        <v>0</v>
      </c>
      <c r="AI49" s="213" t="n">
        <f aca="false">IF(AI9&lt;Haltedauer,AI36,IF(AI9=Haltedauer,AI36+Exit_Netto,0))</f>
        <v>0</v>
      </c>
      <c r="AJ49" s="213" t="n">
        <f aca="false">IF(AJ9&lt;Haltedauer,AJ36,IF(AJ9=Haltedauer,AJ36+Exit_Netto,0))</f>
        <v>0</v>
      </c>
      <c r="AK49" s="213" t="n">
        <f aca="false">IF(AK9&lt;Haltedauer,AK36,IF(AK9=Haltedauer,AK36+Exit_Netto,0))</f>
        <v>0</v>
      </c>
      <c r="AL49" s="354" t="n">
        <f aca="false">IF(AL9&lt;Haltedauer,AL36,IF(AL9=Haltedauer,AL36+Exit_Netto,0))</f>
        <v>0</v>
      </c>
      <c r="AM49" s="213" t="n">
        <f aca="false">IF(AM9&lt;Haltedauer,AM36,IF(AM9=Haltedauer,AM36+Exit_Netto,0))</f>
        <v>0</v>
      </c>
      <c r="AN49" s="213" t="n">
        <f aca="false">IF(AN9&lt;Haltedauer,AN36,IF(AN9=Haltedauer,AN36+Exit_Netto,0))</f>
        <v>0</v>
      </c>
      <c r="AO49" s="213" t="n">
        <f aca="false">IF(AO9&lt;Haltedauer,AO36,IF(AO9=Haltedauer,AO36+Exit_Netto,0))</f>
        <v>0</v>
      </c>
      <c r="AP49" s="213" t="n">
        <f aca="false">IF(AP9&lt;Haltedauer,AP36,IF(AP9=Haltedauer,AP36+Exit_Netto,0))</f>
        <v>0</v>
      </c>
      <c r="AQ49" s="213" t="n">
        <f aca="false">IF(AQ9&lt;Haltedauer,AQ36,IF(AQ9=Haltedauer,AQ36+Exit_Netto,0))</f>
        <v>0</v>
      </c>
    </row>
    <row r="50" customFormat="false" ht="12" hidden="false" customHeight="tru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customFormat="false" ht="18" hidden="false" customHeight="true" outlineLevel="0" collapsed="false">
      <c r="B51" s="79" t="s">
        <v>91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6"/>
      <c r="AK51" s="216"/>
      <c r="AL51" s="216"/>
      <c r="AM51" s="216"/>
      <c r="AN51" s="216"/>
      <c r="AO51" s="216"/>
      <c r="AP51" s="216"/>
      <c r="AQ51" s="216"/>
    </row>
    <row r="52" customFormat="false" ht="13.5" hidden="false" customHeight="true" outlineLevel="0" collapsed="false">
      <c r="B52" s="81" t="s">
        <v>92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</row>
  </sheetData>
  <sheetProtection sheet="true" objects="1" formatColumns="false" formatRows="false"/>
  <mergeCells count="4">
    <mergeCell ref="D6:M6"/>
    <mergeCell ref="D7:M7"/>
    <mergeCell ref="B51:M51"/>
    <mergeCell ref="B52:M52"/>
  </mergeCells>
  <conditionalFormatting sqref="D8:AQ10">
    <cfRule type="expression" priority="2" aboveAverage="0" equalAverage="0" bottom="0" percent="0" rank="0" text="" dxfId="24">
      <formula>D$9=Haltedauer</formula>
    </cfRule>
    <cfRule type="expression" priority="3" aboveAverage="0" equalAverage="0" bottom="0" percent="0" rank="0" text="" dxfId="3">
      <formula>1</formula>
    </cfRule>
  </conditionalFormatting>
  <conditionalFormatting sqref="D15:AQ15">
    <cfRule type="expression" priority="4" aboveAverage="0" equalAverage="0" bottom="0" percent="0" rank="0" text="" dxfId="25">
      <formula>AND(D15&lt;0,D$9=Haltedauer)</formula>
    </cfRule>
    <cfRule type="expression" priority="5" aboveAverage="0" equalAverage="0" bottom="0" percent="0" rank="0" text="" dxfId="4">
      <formula>D15&lt;0</formula>
    </cfRule>
    <cfRule type="expression" priority="6" aboveAverage="0" equalAverage="0" bottom="0" percent="0" rank="0" text="" dxfId="26">
      <formula>D$9=Haltedauer</formula>
    </cfRule>
    <cfRule type="expression" priority="7" aboveAverage="0" equalAverage="0" bottom="0" percent="0" rank="0" text="" dxfId="27">
      <formula>1</formula>
    </cfRule>
    <cfRule type="expression" priority="8" aboveAverage="0" equalAverage="0" bottom="0" percent="0" rank="0" text="" dxfId="3">
      <formula>1</formula>
    </cfRule>
  </conditionalFormatting>
  <conditionalFormatting sqref="D29:AQ29">
    <cfRule type="expression" priority="9" aboveAverage="0" equalAverage="0" bottom="0" percent="0" rank="0" text="" dxfId="25">
      <formula>AND(D29&lt;0,D$9=Haltedauer)</formula>
    </cfRule>
    <cfRule type="expression" priority="10" aboveAverage="0" equalAverage="0" bottom="0" percent="0" rank="0" text="" dxfId="4">
      <formula>D29&lt;0</formula>
    </cfRule>
    <cfRule type="expression" priority="11" aboveAverage="0" equalAverage="0" bottom="0" percent="0" rank="0" text="" dxfId="26">
      <formula>D$9=Haltedauer</formula>
    </cfRule>
    <cfRule type="expression" priority="12" aboveAverage="0" equalAverage="0" bottom="0" percent="0" rank="0" text="" dxfId="27">
      <formula>1</formula>
    </cfRule>
    <cfRule type="expression" priority="13" aboveAverage="0" equalAverage="0" bottom="0" percent="0" rank="0" text="" dxfId="3">
      <formula>1</formula>
    </cfRule>
  </conditionalFormatting>
  <conditionalFormatting sqref="D33:AQ33">
    <cfRule type="expression" priority="14" aboveAverage="0" equalAverage="0" bottom="0" percent="0" rank="0" text="" dxfId="25">
      <formula>AND(D33&lt;0,D$9=Haltedauer)</formula>
    </cfRule>
    <cfRule type="expression" priority="15" aboveAverage="0" equalAverage="0" bottom="0" percent="0" rank="0" text="" dxfId="4">
      <formula>D33&lt;0</formula>
    </cfRule>
    <cfRule type="expression" priority="16" aboveAverage="0" equalAverage="0" bottom="0" percent="0" rank="0" text="" dxfId="26">
      <formula>D$9=Haltedauer</formula>
    </cfRule>
    <cfRule type="expression" priority="17" aboveAverage="0" equalAverage="0" bottom="0" percent="0" rank="0" text="" dxfId="27">
      <formula>1</formula>
    </cfRule>
    <cfRule type="expression" priority="18" aboveAverage="0" equalAverage="0" bottom="0" percent="0" rank="0" text="" dxfId="3">
      <formula>1</formula>
    </cfRule>
  </conditionalFormatting>
  <conditionalFormatting sqref="D34:AQ34">
    <cfRule type="expression" priority="19" aboveAverage="0" equalAverage="0" bottom="0" percent="0" rank="0" text="" dxfId="25">
      <formula>AND(D34&lt;0,D$9=Haltedauer)</formula>
    </cfRule>
    <cfRule type="expression" priority="20" aboveAverage="0" equalAverage="0" bottom="0" percent="0" rank="0" text="" dxfId="4">
      <formula>D34&lt;0</formula>
    </cfRule>
    <cfRule type="expression" priority="21" aboveAverage="0" equalAverage="0" bottom="0" percent="0" rank="0" text="" dxfId="28">
      <formula>D$9=Haltedauer</formula>
    </cfRule>
    <cfRule type="expression" priority="22" aboveAverage="0" equalAverage="0" bottom="0" percent="0" rank="0" text="" dxfId="29">
      <formula>1</formula>
    </cfRule>
    <cfRule type="expression" priority="23" aboveAverage="0" equalAverage="0" bottom="0" percent="0" rank="0" text="" dxfId="3">
      <formula>1</formula>
    </cfRule>
  </conditionalFormatting>
  <conditionalFormatting sqref="D36:AQ36">
    <cfRule type="expression" priority="24" aboveAverage="0" equalAverage="0" bottom="0" percent="0" rank="0" text="" dxfId="30">
      <formula>AND(D36&lt;0,D$9=Haltedauer)</formula>
    </cfRule>
    <cfRule type="expression" priority="25" aboveAverage="0" equalAverage="0" bottom="0" percent="0" rank="0" text="" dxfId="0">
      <formula>D36&lt;0</formula>
    </cfRule>
    <cfRule type="expression" priority="26" aboveAverage="0" equalAverage="0" bottom="0" percent="0" rank="0" text="" dxfId="31">
      <formula>D$9=Haltedauer</formula>
    </cfRule>
    <cfRule type="expression" priority="27" aboveAverage="0" equalAverage="0" bottom="0" percent="0" rank="0" text="" dxfId="27">
      <formula>1</formula>
    </cfRule>
    <cfRule type="expression" priority="28" aboveAverage="0" equalAverage="0" bottom="0" percent="0" rank="0" text="" dxfId="3">
      <formula>1</formula>
    </cfRule>
  </conditionalFormatting>
  <conditionalFormatting sqref="D37:AQ37">
    <cfRule type="expression" priority="29" aboveAverage="0" equalAverage="0" bottom="0" percent="0" rank="0" text="" dxfId="25">
      <formula>AND(D37&lt;0,D$9=Haltedauer)</formula>
    </cfRule>
    <cfRule type="expression" priority="30" aboveAverage="0" equalAverage="0" bottom="0" percent="0" rank="0" text="" dxfId="4">
      <formula>D37&lt;0</formula>
    </cfRule>
    <cfRule type="expression" priority="31" aboveAverage="0" equalAverage="0" bottom="0" percent="0" rank="0" text="" dxfId="28">
      <formula>D$9=Haltedauer</formula>
    </cfRule>
    <cfRule type="expression" priority="32" aboveAverage="0" equalAverage="0" bottom="0" percent="0" rank="0" text="" dxfId="29">
      <formula>1</formula>
    </cfRule>
    <cfRule type="expression" priority="33" aboveAverage="0" equalAverage="0" bottom="0" percent="0" rank="0" text="" dxfId="3">
      <formula>1</formula>
    </cfRule>
  </conditionalFormatting>
  <conditionalFormatting sqref="D38:AQ38">
    <cfRule type="expression" priority="34" aboveAverage="0" equalAverage="0" bottom="0" percent="0" rank="0" text="" dxfId="25">
      <formula>AND(D38&lt;0,D$9=Haltedauer)</formula>
    </cfRule>
    <cfRule type="expression" priority="35" aboveAverage="0" equalAverage="0" bottom="0" percent="0" rank="0" text="" dxfId="4">
      <formula>D38&lt;0</formula>
    </cfRule>
    <cfRule type="expression" priority="36" aboveAverage="0" equalAverage="0" bottom="0" percent="0" rank="0" text="" dxfId="28">
      <formula>D$9=Haltedauer</formula>
    </cfRule>
    <cfRule type="expression" priority="37" aboveAverage="0" equalAverage="0" bottom="0" percent="0" rank="0" text="" dxfId="29">
      <formula>1</formula>
    </cfRule>
    <cfRule type="expression" priority="38" aboveAverage="0" equalAverage="0" bottom="0" percent="0" rank="0" text="" dxfId="3">
      <formula>1</formula>
    </cfRule>
  </conditionalFormatting>
  <conditionalFormatting sqref="D43:AQ43">
    <cfRule type="expression" priority="39" aboveAverage="0" equalAverage="0" bottom="0" percent="0" rank="0" text="" dxfId="30">
      <formula>AND(D43&lt;0,D$9=Haltedauer)</formula>
    </cfRule>
    <cfRule type="expression" priority="40" aboveAverage="0" equalAverage="0" bottom="0" percent="0" rank="0" text="" dxfId="0">
      <formula>D43&lt;0</formula>
    </cfRule>
    <cfRule type="expression" priority="41" aboveAverage="0" equalAverage="0" bottom="0" percent="0" rank="0" text="" dxfId="31">
      <formula>D$9=Haltedauer</formula>
    </cfRule>
    <cfRule type="expression" priority="42" aboveAverage="0" equalAverage="0" bottom="0" percent="0" rank="0" text="" dxfId="27">
      <formula>1</formula>
    </cfRule>
    <cfRule type="expression" priority="43" aboveAverage="0" equalAverage="0" bottom="0" percent="0" rank="0" text="" dxfId="3">
      <formula>1</formula>
    </cfRule>
  </conditionalFormatting>
  <conditionalFormatting sqref="D44:AQ44">
    <cfRule type="expression" priority="44" aboveAverage="0" equalAverage="0" bottom="0" percent="0" rank="0" text="" dxfId="25">
      <formula>AND(D44&lt;0,D$9=Haltedauer)</formula>
    </cfRule>
    <cfRule type="expression" priority="45" aboveAverage="0" equalAverage="0" bottom="0" percent="0" rank="0" text="" dxfId="4">
      <formula>D44&lt;0</formula>
    </cfRule>
    <cfRule type="expression" priority="46" aboveAverage="0" equalAverage="0" bottom="0" percent="0" rank="0" text="" dxfId="28">
      <formula>D$9=Haltedauer</formula>
    </cfRule>
    <cfRule type="expression" priority="47" aboveAverage="0" equalAverage="0" bottom="0" percent="0" rank="0" text="" dxfId="29">
      <formula>1</formula>
    </cfRule>
    <cfRule type="expression" priority="48" aboveAverage="0" equalAverage="0" bottom="0" percent="0" rank="0" text="" dxfId="3">
      <formula>1</formula>
    </cfRule>
  </conditionalFormatting>
  <conditionalFormatting sqref="D49:AQ49">
    <cfRule type="expression" priority="49" aboveAverage="0" equalAverage="0" bottom="0" percent="0" rank="0" text="" dxfId="30">
      <formula>AND(D49&lt;0,D$9=Haltedauer)</formula>
    </cfRule>
    <cfRule type="expression" priority="50" aboveAverage="0" equalAverage="0" bottom="0" percent="0" rank="0" text="" dxfId="0">
      <formula>D49&lt;0</formula>
    </cfRule>
    <cfRule type="expression" priority="51" aboveAverage="0" equalAverage="0" bottom="0" percent="0" rank="0" text="" dxfId="31">
      <formula>D$9=Haltedauer</formula>
    </cfRule>
    <cfRule type="expression" priority="52" aboveAverage="0" equalAverage="0" bottom="0" percent="0" rank="0" text="" dxfId="27">
      <formula>1</formula>
    </cfRule>
    <cfRule type="expression" priority="53" aboveAverage="0" equalAverage="0" bottom="0" percent="0" rank="0" text="" dxfId="3">
      <formula>1</formula>
    </cfRule>
  </conditionalFormatting>
  <conditionalFormatting sqref="C49">
    <cfRule type="expression" priority="54" aboveAverage="0" equalAverage="0" bottom="0" percent="0" rank="0" text="" dxfId="4">
      <formula>AND(ISNUMBER(C49),C49&lt;0)</formula>
    </cfRule>
    <cfRule type="expression" priority="55" aboveAverage="0" equalAverage="0" bottom="0" percent="0" rank="0" text="" dxfId="3">
      <formula>1</formula>
    </cfRule>
  </conditionalFormatting>
  <conditionalFormatting sqref="D11:AQ49">
    <cfRule type="expression" priority="56" aboveAverage="0" equalAverage="0" bottom="0" percent="0" rank="0" text="" dxfId="32">
      <formula>D$9=Haltedauer</formula>
    </cfRule>
    <cfRule type="expression" priority="57" aboveAverage="0" equalAverage="0" bottom="0" percent="0" rank="0" text="" dxfId="3">
      <formula>1</formula>
    </cfRule>
  </conditionalFormatting>
  <hyperlinks>
    <hyperlink ref="B5" location="'Start'!A4" display="BERECHNUNG  ›  PROJEKTION"/>
    <hyperlink ref="D6" location="'S11 Prognose &amp; Exit'!A4" display="Eingaben dazu: S11 Prognose &amp; Exit  ›"/>
    <hyperlink ref="C12" location="'Projektion'!D11" display="↑ Übersicht"/>
    <hyperlink ref="C19" location="'Projektion'!D11" display="↑ Übersicht"/>
    <hyperlink ref="C28" location="'Projektion'!D11" display="↑ Übersicht"/>
    <hyperlink ref="C40" location="'Projektion'!D11" display="↑ Übersicht"/>
    <hyperlink ref="C48" location="'Projektion'!D11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9" man="true" max="16383" min="0"/>
  </rowBreaks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outlinePr summaryBelow="0" summaryRight="1"/>
    <pageSetUpPr fitToPage="false"/>
  </sheetPr>
  <dimension ref="A1:AQ10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8.6796875" defaultRowHeight="15" zeroHeight="false" outlineLevelRow="2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4"/>
      <c r="H2" s="6"/>
      <c r="I2" s="6"/>
      <c r="J2" s="6"/>
      <c r="K2" s="6"/>
      <c r="L2" s="6"/>
      <c r="M2" s="6"/>
      <c r="N2" s="6"/>
      <c r="O2" s="6"/>
      <c r="P2" s="6"/>
      <c r="Q2" s="8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customFormat="false" ht="12" hidden="false" customHeight="true" outlineLevel="0" collapsed="false"/>
    <row r="5" customFormat="false" ht="18" hidden="false" customHeight="true" outlineLevel="0" collapsed="false">
      <c r="B5" s="102" t="s">
        <v>956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104" t="s">
        <v>957</v>
      </c>
      <c r="C6" s="9"/>
      <c r="D6" s="332" t="s">
        <v>958</v>
      </c>
      <c r="E6" s="332"/>
      <c r="F6" s="332"/>
      <c r="G6" s="332"/>
      <c r="H6" s="332"/>
      <c r="I6" s="332"/>
      <c r="J6" s="332"/>
      <c r="K6" s="332"/>
      <c r="L6" s="332"/>
      <c r="M6" s="33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333" t="s">
        <v>959</v>
      </c>
      <c r="C7" s="9"/>
      <c r="D7" s="334" t="s">
        <v>960</v>
      </c>
      <c r="E7" s="334"/>
      <c r="F7" s="334"/>
      <c r="G7" s="334"/>
      <c r="H7" s="334"/>
      <c r="I7" s="334"/>
      <c r="J7" s="334"/>
      <c r="K7" s="334"/>
      <c r="L7" s="334"/>
      <c r="M7" s="33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24" hidden="false" customHeight="true" outlineLevel="0" collapsed="false">
      <c r="B8" s="33" t="s">
        <v>961</v>
      </c>
      <c r="C8" s="264"/>
      <c r="D8" s="264"/>
      <c r="E8" s="264"/>
      <c r="F8" s="264"/>
      <c r="G8" s="264"/>
      <c r="H8" s="264"/>
      <c r="I8" s="35" t="s">
        <v>962</v>
      </c>
      <c r="J8" s="35"/>
      <c r="K8" s="35"/>
      <c r="L8" s="35" t="s">
        <v>963</v>
      </c>
      <c r="M8" s="35"/>
    </row>
    <row r="9" customFormat="false" ht="15" hidden="true" customHeight="true" outlineLevel="2" collapsed="false">
      <c r="B9" s="357" t="s">
        <v>964</v>
      </c>
      <c r="C9" s="358" t="n">
        <f aca="false">IFERROR(MATCH(Objektart,L_Objektart,0),1)</f>
        <v>1</v>
      </c>
      <c r="D9" s="359"/>
      <c r="E9" s="360"/>
      <c r="F9" s="360"/>
      <c r="G9" s="360"/>
      <c r="H9" s="360"/>
      <c r="I9" s="360"/>
      <c r="J9" s="360"/>
      <c r="K9" s="360"/>
      <c r="L9" s="360"/>
      <c r="M9" s="360"/>
    </row>
    <row r="10" customFormat="false" ht="15" hidden="true" customHeight="true" outlineLevel="2" collapsed="false">
      <c r="B10" s="40" t="s">
        <v>965</v>
      </c>
      <c r="C10" s="361" t="n">
        <f aca="false">IFERROR(MATCH(KPA_Methode,L_KPA,0),1)</f>
        <v>1</v>
      </c>
      <c r="D10" s="12"/>
      <c r="E10" s="362"/>
      <c r="F10" s="362"/>
      <c r="G10" s="362"/>
      <c r="H10" s="362"/>
      <c r="I10" s="362"/>
      <c r="J10" s="362"/>
      <c r="K10" s="362"/>
      <c r="L10" s="362"/>
      <c r="M10" s="362"/>
    </row>
    <row r="11" customFormat="false" ht="15" hidden="true" customHeight="true" outlineLevel="2" collapsed="false">
      <c r="B11" s="40" t="s">
        <v>966</v>
      </c>
      <c r="C11" s="361" t="n">
        <f aca="false">IFERROR(MATCH(Reno_Behandlung,L_Reno,0),1)</f>
        <v>1</v>
      </c>
      <c r="D11" s="12"/>
      <c r="E11" s="362"/>
      <c r="F11" s="362"/>
      <c r="G11" s="362"/>
      <c r="H11" s="362"/>
      <c r="I11" s="362"/>
      <c r="J11" s="362"/>
      <c r="K11" s="362"/>
      <c r="L11" s="362"/>
      <c r="M11" s="362"/>
    </row>
    <row r="12" customFormat="false" ht="15" hidden="true" customHeight="true" outlineLevel="2" collapsed="false">
      <c r="B12" s="40" t="s">
        <v>967</v>
      </c>
      <c r="C12" s="361" t="n">
        <f aca="false">IFERROR(MATCH(Rechtsform,L_Rechtsform,0),1)</f>
        <v>1</v>
      </c>
      <c r="D12" s="12"/>
      <c r="E12" s="149" t="s">
        <v>968</v>
      </c>
      <c r="F12" s="149"/>
      <c r="G12" s="149"/>
      <c r="H12" s="149"/>
      <c r="I12" s="149"/>
      <c r="J12" s="149"/>
      <c r="K12" s="149"/>
      <c r="L12" s="149"/>
      <c r="M12" s="149"/>
    </row>
    <row r="13" customFormat="false" ht="15" hidden="true" customHeight="true" outlineLevel="2" collapsed="false">
      <c r="B13" s="40" t="s">
        <v>969</v>
      </c>
      <c r="C13" s="361" t="n">
        <f aca="false">IFERROR(MATCH(Veranlagung,L_Veranlagung,0),1)</f>
        <v>1</v>
      </c>
      <c r="D13" s="12"/>
      <c r="E13" s="362"/>
      <c r="F13" s="362"/>
      <c r="G13" s="362"/>
      <c r="H13" s="362"/>
      <c r="I13" s="362"/>
      <c r="J13" s="362"/>
      <c r="K13" s="362"/>
      <c r="L13" s="362"/>
      <c r="M13" s="362"/>
    </row>
    <row r="14" customFormat="false" ht="15" hidden="true" customHeight="true" outlineLevel="2" collapsed="false">
      <c r="B14" s="40" t="s">
        <v>970</v>
      </c>
      <c r="C14" s="361" t="n">
        <f aca="false">IFERROR(MATCH(KiSt,L_KiSt,0),1)</f>
        <v>2</v>
      </c>
      <c r="D14" s="12"/>
      <c r="E14" s="362"/>
      <c r="F14" s="362"/>
      <c r="G14" s="362"/>
      <c r="H14" s="362"/>
      <c r="I14" s="362"/>
      <c r="J14" s="362"/>
      <c r="K14" s="362"/>
      <c r="L14" s="362"/>
      <c r="M14" s="362"/>
    </row>
    <row r="15" customFormat="false" ht="15" hidden="true" customHeight="true" outlineLevel="2" collapsed="false">
      <c r="B15" s="40" t="s">
        <v>971</v>
      </c>
      <c r="C15" s="361" t="n">
        <f aca="false">IFERROR(MATCH(AfA_Methode,L_AfA,0),1)</f>
        <v>1</v>
      </c>
      <c r="D15" s="12"/>
      <c r="E15" s="362"/>
      <c r="F15" s="362"/>
      <c r="G15" s="362"/>
      <c r="H15" s="362"/>
      <c r="I15" s="362"/>
      <c r="J15" s="362"/>
      <c r="K15" s="362"/>
      <c r="L15" s="362"/>
      <c r="M15" s="362"/>
    </row>
    <row r="16" customFormat="false" ht="15" hidden="true" customHeight="true" outlineLevel="2" collapsed="false">
      <c r="B16" s="40" t="s">
        <v>972</v>
      </c>
      <c r="C16" s="361" t="n">
        <f aca="false">IFERROR(MATCH(Verlustverrechnung,L_Verlust,0),1)</f>
        <v>1</v>
      </c>
      <c r="D16" s="12"/>
      <c r="E16" s="362"/>
      <c r="F16" s="362"/>
      <c r="G16" s="362"/>
      <c r="H16" s="362"/>
      <c r="I16" s="362"/>
      <c r="J16" s="362"/>
      <c r="K16" s="362"/>
      <c r="L16" s="362"/>
      <c r="M16" s="362"/>
    </row>
    <row r="17" customFormat="false" ht="15.75" hidden="false" customHeight="true" outlineLevel="1" collapsed="false">
      <c r="B17" s="72" t="s">
        <v>973</v>
      </c>
      <c r="C17" s="363" t="n">
        <f aca="false">IF(Objektart_Idx=4,0,1)</f>
        <v>1</v>
      </c>
      <c r="D17" s="364"/>
      <c r="E17" s="70" t="s">
        <v>974</v>
      </c>
      <c r="F17" s="70"/>
      <c r="G17" s="70"/>
      <c r="H17" s="70"/>
      <c r="I17" s="70"/>
      <c r="J17" s="70"/>
      <c r="K17" s="70"/>
      <c r="L17" s="70"/>
      <c r="M17" s="70"/>
    </row>
    <row r="18" customFormat="false" ht="15.75" hidden="false" customHeight="true" outlineLevel="1" collapsed="false">
      <c r="B18" s="72" t="s">
        <v>975</v>
      </c>
      <c r="C18" s="365" t="n">
        <f aca="false">IF(AND(Rechtsform_Idx=1,Soli="Ja"),Soli_Konst,0)</f>
        <v>0.055</v>
      </c>
      <c r="D18" s="364"/>
      <c r="E18" s="70" t="s">
        <v>976</v>
      </c>
      <c r="F18" s="70"/>
      <c r="G18" s="70"/>
      <c r="H18" s="70"/>
      <c r="I18" s="70"/>
      <c r="J18" s="70"/>
      <c r="K18" s="70"/>
      <c r="L18" s="70"/>
      <c r="M18" s="70"/>
    </row>
    <row r="19" customFormat="false" ht="15.75" hidden="false" customHeight="true" outlineLevel="1" collapsed="false">
      <c r="B19" s="72" t="s">
        <v>977</v>
      </c>
      <c r="C19" s="365" t="n">
        <f aca="false">IF(Rechtsform_Idx=1,CHOOSE(KiSt_Idx,0,KiSt_8,KiSt_9),0)</f>
        <v>0.08</v>
      </c>
      <c r="D19" s="364"/>
      <c r="E19" s="70"/>
      <c r="F19" s="70"/>
      <c r="G19" s="70"/>
      <c r="H19" s="70"/>
      <c r="I19" s="70"/>
      <c r="J19" s="70"/>
      <c r="K19" s="70"/>
      <c r="L19" s="70"/>
      <c r="M19" s="70"/>
    </row>
    <row r="20" customFormat="false" ht="15.75" hidden="false" customHeight="true" outlineLevel="1" collapsed="false">
      <c r="B20" s="72" t="s">
        <v>978</v>
      </c>
      <c r="C20" s="365" t="n">
        <f aca="false">IF(Rechtsform_Idx=3,GewSt_Messzahl*Hebesatz,0)</f>
        <v>0</v>
      </c>
      <c r="D20" s="364"/>
      <c r="E20" s="70" t="s">
        <v>979</v>
      </c>
      <c r="F20" s="70"/>
      <c r="G20" s="70"/>
      <c r="H20" s="70"/>
      <c r="I20" s="70"/>
      <c r="J20" s="70"/>
      <c r="K20" s="70"/>
      <c r="L20" s="70"/>
      <c r="M20" s="70"/>
    </row>
    <row r="21" customFormat="false" ht="15.75" hidden="false" customHeight="true" outlineLevel="1" collapsed="false">
      <c r="B21" s="72" t="s">
        <v>980</v>
      </c>
      <c r="C21" s="363" t="n">
        <f aca="false">IF(AND(Rechtsform_Idx=1,Verlust_Idx=1),1,0)</f>
        <v>1</v>
      </c>
      <c r="D21" s="364"/>
      <c r="E21" s="70" t="s">
        <v>981</v>
      </c>
      <c r="F21" s="70"/>
      <c r="G21" s="70"/>
      <c r="H21" s="70"/>
      <c r="I21" s="70"/>
      <c r="J21" s="70"/>
      <c r="K21" s="70"/>
      <c r="L21" s="70"/>
      <c r="M21" s="70"/>
    </row>
    <row r="22" customFormat="false" ht="15.75" hidden="false" customHeight="true" outlineLevel="1" collapsed="false">
      <c r="B22" s="72" t="s">
        <v>982</v>
      </c>
      <c r="C22" s="239" t="n">
        <f aca="false">IF(Rechtsform_Idx=1,MAX(1,MIN(Max_82b,N(Verteilung_82b))),1)</f>
        <v>1</v>
      </c>
      <c r="D22" s="364"/>
      <c r="E22" s="70" t="s">
        <v>983</v>
      </c>
      <c r="F22" s="70"/>
      <c r="G22" s="70"/>
      <c r="H22" s="70"/>
      <c r="I22" s="70"/>
      <c r="J22" s="70"/>
      <c r="K22" s="70"/>
      <c r="L22" s="70"/>
      <c r="M22" s="70"/>
    </row>
    <row r="23" customFormat="false" ht="15.75" hidden="false" customHeight="true" outlineLevel="1" collapsed="false">
      <c r="B23" s="72" t="s">
        <v>984</v>
      </c>
      <c r="C23" s="363" t="n">
        <f aca="false">IF(AND(Disagio_Pct&lt;=Disagio_Grenze,Zinsbindung_I&gt;=Disagio_Jahre),1,0)</f>
        <v>1</v>
      </c>
      <c r="D23" s="364"/>
      <c r="E23" s="70" t="s">
        <v>985</v>
      </c>
      <c r="F23" s="70"/>
      <c r="G23" s="70"/>
      <c r="H23" s="70"/>
      <c r="I23" s="70"/>
      <c r="J23" s="70"/>
      <c r="K23" s="70"/>
      <c r="L23" s="70"/>
      <c r="M23" s="70"/>
    </row>
    <row r="24" customFormat="false" ht="15" hidden="true" customHeight="true" outlineLevel="2" collapsed="false">
      <c r="B24" s="40" t="s">
        <v>986</v>
      </c>
      <c r="C24" s="361" t="n">
        <f aca="false">IF(AND(AfA_Idx=5,OR(Baujahr&lt;2023,Wohngebaeude=0)),1,IF(AND(AfA_Idx=6,N(RND_Gutachten)&lt;=0),1,AfA_Idx))</f>
        <v>1</v>
      </c>
      <c r="D24" s="12"/>
      <c r="E24" s="149" t="s">
        <v>987</v>
      </c>
      <c r="F24" s="149"/>
      <c r="G24" s="149"/>
      <c r="H24" s="149"/>
      <c r="I24" s="149"/>
      <c r="J24" s="149"/>
      <c r="K24" s="149"/>
      <c r="L24" s="149"/>
      <c r="M24" s="149"/>
    </row>
    <row r="25" customFormat="false" ht="15.75" hidden="false" customHeight="true" outlineLevel="1" collapsed="false">
      <c r="B25" s="72" t="s">
        <v>988</v>
      </c>
      <c r="C25" s="365" t="n">
        <f aca="false">IF(AND(Wohngebaeude=0,Rechtsform_Idx&gt;1),0.03,IF(Baujahr&lt;1925,IF(Baujahr&gt;0,0.025,0.02),IF(Baujahr&gt;=2023,0.03,0.02)))</f>
        <v>0.02</v>
      </c>
      <c r="D25" s="364"/>
      <c r="E25" s="70" t="s">
        <v>989</v>
      </c>
      <c r="F25" s="70"/>
      <c r="G25" s="70"/>
      <c r="H25" s="70"/>
      <c r="I25" s="70"/>
      <c r="J25" s="70"/>
      <c r="K25" s="70"/>
      <c r="L25" s="70"/>
      <c r="M25" s="70"/>
    </row>
    <row r="26" customFormat="false" ht="15.75" hidden="false" customHeight="true" outlineLevel="1" collapsed="false">
      <c r="B26" s="72" t="s">
        <v>990</v>
      </c>
      <c r="C26" s="365" t="n">
        <f aca="false">IF(Methode_eff=6,1/MAX(N(RND_Gutachten),1),CHOOSE(Methode_eff,AfA_Satz_auto,0.02,0.025,0.03,0.03,0))</f>
        <v>0.02</v>
      </c>
      <c r="D26" s="364"/>
      <c r="E26" s="70" t="s">
        <v>991</v>
      </c>
      <c r="F26" s="70"/>
      <c r="G26" s="70"/>
      <c r="H26" s="70"/>
      <c r="I26" s="70"/>
      <c r="J26" s="70"/>
      <c r="K26" s="70"/>
      <c r="L26" s="70"/>
      <c r="M26" s="70"/>
    </row>
    <row r="27" customFormat="false" ht="15.75" hidden="false" customHeight="true" outlineLevel="1" collapsed="false">
      <c r="B27" s="72" t="s">
        <v>992</v>
      </c>
      <c r="C27" s="239" t="n">
        <f aca="false">1/AfA_Satz_linear</f>
        <v>50</v>
      </c>
      <c r="D27" s="364"/>
      <c r="E27" s="70" t="s">
        <v>993</v>
      </c>
      <c r="F27" s="70"/>
      <c r="G27" s="70"/>
      <c r="H27" s="70"/>
      <c r="I27" s="70"/>
      <c r="J27" s="70"/>
      <c r="K27" s="70"/>
      <c r="L27" s="70"/>
      <c r="M27" s="70"/>
    </row>
    <row r="28" customFormat="false" ht="15.75" hidden="false" customHeight="true" outlineLevel="1" collapsed="false">
      <c r="B28" s="72" t="s">
        <v>994</v>
      </c>
      <c r="C28" s="363" t="n">
        <f aca="false">IF(Methode_eff=5,1,0)</f>
        <v>0</v>
      </c>
      <c r="D28" s="364"/>
      <c r="E28" s="70"/>
      <c r="F28" s="70"/>
      <c r="G28" s="70"/>
      <c r="H28" s="70"/>
      <c r="I28" s="70"/>
      <c r="J28" s="70"/>
      <c r="K28" s="70"/>
      <c r="L28" s="70"/>
      <c r="M28" s="70"/>
    </row>
    <row r="29" customFormat="false" ht="15.75" hidden="false" customHeight="true" outlineLevel="1" collapsed="false">
      <c r="B29" s="72" t="s">
        <v>995</v>
      </c>
      <c r="C29" s="129" t="n">
        <f aca="false">IF(AND(Denkmal="Ja",N(Sanierungskosten_7i)&gt;0),MIN(Sanierungskosten_7i,AK_Gebaeude),0)</f>
        <v>0</v>
      </c>
      <c r="D29" s="364"/>
      <c r="E29" s="70"/>
      <c r="F29" s="70"/>
      <c r="G29" s="70"/>
      <c r="H29" s="70"/>
      <c r="I29" s="70"/>
      <c r="J29" s="70"/>
      <c r="K29" s="70"/>
      <c r="L29" s="70"/>
      <c r="M29" s="70"/>
    </row>
    <row r="30" customFormat="false" ht="15.75" hidden="false" customHeight="true" outlineLevel="1" collapsed="false">
      <c r="B30" s="72" t="s">
        <v>996</v>
      </c>
      <c r="C30" s="129" t="n">
        <f aca="false">AK_Gebaeude-Sanierung_eff</f>
        <v>244267.846715328</v>
      </c>
      <c r="D30" s="364"/>
      <c r="E30" s="70" t="s">
        <v>997</v>
      </c>
      <c r="F30" s="70"/>
      <c r="G30" s="70"/>
      <c r="H30" s="70"/>
      <c r="I30" s="70"/>
      <c r="J30" s="70"/>
      <c r="K30" s="70"/>
      <c r="L30" s="70"/>
      <c r="M30" s="70"/>
    </row>
    <row r="31" customFormat="false" ht="15.75" hidden="false" customHeight="true" outlineLevel="1" collapsed="false">
      <c r="B31" s="72" t="s">
        <v>998</v>
      </c>
      <c r="C31" s="366" t="n">
        <f aca="false">IF(Wohnflaeche&gt;0,AK_Gebaeude/Wohnflaeche,0)</f>
        <v>3256.90462287105</v>
      </c>
      <c r="D31" s="364"/>
      <c r="E31" s="70" t="s">
        <v>999</v>
      </c>
      <c r="F31" s="70"/>
      <c r="G31" s="70"/>
      <c r="H31" s="70"/>
      <c r="I31" s="70"/>
      <c r="J31" s="70"/>
      <c r="K31" s="70"/>
      <c r="L31" s="70"/>
      <c r="M31" s="70"/>
    </row>
    <row r="32" customFormat="false" ht="15.75" hidden="false" customHeight="true" outlineLevel="1" collapsed="false">
      <c r="B32" s="72" t="s">
        <v>1000</v>
      </c>
      <c r="C32" s="363" t="n">
        <f aca="false">IF(AND(SonderAfA_7b="Ja",Wohngebaeude=1,Baujahr&gt;=2023,Baukosten_qm&lt;=Grenze_7b_Baukosten),1,0)</f>
        <v>0</v>
      </c>
      <c r="D32" s="364"/>
      <c r="E32" s="70" t="s">
        <v>1001</v>
      </c>
      <c r="F32" s="70"/>
      <c r="G32" s="70"/>
      <c r="H32" s="70"/>
      <c r="I32" s="70"/>
      <c r="J32" s="70"/>
      <c r="K32" s="70"/>
      <c r="L32" s="70"/>
      <c r="M32" s="70"/>
    </row>
    <row r="33" customFormat="false" ht="15.75" hidden="false" customHeight="true" outlineLevel="1" collapsed="false">
      <c r="B33" s="72" t="s">
        <v>1002</v>
      </c>
      <c r="C33" s="129" t="n">
        <f aca="false">IF(SonderAfA_aktiv=1,MIN(BMG_Regel_Basis,Grenze_7b_BMG*Wohnflaeche),0)</f>
        <v>0</v>
      </c>
      <c r="D33" s="364"/>
      <c r="E33" s="70" t="s">
        <v>1003</v>
      </c>
      <c r="F33" s="70"/>
      <c r="G33" s="70"/>
      <c r="H33" s="70"/>
      <c r="I33" s="70"/>
      <c r="J33" s="70"/>
      <c r="K33" s="70"/>
      <c r="L33" s="70"/>
      <c r="M33" s="70"/>
    </row>
    <row r="34" customFormat="false" ht="15.75" hidden="false" customHeight="true" outlineLevel="1" collapsed="false">
      <c r="B34" s="72" t="s">
        <v>1004</v>
      </c>
      <c r="C34" s="129" t="n">
        <f aca="false">SonderAfA_BMG*SonderAfA_Satz</f>
        <v>0</v>
      </c>
      <c r="D34" s="364"/>
      <c r="E34" s="70"/>
      <c r="F34" s="70"/>
      <c r="G34" s="70"/>
      <c r="H34" s="70"/>
      <c r="I34" s="70"/>
      <c r="J34" s="70"/>
      <c r="K34" s="70"/>
      <c r="L34" s="70"/>
      <c r="M34" s="70"/>
    </row>
    <row r="35" customFormat="false" ht="15.75" hidden="false" customHeight="true" outlineLevel="1" collapsed="false">
      <c r="B35" s="72" t="s">
        <v>1005</v>
      </c>
      <c r="C35" s="363" t="n">
        <f aca="false">IF(Reno_Idx=3,1,IF(Reno_Idx=2,0,IF(Reno_Netto&gt;Grenze_15,1,0)))</f>
        <v>0</v>
      </c>
      <c r="D35" s="364"/>
      <c r="E35" s="70" t="s">
        <v>1006</v>
      </c>
      <c r="F35" s="70"/>
      <c r="G35" s="70"/>
      <c r="H35" s="70"/>
      <c r="I35" s="70"/>
      <c r="J35" s="70"/>
      <c r="K35" s="70"/>
      <c r="L35" s="70"/>
      <c r="M35" s="70"/>
    </row>
    <row r="36" customFormat="false" ht="15.75" hidden="false" customHeight="true" outlineLevel="1" collapsed="false">
      <c r="B36" s="72" t="s">
        <v>1007</v>
      </c>
      <c r="C36" s="129" t="n">
        <f aca="false">Reno_J1+Sonderumlage</f>
        <v>12000</v>
      </c>
      <c r="D36" s="364"/>
      <c r="E36" s="70"/>
      <c r="F36" s="70"/>
      <c r="G36" s="70"/>
      <c r="H36" s="70"/>
      <c r="I36" s="70"/>
      <c r="J36" s="70"/>
      <c r="K36" s="70"/>
      <c r="L36" s="70"/>
      <c r="M36" s="70"/>
    </row>
    <row r="37" customFormat="false" ht="15.75" hidden="false" customHeight="true" outlineLevel="1" collapsed="false">
      <c r="B37" s="72" t="s">
        <v>1008</v>
      </c>
      <c r="C37" s="129" t="n">
        <f aca="false">AfA_Satz_auto*BMG_Regel_Basis</f>
        <v>4885.35693430657</v>
      </c>
      <c r="D37" s="364"/>
      <c r="E37" s="70" t="s">
        <v>1009</v>
      </c>
      <c r="F37" s="70"/>
      <c r="G37" s="70"/>
      <c r="H37" s="70"/>
      <c r="I37" s="70"/>
      <c r="J37" s="70"/>
      <c r="K37" s="70"/>
      <c r="L37" s="70"/>
      <c r="M37" s="70"/>
    </row>
    <row r="38" customFormat="false" ht="12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customFormat="false" ht="15" hidden="true" customHeight="false" outlineLevel="0" collapsed="false"/>
    <row r="40" customFormat="false" ht="19.5" hidden="false" customHeight="true" outlineLevel="0" collapsed="false">
      <c r="B40" s="335" t="s">
        <v>928</v>
      </c>
      <c r="C40" s="2"/>
      <c r="D40" s="337" t="n">
        <v>1</v>
      </c>
      <c r="E40" s="337" t="n">
        <v>2</v>
      </c>
      <c r="F40" s="337" t="n">
        <v>3</v>
      </c>
      <c r="G40" s="337" t="n">
        <v>4</v>
      </c>
      <c r="H40" s="338" t="n">
        <v>5</v>
      </c>
      <c r="I40" s="337" t="n">
        <v>6</v>
      </c>
      <c r="J40" s="337" t="n">
        <v>7</v>
      </c>
      <c r="K40" s="337" t="n">
        <v>8</v>
      </c>
      <c r="L40" s="337" t="n">
        <v>9</v>
      </c>
      <c r="M40" s="338" t="n">
        <v>10</v>
      </c>
      <c r="N40" s="337" t="n">
        <v>11</v>
      </c>
      <c r="O40" s="337" t="n">
        <v>12</v>
      </c>
      <c r="P40" s="337" t="n">
        <v>13</v>
      </c>
      <c r="Q40" s="337" t="n">
        <v>14</v>
      </c>
      <c r="R40" s="338" t="n">
        <v>15</v>
      </c>
      <c r="S40" s="337" t="n">
        <v>16</v>
      </c>
      <c r="T40" s="337" t="n">
        <v>17</v>
      </c>
      <c r="U40" s="337" t="n">
        <v>18</v>
      </c>
      <c r="V40" s="337" t="n">
        <v>19</v>
      </c>
      <c r="W40" s="338" t="n">
        <v>20</v>
      </c>
      <c r="X40" s="337" t="n">
        <v>21</v>
      </c>
      <c r="Y40" s="337" t="n">
        <v>22</v>
      </c>
      <c r="Z40" s="337" t="n">
        <v>23</v>
      </c>
      <c r="AA40" s="337" t="n">
        <v>24</v>
      </c>
      <c r="AB40" s="338" t="n">
        <v>25</v>
      </c>
      <c r="AC40" s="337" t="n">
        <v>26</v>
      </c>
      <c r="AD40" s="337" t="n">
        <v>27</v>
      </c>
      <c r="AE40" s="337" t="n">
        <v>28</v>
      </c>
      <c r="AF40" s="337" t="n">
        <v>29</v>
      </c>
      <c r="AG40" s="338" t="n">
        <v>30</v>
      </c>
      <c r="AH40" s="337" t="n">
        <v>31</v>
      </c>
      <c r="AI40" s="337" t="n">
        <v>32</v>
      </c>
      <c r="AJ40" s="337" t="n">
        <v>33</v>
      </c>
      <c r="AK40" s="337" t="n">
        <v>34</v>
      </c>
      <c r="AL40" s="338" t="n">
        <v>35</v>
      </c>
      <c r="AM40" s="337" t="n">
        <v>36</v>
      </c>
      <c r="AN40" s="337" t="n">
        <v>37</v>
      </c>
      <c r="AO40" s="337" t="n">
        <v>38</v>
      </c>
      <c r="AP40" s="337" t="n">
        <v>39</v>
      </c>
      <c r="AQ40" s="337" t="n">
        <v>40</v>
      </c>
    </row>
    <row r="41" customFormat="false" ht="15" hidden="true" customHeight="true" outlineLevel="0" collapsed="false">
      <c r="B41" s="339" t="s">
        <v>928</v>
      </c>
      <c r="C41" s="340"/>
      <c r="D41" s="341" t="n">
        <v>1</v>
      </c>
      <c r="E41" s="341" t="n">
        <v>2</v>
      </c>
      <c r="F41" s="341" t="n">
        <v>3</v>
      </c>
      <c r="G41" s="341" t="n">
        <v>4</v>
      </c>
      <c r="H41" s="341" t="n">
        <v>5</v>
      </c>
      <c r="I41" s="341" t="n">
        <v>6</v>
      </c>
      <c r="J41" s="341" t="n">
        <v>7</v>
      </c>
      <c r="K41" s="341" t="n">
        <v>8</v>
      </c>
      <c r="L41" s="341" t="n">
        <v>9</v>
      </c>
      <c r="M41" s="341" t="n">
        <v>10</v>
      </c>
      <c r="N41" s="341" t="n">
        <v>11</v>
      </c>
      <c r="O41" s="341" t="n">
        <v>12</v>
      </c>
      <c r="P41" s="341" t="n">
        <v>13</v>
      </c>
      <c r="Q41" s="341" t="n">
        <v>14</v>
      </c>
      <c r="R41" s="341" t="n">
        <v>15</v>
      </c>
      <c r="S41" s="341" t="n">
        <v>16</v>
      </c>
      <c r="T41" s="341" t="n">
        <v>17</v>
      </c>
      <c r="U41" s="341" t="n">
        <v>18</v>
      </c>
      <c r="V41" s="341" t="n">
        <v>19</v>
      </c>
      <c r="W41" s="341" t="n">
        <v>20</v>
      </c>
      <c r="X41" s="341" t="n">
        <v>21</v>
      </c>
      <c r="Y41" s="341" t="n">
        <v>22</v>
      </c>
      <c r="Z41" s="341" t="n">
        <v>23</v>
      </c>
      <c r="AA41" s="341" t="n">
        <v>24</v>
      </c>
      <c r="AB41" s="341" t="n">
        <v>25</v>
      </c>
      <c r="AC41" s="341" t="n">
        <v>26</v>
      </c>
      <c r="AD41" s="341" t="n">
        <v>27</v>
      </c>
      <c r="AE41" s="341" t="n">
        <v>28</v>
      </c>
      <c r="AF41" s="341" t="n">
        <v>29</v>
      </c>
      <c r="AG41" s="341" t="n">
        <v>30</v>
      </c>
      <c r="AH41" s="341" t="n">
        <v>31</v>
      </c>
      <c r="AI41" s="341" t="n">
        <v>32</v>
      </c>
      <c r="AJ41" s="341" t="n">
        <v>33</v>
      </c>
      <c r="AK41" s="341" t="n">
        <v>34</v>
      </c>
      <c r="AL41" s="341" t="n">
        <v>35</v>
      </c>
      <c r="AM41" s="341" t="n">
        <v>36</v>
      </c>
      <c r="AN41" s="341" t="n">
        <v>37</v>
      </c>
      <c r="AO41" s="341" t="n">
        <v>38</v>
      </c>
      <c r="AP41" s="341" t="n">
        <v>39</v>
      </c>
      <c r="AQ41" s="341" t="n">
        <v>40</v>
      </c>
    </row>
    <row r="42" customFormat="false" ht="19.5" hidden="false" customHeight="true" outlineLevel="0" collapsed="false">
      <c r="B42" s="342" t="s">
        <v>547</v>
      </c>
      <c r="C42" s="367"/>
      <c r="D42" s="344" t="n">
        <f aca="false">YEAR(Kaufdatum)+D41-1</f>
        <v>2026</v>
      </c>
      <c r="E42" s="344" t="n">
        <f aca="false">YEAR(Kaufdatum)+E41-1</f>
        <v>2027</v>
      </c>
      <c r="F42" s="344" t="n">
        <f aca="false">YEAR(Kaufdatum)+F41-1</f>
        <v>2028</v>
      </c>
      <c r="G42" s="344" t="n">
        <f aca="false">YEAR(Kaufdatum)+G41-1</f>
        <v>2029</v>
      </c>
      <c r="H42" s="345" t="n">
        <f aca="false">YEAR(Kaufdatum)+H41-1</f>
        <v>2030</v>
      </c>
      <c r="I42" s="344" t="n">
        <f aca="false">YEAR(Kaufdatum)+I41-1</f>
        <v>2031</v>
      </c>
      <c r="J42" s="344" t="n">
        <f aca="false">YEAR(Kaufdatum)+J41-1</f>
        <v>2032</v>
      </c>
      <c r="K42" s="344" t="n">
        <f aca="false">YEAR(Kaufdatum)+K41-1</f>
        <v>2033</v>
      </c>
      <c r="L42" s="344" t="n">
        <f aca="false">YEAR(Kaufdatum)+L41-1</f>
        <v>2034</v>
      </c>
      <c r="M42" s="345" t="n">
        <f aca="false">YEAR(Kaufdatum)+M41-1</f>
        <v>2035</v>
      </c>
      <c r="N42" s="344" t="n">
        <f aca="false">YEAR(Kaufdatum)+N41-1</f>
        <v>2036</v>
      </c>
      <c r="O42" s="344" t="n">
        <f aca="false">YEAR(Kaufdatum)+O41-1</f>
        <v>2037</v>
      </c>
      <c r="P42" s="344" t="n">
        <f aca="false">YEAR(Kaufdatum)+P41-1</f>
        <v>2038</v>
      </c>
      <c r="Q42" s="344" t="n">
        <f aca="false">YEAR(Kaufdatum)+Q41-1</f>
        <v>2039</v>
      </c>
      <c r="R42" s="345" t="n">
        <f aca="false">YEAR(Kaufdatum)+R41-1</f>
        <v>2040</v>
      </c>
      <c r="S42" s="344" t="n">
        <f aca="false">YEAR(Kaufdatum)+S41-1</f>
        <v>2041</v>
      </c>
      <c r="T42" s="344" t="n">
        <f aca="false">YEAR(Kaufdatum)+T41-1</f>
        <v>2042</v>
      </c>
      <c r="U42" s="344" t="n">
        <f aca="false">YEAR(Kaufdatum)+U41-1</f>
        <v>2043</v>
      </c>
      <c r="V42" s="344" t="n">
        <f aca="false">YEAR(Kaufdatum)+V41-1</f>
        <v>2044</v>
      </c>
      <c r="W42" s="345" t="n">
        <f aca="false">YEAR(Kaufdatum)+W41-1</f>
        <v>2045</v>
      </c>
      <c r="X42" s="344" t="n">
        <f aca="false">YEAR(Kaufdatum)+X41-1</f>
        <v>2046</v>
      </c>
      <c r="Y42" s="344" t="n">
        <f aca="false">YEAR(Kaufdatum)+Y41-1</f>
        <v>2047</v>
      </c>
      <c r="Z42" s="344" t="n">
        <f aca="false">YEAR(Kaufdatum)+Z41-1</f>
        <v>2048</v>
      </c>
      <c r="AA42" s="344" t="n">
        <f aca="false">YEAR(Kaufdatum)+AA41-1</f>
        <v>2049</v>
      </c>
      <c r="AB42" s="345" t="n">
        <f aca="false">YEAR(Kaufdatum)+AB41-1</f>
        <v>2050</v>
      </c>
      <c r="AC42" s="344" t="n">
        <f aca="false">YEAR(Kaufdatum)+AC41-1</f>
        <v>2051</v>
      </c>
      <c r="AD42" s="344" t="n">
        <f aca="false">YEAR(Kaufdatum)+AD41-1</f>
        <v>2052</v>
      </c>
      <c r="AE42" s="344" t="n">
        <f aca="false">YEAR(Kaufdatum)+AE41-1</f>
        <v>2053</v>
      </c>
      <c r="AF42" s="344" t="n">
        <f aca="false">YEAR(Kaufdatum)+AF41-1</f>
        <v>2054</v>
      </c>
      <c r="AG42" s="345" t="n">
        <f aca="false">YEAR(Kaufdatum)+AG41-1</f>
        <v>2055</v>
      </c>
      <c r="AH42" s="344" t="n">
        <f aca="false">YEAR(Kaufdatum)+AH41-1</f>
        <v>2056</v>
      </c>
      <c r="AI42" s="344" t="n">
        <f aca="false">YEAR(Kaufdatum)+AI41-1</f>
        <v>2057</v>
      </c>
      <c r="AJ42" s="344" t="n">
        <f aca="false">YEAR(Kaufdatum)+AJ41-1</f>
        <v>2058</v>
      </c>
      <c r="AK42" s="344" t="n">
        <f aca="false">YEAR(Kaufdatum)+AK41-1</f>
        <v>2059</v>
      </c>
      <c r="AL42" s="345" t="n">
        <f aca="false">YEAR(Kaufdatum)+AL41-1</f>
        <v>2060</v>
      </c>
      <c r="AM42" s="344" t="n">
        <f aca="false">YEAR(Kaufdatum)+AM41-1</f>
        <v>2061</v>
      </c>
      <c r="AN42" s="344" t="n">
        <f aca="false">YEAR(Kaufdatum)+AN41-1</f>
        <v>2062</v>
      </c>
      <c r="AO42" s="344" t="n">
        <f aca="false">YEAR(Kaufdatum)+AO41-1</f>
        <v>2063</v>
      </c>
      <c r="AP42" s="344" t="n">
        <f aca="false">YEAR(Kaufdatum)+AP41-1</f>
        <v>2064</v>
      </c>
      <c r="AQ42" s="344" t="n">
        <f aca="false">YEAR(Kaufdatum)+AQ41-1</f>
        <v>2065</v>
      </c>
    </row>
    <row r="43" customFormat="false" ht="9" hidden="false" customHeight="tru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customFormat="false" ht="24" hidden="false" customHeight="true" outlineLevel="0" collapsed="false">
      <c r="B44" s="33" t="s">
        <v>1010</v>
      </c>
      <c r="C44" s="35" t="s">
        <v>659</v>
      </c>
      <c r="D44" s="368" t="n">
        <f aca="false">D$42</f>
        <v>2026</v>
      </c>
      <c r="E44" s="368" t="n">
        <f aca="false">E$42</f>
        <v>2027</v>
      </c>
      <c r="F44" s="368" t="n">
        <f aca="false">F$42</f>
        <v>2028</v>
      </c>
      <c r="G44" s="368" t="n">
        <f aca="false">G$42</f>
        <v>2029</v>
      </c>
      <c r="H44" s="369" t="n">
        <f aca="false">H$42</f>
        <v>2030</v>
      </c>
      <c r="I44" s="368" t="n">
        <f aca="false">I$42</f>
        <v>2031</v>
      </c>
      <c r="J44" s="368" t="n">
        <f aca="false">J$42</f>
        <v>2032</v>
      </c>
      <c r="K44" s="368" t="n">
        <f aca="false">K$42</f>
        <v>2033</v>
      </c>
      <c r="L44" s="368" t="n">
        <f aca="false">L$42</f>
        <v>2034</v>
      </c>
      <c r="M44" s="369" t="n">
        <f aca="false">M$42</f>
        <v>2035</v>
      </c>
      <c r="N44" s="368" t="n">
        <f aca="false">N$42</f>
        <v>2036</v>
      </c>
      <c r="O44" s="368" t="n">
        <f aca="false">O$42</f>
        <v>2037</v>
      </c>
      <c r="P44" s="368" t="n">
        <f aca="false">P$42</f>
        <v>2038</v>
      </c>
      <c r="Q44" s="368" t="n">
        <f aca="false">Q$42</f>
        <v>2039</v>
      </c>
      <c r="R44" s="369" t="n">
        <f aca="false">R$42</f>
        <v>2040</v>
      </c>
      <c r="S44" s="368" t="n">
        <f aca="false">S$42</f>
        <v>2041</v>
      </c>
      <c r="T44" s="368" t="n">
        <f aca="false">T$42</f>
        <v>2042</v>
      </c>
      <c r="U44" s="368" t="n">
        <f aca="false">U$42</f>
        <v>2043</v>
      </c>
      <c r="V44" s="368" t="n">
        <f aca="false">V$42</f>
        <v>2044</v>
      </c>
      <c r="W44" s="369" t="n">
        <f aca="false">W$42</f>
        <v>2045</v>
      </c>
      <c r="X44" s="368" t="n">
        <f aca="false">X$42</f>
        <v>2046</v>
      </c>
      <c r="Y44" s="368" t="n">
        <f aca="false">Y$42</f>
        <v>2047</v>
      </c>
      <c r="Z44" s="368" t="n">
        <f aca="false">Z$42</f>
        <v>2048</v>
      </c>
      <c r="AA44" s="368" t="n">
        <f aca="false">AA$42</f>
        <v>2049</v>
      </c>
      <c r="AB44" s="369" t="n">
        <f aca="false">AB$42</f>
        <v>2050</v>
      </c>
      <c r="AC44" s="368" t="n">
        <f aca="false">AC$42</f>
        <v>2051</v>
      </c>
      <c r="AD44" s="368" t="n">
        <f aca="false">AD$42</f>
        <v>2052</v>
      </c>
      <c r="AE44" s="368" t="n">
        <f aca="false">AE$42</f>
        <v>2053</v>
      </c>
      <c r="AF44" s="368" t="n">
        <f aca="false">AF$42</f>
        <v>2054</v>
      </c>
      <c r="AG44" s="369" t="n">
        <f aca="false">AG$42</f>
        <v>2055</v>
      </c>
      <c r="AH44" s="368" t="n">
        <f aca="false">AH$42</f>
        <v>2056</v>
      </c>
      <c r="AI44" s="368" t="n">
        <f aca="false">AI$42</f>
        <v>2057</v>
      </c>
      <c r="AJ44" s="368" t="n">
        <f aca="false">AJ$42</f>
        <v>2058</v>
      </c>
      <c r="AK44" s="368" t="n">
        <f aca="false">AK$42</f>
        <v>2059</v>
      </c>
      <c r="AL44" s="369" t="n">
        <f aca="false">AL$42</f>
        <v>2060</v>
      </c>
      <c r="AM44" s="368" t="n">
        <f aca="false">AM$42</f>
        <v>2061</v>
      </c>
      <c r="AN44" s="368" t="n">
        <f aca="false">AN$42</f>
        <v>2062</v>
      </c>
      <c r="AO44" s="368" t="n">
        <f aca="false">AO$42</f>
        <v>2063</v>
      </c>
      <c r="AP44" s="368" t="n">
        <f aca="false">AP$42</f>
        <v>2064</v>
      </c>
      <c r="AQ44" s="368" t="n">
        <f aca="false">AQ$42</f>
        <v>2065</v>
      </c>
    </row>
    <row r="45" customFormat="false" ht="15.75" hidden="false" customHeight="true" outlineLevel="0" collapsed="false">
      <c r="B45" s="72" t="s">
        <v>1011</v>
      </c>
      <c r="C45" s="347" t="s">
        <v>753</v>
      </c>
      <c r="D45" s="206" t="n">
        <f aca="false">IF(HK_Flag=1,IF(D41=1,Investition_J1,IF(D41=2,Reno_J2,IF(D41=3,Reno_J3,0))),0)</f>
        <v>0</v>
      </c>
      <c r="E45" s="206" t="n">
        <f aca="false">IF(HK_Flag=1,IF(E41=1,Investition_J1,IF(E41=2,Reno_J2,IF(E41=3,Reno_J3,0))),0)</f>
        <v>0</v>
      </c>
      <c r="F45" s="206" t="n">
        <f aca="false">IF(HK_Flag=1,IF(F41=1,Investition_J1,IF(F41=2,Reno_J2,IF(F41=3,Reno_J3,0))),0)</f>
        <v>0</v>
      </c>
      <c r="G45" s="206" t="n">
        <f aca="false">IF(HK_Flag=1,IF(G41=1,Investition_J1,IF(G41=2,Reno_J2,IF(G41=3,Reno_J3,0))),0)</f>
        <v>0</v>
      </c>
      <c r="H45" s="348" t="n">
        <f aca="false">IF(HK_Flag=1,IF(H41=1,Investition_J1,IF(H41=2,Reno_J2,IF(H41=3,Reno_J3,0))),0)</f>
        <v>0</v>
      </c>
      <c r="I45" s="206" t="n">
        <f aca="false">IF(HK_Flag=1,IF(I41=1,Investition_J1,IF(I41=2,Reno_J2,IF(I41=3,Reno_J3,0))),0)</f>
        <v>0</v>
      </c>
      <c r="J45" s="206" t="n">
        <f aca="false">IF(HK_Flag=1,IF(J41=1,Investition_J1,IF(J41=2,Reno_J2,IF(J41=3,Reno_J3,0))),0)</f>
        <v>0</v>
      </c>
      <c r="K45" s="206" t="n">
        <f aca="false">IF(HK_Flag=1,IF(K41=1,Investition_J1,IF(K41=2,Reno_J2,IF(K41=3,Reno_J3,0))),0)</f>
        <v>0</v>
      </c>
      <c r="L45" s="206" t="n">
        <f aca="false">IF(HK_Flag=1,IF(L41=1,Investition_J1,IF(L41=2,Reno_J2,IF(L41=3,Reno_J3,0))),0)</f>
        <v>0</v>
      </c>
      <c r="M45" s="348" t="n">
        <f aca="false">IF(HK_Flag=1,IF(M41=1,Investition_J1,IF(M41=2,Reno_J2,IF(M41=3,Reno_J3,0))),0)</f>
        <v>0</v>
      </c>
      <c r="N45" s="206" t="n">
        <f aca="false">IF(HK_Flag=1,IF(N41=1,Investition_J1,IF(N41=2,Reno_J2,IF(N41=3,Reno_J3,0))),0)</f>
        <v>0</v>
      </c>
      <c r="O45" s="206" t="n">
        <f aca="false">IF(HK_Flag=1,IF(O41=1,Investition_J1,IF(O41=2,Reno_J2,IF(O41=3,Reno_J3,0))),0)</f>
        <v>0</v>
      </c>
      <c r="P45" s="206" t="n">
        <f aca="false">IF(HK_Flag=1,IF(P41=1,Investition_J1,IF(P41=2,Reno_J2,IF(P41=3,Reno_J3,0))),0)</f>
        <v>0</v>
      </c>
      <c r="Q45" s="206" t="n">
        <f aca="false">IF(HK_Flag=1,IF(Q41=1,Investition_J1,IF(Q41=2,Reno_J2,IF(Q41=3,Reno_J3,0))),0)</f>
        <v>0</v>
      </c>
      <c r="R45" s="348" t="n">
        <f aca="false">IF(HK_Flag=1,IF(R41=1,Investition_J1,IF(R41=2,Reno_J2,IF(R41=3,Reno_J3,0))),0)</f>
        <v>0</v>
      </c>
      <c r="S45" s="206" t="n">
        <f aca="false">IF(HK_Flag=1,IF(S41=1,Investition_J1,IF(S41=2,Reno_J2,IF(S41=3,Reno_J3,0))),0)</f>
        <v>0</v>
      </c>
      <c r="T45" s="206" t="n">
        <f aca="false">IF(HK_Flag=1,IF(T41=1,Investition_J1,IF(T41=2,Reno_J2,IF(T41=3,Reno_J3,0))),0)</f>
        <v>0</v>
      </c>
      <c r="U45" s="206" t="n">
        <f aca="false">IF(HK_Flag=1,IF(U41=1,Investition_J1,IF(U41=2,Reno_J2,IF(U41=3,Reno_J3,0))),0)</f>
        <v>0</v>
      </c>
      <c r="V45" s="206" t="n">
        <f aca="false">IF(HK_Flag=1,IF(V41=1,Investition_J1,IF(V41=2,Reno_J2,IF(V41=3,Reno_J3,0))),0)</f>
        <v>0</v>
      </c>
      <c r="W45" s="348" t="n">
        <f aca="false">IF(HK_Flag=1,IF(W41=1,Investition_J1,IF(W41=2,Reno_J2,IF(W41=3,Reno_J3,0))),0)</f>
        <v>0</v>
      </c>
      <c r="X45" s="206" t="n">
        <f aca="false">IF(HK_Flag=1,IF(X41=1,Investition_J1,IF(X41=2,Reno_J2,IF(X41=3,Reno_J3,0))),0)</f>
        <v>0</v>
      </c>
      <c r="Y45" s="206" t="n">
        <f aca="false">IF(HK_Flag=1,IF(Y41=1,Investition_J1,IF(Y41=2,Reno_J2,IF(Y41=3,Reno_J3,0))),0)</f>
        <v>0</v>
      </c>
      <c r="Z45" s="206" t="n">
        <f aca="false">IF(HK_Flag=1,IF(Z41=1,Investition_J1,IF(Z41=2,Reno_J2,IF(Z41=3,Reno_J3,0))),0)</f>
        <v>0</v>
      </c>
      <c r="AA45" s="206" t="n">
        <f aca="false">IF(HK_Flag=1,IF(AA41=1,Investition_J1,IF(AA41=2,Reno_J2,IF(AA41=3,Reno_J3,0))),0)</f>
        <v>0</v>
      </c>
      <c r="AB45" s="348" t="n">
        <f aca="false">IF(HK_Flag=1,IF(AB41=1,Investition_J1,IF(AB41=2,Reno_J2,IF(AB41=3,Reno_J3,0))),0)</f>
        <v>0</v>
      </c>
      <c r="AC45" s="206" t="n">
        <f aca="false">IF(HK_Flag=1,IF(AC41=1,Investition_J1,IF(AC41=2,Reno_J2,IF(AC41=3,Reno_J3,0))),0)</f>
        <v>0</v>
      </c>
      <c r="AD45" s="206" t="n">
        <f aca="false">IF(HK_Flag=1,IF(AD41=1,Investition_J1,IF(AD41=2,Reno_J2,IF(AD41=3,Reno_J3,0))),0)</f>
        <v>0</v>
      </c>
      <c r="AE45" s="206" t="n">
        <f aca="false">IF(HK_Flag=1,IF(AE41=1,Investition_J1,IF(AE41=2,Reno_J2,IF(AE41=3,Reno_J3,0))),0)</f>
        <v>0</v>
      </c>
      <c r="AF45" s="206" t="n">
        <f aca="false">IF(HK_Flag=1,IF(AF41=1,Investition_J1,IF(AF41=2,Reno_J2,IF(AF41=3,Reno_J3,0))),0)</f>
        <v>0</v>
      </c>
      <c r="AG45" s="348" t="n">
        <f aca="false">IF(HK_Flag=1,IF(AG41=1,Investition_J1,IF(AG41=2,Reno_J2,IF(AG41=3,Reno_J3,0))),0)</f>
        <v>0</v>
      </c>
      <c r="AH45" s="206" t="n">
        <f aca="false">IF(HK_Flag=1,IF(AH41=1,Investition_J1,IF(AH41=2,Reno_J2,IF(AH41=3,Reno_J3,0))),0)</f>
        <v>0</v>
      </c>
      <c r="AI45" s="206" t="n">
        <f aca="false">IF(HK_Flag=1,IF(AI41=1,Investition_J1,IF(AI41=2,Reno_J2,IF(AI41=3,Reno_J3,0))),0)</f>
        <v>0</v>
      </c>
      <c r="AJ45" s="206" t="n">
        <f aca="false">IF(HK_Flag=1,IF(AJ41=1,Investition_J1,IF(AJ41=2,Reno_J2,IF(AJ41=3,Reno_J3,0))),0)</f>
        <v>0</v>
      </c>
      <c r="AK45" s="206" t="n">
        <f aca="false">IF(HK_Flag=1,IF(AK41=1,Investition_J1,IF(AK41=2,Reno_J2,IF(AK41=3,Reno_J3,0))),0)</f>
        <v>0</v>
      </c>
      <c r="AL45" s="348" t="n">
        <f aca="false">IF(HK_Flag=1,IF(AL41=1,Investition_J1,IF(AL41=2,Reno_J2,IF(AL41=3,Reno_J3,0))),0)</f>
        <v>0</v>
      </c>
      <c r="AM45" s="206" t="n">
        <f aca="false">IF(HK_Flag=1,IF(AM41=1,Investition_J1,IF(AM41=2,Reno_J2,IF(AM41=3,Reno_J3,0))),0)</f>
        <v>0</v>
      </c>
      <c r="AN45" s="206" t="n">
        <f aca="false">IF(HK_Flag=1,IF(AN41=1,Investition_J1,IF(AN41=2,Reno_J2,IF(AN41=3,Reno_J3,0))),0)</f>
        <v>0</v>
      </c>
      <c r="AO45" s="206" t="n">
        <f aca="false">IF(HK_Flag=1,IF(AO41=1,Investition_J1,IF(AO41=2,Reno_J2,IF(AO41=3,Reno_J3,0))),0)</f>
        <v>0</v>
      </c>
      <c r="AP45" s="206" t="n">
        <f aca="false">IF(HK_Flag=1,IF(AP41=1,Investition_J1,IF(AP41=2,Reno_J2,IF(AP41=3,Reno_J3,0))),0)</f>
        <v>0</v>
      </c>
      <c r="AQ45" s="206" t="n">
        <f aca="false">IF(HK_Flag=1,IF(AQ41=1,Investition_J1,IF(AQ41=2,Reno_J2,IF(AQ41=3,Reno_J3,0))),0)</f>
        <v>0</v>
      </c>
    </row>
    <row r="46" customFormat="false" ht="15.75" hidden="false" customHeight="true" outlineLevel="0" collapsed="false">
      <c r="B46" s="72" t="s">
        <v>1012</v>
      </c>
      <c r="C46" s="347" t="s">
        <v>753</v>
      </c>
      <c r="D46" s="206" t="n">
        <f aca="false">D45</f>
        <v>0</v>
      </c>
      <c r="E46" s="206" t="n">
        <f aca="false">D46+E45</f>
        <v>0</v>
      </c>
      <c r="F46" s="206" t="n">
        <f aca="false">E46+F45</f>
        <v>0</v>
      </c>
      <c r="G46" s="206" t="n">
        <f aca="false">F46+G45</f>
        <v>0</v>
      </c>
      <c r="H46" s="348" t="n">
        <f aca="false">G46+H45</f>
        <v>0</v>
      </c>
      <c r="I46" s="206" t="n">
        <f aca="false">H46+I45</f>
        <v>0</v>
      </c>
      <c r="J46" s="206" t="n">
        <f aca="false">I46+J45</f>
        <v>0</v>
      </c>
      <c r="K46" s="206" t="n">
        <f aca="false">J46+K45</f>
        <v>0</v>
      </c>
      <c r="L46" s="206" t="n">
        <f aca="false">K46+L45</f>
        <v>0</v>
      </c>
      <c r="M46" s="348" t="n">
        <f aca="false">L46+M45</f>
        <v>0</v>
      </c>
      <c r="N46" s="206" t="n">
        <f aca="false">M46+N45</f>
        <v>0</v>
      </c>
      <c r="O46" s="206" t="n">
        <f aca="false">N46+O45</f>
        <v>0</v>
      </c>
      <c r="P46" s="206" t="n">
        <f aca="false">O46+P45</f>
        <v>0</v>
      </c>
      <c r="Q46" s="206" t="n">
        <f aca="false">P46+Q45</f>
        <v>0</v>
      </c>
      <c r="R46" s="348" t="n">
        <f aca="false">Q46+R45</f>
        <v>0</v>
      </c>
      <c r="S46" s="206" t="n">
        <f aca="false">R46+S45</f>
        <v>0</v>
      </c>
      <c r="T46" s="206" t="n">
        <f aca="false">S46+T45</f>
        <v>0</v>
      </c>
      <c r="U46" s="206" t="n">
        <f aca="false">T46+U45</f>
        <v>0</v>
      </c>
      <c r="V46" s="206" t="n">
        <f aca="false">U46+V45</f>
        <v>0</v>
      </c>
      <c r="W46" s="348" t="n">
        <f aca="false">V46+W45</f>
        <v>0</v>
      </c>
      <c r="X46" s="206" t="n">
        <f aca="false">W46+X45</f>
        <v>0</v>
      </c>
      <c r="Y46" s="206" t="n">
        <f aca="false">X46+Y45</f>
        <v>0</v>
      </c>
      <c r="Z46" s="206" t="n">
        <f aca="false">Y46+Z45</f>
        <v>0</v>
      </c>
      <c r="AA46" s="206" t="n">
        <f aca="false">Z46+AA45</f>
        <v>0</v>
      </c>
      <c r="AB46" s="348" t="n">
        <f aca="false">AA46+AB45</f>
        <v>0</v>
      </c>
      <c r="AC46" s="206" t="n">
        <f aca="false">AB46+AC45</f>
        <v>0</v>
      </c>
      <c r="AD46" s="206" t="n">
        <f aca="false">AC46+AD45</f>
        <v>0</v>
      </c>
      <c r="AE46" s="206" t="n">
        <f aca="false">AD46+AE45</f>
        <v>0</v>
      </c>
      <c r="AF46" s="206" t="n">
        <f aca="false">AE46+AF45</f>
        <v>0</v>
      </c>
      <c r="AG46" s="348" t="n">
        <f aca="false">AF46+AG45</f>
        <v>0</v>
      </c>
      <c r="AH46" s="206" t="n">
        <f aca="false">AG46+AH45</f>
        <v>0</v>
      </c>
      <c r="AI46" s="206" t="n">
        <f aca="false">AH46+AI45</f>
        <v>0</v>
      </c>
      <c r="AJ46" s="206" t="n">
        <f aca="false">AI46+AJ45</f>
        <v>0</v>
      </c>
      <c r="AK46" s="206" t="n">
        <f aca="false">AJ46+AK45</f>
        <v>0</v>
      </c>
      <c r="AL46" s="348" t="n">
        <f aca="false">AK46+AL45</f>
        <v>0</v>
      </c>
      <c r="AM46" s="206" t="n">
        <f aca="false">AL46+AM45</f>
        <v>0</v>
      </c>
      <c r="AN46" s="206" t="n">
        <f aca="false">AM46+AN45</f>
        <v>0</v>
      </c>
      <c r="AO46" s="206" t="n">
        <f aca="false">AN46+AO45</f>
        <v>0</v>
      </c>
      <c r="AP46" s="206" t="n">
        <f aca="false">AO46+AP45</f>
        <v>0</v>
      </c>
      <c r="AQ46" s="206" t="n">
        <f aca="false">AP46+AQ45</f>
        <v>0</v>
      </c>
    </row>
    <row r="47" customFormat="false" ht="15.75" hidden="false" customHeight="true" outlineLevel="0" collapsed="false">
      <c r="B47" s="72" t="s">
        <v>1013</v>
      </c>
      <c r="C47" s="347" t="s">
        <v>753</v>
      </c>
      <c r="D47" s="206" t="n">
        <f aca="false">BMG_Regel_Basis+D46</f>
        <v>244267.846715328</v>
      </c>
      <c r="E47" s="206" t="n">
        <f aca="false">BMG_Regel_Basis+E46</f>
        <v>244267.846715328</v>
      </c>
      <c r="F47" s="206" t="n">
        <f aca="false">BMG_Regel_Basis+F46</f>
        <v>244267.846715328</v>
      </c>
      <c r="G47" s="206" t="n">
        <f aca="false">BMG_Regel_Basis+G46</f>
        <v>244267.846715328</v>
      </c>
      <c r="H47" s="348" t="n">
        <f aca="false">BMG_Regel_Basis+H46</f>
        <v>244267.846715328</v>
      </c>
      <c r="I47" s="206" t="n">
        <f aca="false">BMG_Regel_Basis+I46</f>
        <v>244267.846715328</v>
      </c>
      <c r="J47" s="206" t="n">
        <f aca="false">BMG_Regel_Basis+J46</f>
        <v>244267.846715328</v>
      </c>
      <c r="K47" s="206" t="n">
        <f aca="false">BMG_Regel_Basis+K46</f>
        <v>244267.846715328</v>
      </c>
      <c r="L47" s="206" t="n">
        <f aca="false">BMG_Regel_Basis+L46</f>
        <v>244267.846715328</v>
      </c>
      <c r="M47" s="348" t="n">
        <f aca="false">BMG_Regel_Basis+M46</f>
        <v>244267.846715328</v>
      </c>
      <c r="N47" s="206" t="n">
        <f aca="false">BMG_Regel_Basis+N46</f>
        <v>244267.846715328</v>
      </c>
      <c r="O47" s="206" t="n">
        <f aca="false">BMG_Regel_Basis+O46</f>
        <v>244267.846715328</v>
      </c>
      <c r="P47" s="206" t="n">
        <f aca="false">BMG_Regel_Basis+P46</f>
        <v>244267.846715328</v>
      </c>
      <c r="Q47" s="206" t="n">
        <f aca="false">BMG_Regel_Basis+Q46</f>
        <v>244267.846715328</v>
      </c>
      <c r="R47" s="348" t="n">
        <f aca="false">BMG_Regel_Basis+R46</f>
        <v>244267.846715328</v>
      </c>
      <c r="S47" s="206" t="n">
        <f aca="false">BMG_Regel_Basis+S46</f>
        <v>244267.846715328</v>
      </c>
      <c r="T47" s="206" t="n">
        <f aca="false">BMG_Regel_Basis+T46</f>
        <v>244267.846715328</v>
      </c>
      <c r="U47" s="206" t="n">
        <f aca="false">BMG_Regel_Basis+U46</f>
        <v>244267.846715328</v>
      </c>
      <c r="V47" s="206" t="n">
        <f aca="false">BMG_Regel_Basis+V46</f>
        <v>244267.846715328</v>
      </c>
      <c r="W47" s="348" t="n">
        <f aca="false">BMG_Regel_Basis+W46</f>
        <v>244267.846715328</v>
      </c>
      <c r="X47" s="206" t="n">
        <f aca="false">BMG_Regel_Basis+X46</f>
        <v>244267.846715328</v>
      </c>
      <c r="Y47" s="206" t="n">
        <f aca="false">BMG_Regel_Basis+Y46</f>
        <v>244267.846715328</v>
      </c>
      <c r="Z47" s="206" t="n">
        <f aca="false">BMG_Regel_Basis+Z46</f>
        <v>244267.846715328</v>
      </c>
      <c r="AA47" s="206" t="n">
        <f aca="false">BMG_Regel_Basis+AA46</f>
        <v>244267.846715328</v>
      </c>
      <c r="AB47" s="348" t="n">
        <f aca="false">BMG_Regel_Basis+AB46</f>
        <v>244267.846715328</v>
      </c>
      <c r="AC47" s="206" t="n">
        <f aca="false">BMG_Regel_Basis+AC46</f>
        <v>244267.846715328</v>
      </c>
      <c r="AD47" s="206" t="n">
        <f aca="false">BMG_Regel_Basis+AD46</f>
        <v>244267.846715328</v>
      </c>
      <c r="AE47" s="206" t="n">
        <f aca="false">BMG_Regel_Basis+AE46</f>
        <v>244267.846715328</v>
      </c>
      <c r="AF47" s="206" t="n">
        <f aca="false">BMG_Regel_Basis+AF46</f>
        <v>244267.846715328</v>
      </c>
      <c r="AG47" s="348" t="n">
        <f aca="false">BMG_Regel_Basis+AG46</f>
        <v>244267.846715328</v>
      </c>
      <c r="AH47" s="206" t="n">
        <f aca="false">BMG_Regel_Basis+AH46</f>
        <v>244267.846715328</v>
      </c>
      <c r="AI47" s="206" t="n">
        <f aca="false">BMG_Regel_Basis+AI46</f>
        <v>244267.846715328</v>
      </c>
      <c r="AJ47" s="206" t="n">
        <f aca="false">BMG_Regel_Basis+AJ46</f>
        <v>244267.846715328</v>
      </c>
      <c r="AK47" s="206" t="n">
        <f aca="false">BMG_Regel_Basis+AK46</f>
        <v>244267.846715328</v>
      </c>
      <c r="AL47" s="348" t="n">
        <f aca="false">BMG_Regel_Basis+AL46</f>
        <v>244267.846715328</v>
      </c>
      <c r="AM47" s="206" t="n">
        <f aca="false">BMG_Regel_Basis+AM46</f>
        <v>244267.846715328</v>
      </c>
      <c r="AN47" s="206" t="n">
        <f aca="false">BMG_Regel_Basis+AN46</f>
        <v>244267.846715328</v>
      </c>
      <c r="AO47" s="206" t="n">
        <f aca="false">BMG_Regel_Basis+AO46</f>
        <v>244267.846715328</v>
      </c>
      <c r="AP47" s="206" t="n">
        <f aca="false">BMG_Regel_Basis+AP46</f>
        <v>244267.846715328</v>
      </c>
      <c r="AQ47" s="206" t="n">
        <f aca="false">BMG_Regel_Basis+AQ46</f>
        <v>244267.846715328</v>
      </c>
    </row>
    <row r="48" customFormat="false" ht="15.75" hidden="false" customHeight="true" outlineLevel="0" collapsed="false">
      <c r="B48" s="72" t="s">
        <v>1014</v>
      </c>
      <c r="C48" s="347" t="s">
        <v>753</v>
      </c>
      <c r="D48" s="206" t="n">
        <f aca="false">D47</f>
        <v>244267.846715328</v>
      </c>
      <c r="E48" s="206" t="n">
        <f aca="false">E47-D52</f>
        <v>239382.489781022</v>
      </c>
      <c r="F48" s="206" t="n">
        <f aca="false">F47-E52</f>
        <v>234497.132846715</v>
      </c>
      <c r="G48" s="206" t="n">
        <f aca="false">G47-F52</f>
        <v>229611.775912409</v>
      </c>
      <c r="H48" s="348" t="n">
        <f aca="false">H47-G52</f>
        <v>224726.418978102</v>
      </c>
      <c r="I48" s="206" t="n">
        <f aca="false">I47-H52</f>
        <v>219841.062043796</v>
      </c>
      <c r="J48" s="206" t="n">
        <f aca="false">J47-I52</f>
        <v>214955.705109489</v>
      </c>
      <c r="K48" s="206" t="n">
        <f aca="false">K47-J52</f>
        <v>210070.348175182</v>
      </c>
      <c r="L48" s="206" t="n">
        <f aca="false">L47-K52</f>
        <v>205184.991240876</v>
      </c>
      <c r="M48" s="348" t="n">
        <f aca="false">M47-L52</f>
        <v>200299.634306569</v>
      </c>
      <c r="N48" s="206" t="n">
        <f aca="false">N47-M52</f>
        <v>195414.277372263</v>
      </c>
      <c r="O48" s="206" t="n">
        <f aca="false">O47-N52</f>
        <v>190528.920437956</v>
      </c>
      <c r="P48" s="206" t="n">
        <f aca="false">P47-O52</f>
        <v>185643.56350365</v>
      </c>
      <c r="Q48" s="206" t="n">
        <f aca="false">Q47-P52</f>
        <v>180758.206569343</v>
      </c>
      <c r="R48" s="348" t="n">
        <f aca="false">R47-Q52</f>
        <v>175872.849635037</v>
      </c>
      <c r="S48" s="206" t="n">
        <f aca="false">S47-R52</f>
        <v>170987.49270073</v>
      </c>
      <c r="T48" s="206" t="n">
        <f aca="false">T47-S52</f>
        <v>166102.135766423</v>
      </c>
      <c r="U48" s="206" t="n">
        <f aca="false">U47-T52</f>
        <v>161216.778832117</v>
      </c>
      <c r="V48" s="206" t="n">
        <f aca="false">V47-U52</f>
        <v>156331.42189781</v>
      </c>
      <c r="W48" s="348" t="n">
        <f aca="false">W47-V52</f>
        <v>151446.064963504</v>
      </c>
      <c r="X48" s="206" t="n">
        <f aca="false">X47-W52</f>
        <v>146560.708029197</v>
      </c>
      <c r="Y48" s="206" t="n">
        <f aca="false">Y47-X52</f>
        <v>141675.35109489</v>
      </c>
      <c r="Z48" s="206" t="n">
        <f aca="false">Z47-Y52</f>
        <v>136789.994160584</v>
      </c>
      <c r="AA48" s="206" t="n">
        <f aca="false">AA47-Z52</f>
        <v>131904.637226277</v>
      </c>
      <c r="AB48" s="348" t="n">
        <f aca="false">AB47-AA52</f>
        <v>127019.280291971</v>
      </c>
      <c r="AC48" s="206" t="n">
        <f aca="false">AC47-AB52</f>
        <v>122133.923357664</v>
      </c>
      <c r="AD48" s="206" t="n">
        <f aca="false">AD47-AC52</f>
        <v>117248.566423358</v>
      </c>
      <c r="AE48" s="206" t="n">
        <f aca="false">AE47-AD52</f>
        <v>112363.209489051</v>
      </c>
      <c r="AF48" s="206" t="n">
        <f aca="false">AF47-AE52</f>
        <v>107477.852554744</v>
      </c>
      <c r="AG48" s="348" t="n">
        <f aca="false">AG47-AF52</f>
        <v>102592.495620438</v>
      </c>
      <c r="AH48" s="206" t="n">
        <f aca="false">AH47-AG52</f>
        <v>97707.1386861313</v>
      </c>
      <c r="AI48" s="206" t="n">
        <f aca="false">AI47-AH52</f>
        <v>92821.7817518248</v>
      </c>
      <c r="AJ48" s="206" t="n">
        <f aca="false">AJ47-AI52</f>
        <v>87936.4248175182</v>
      </c>
      <c r="AK48" s="206" t="n">
        <f aca="false">AK47-AJ52</f>
        <v>83051.0678832117</v>
      </c>
      <c r="AL48" s="348" t="n">
        <f aca="false">AL47-AK52</f>
        <v>78165.7109489051</v>
      </c>
      <c r="AM48" s="206" t="n">
        <f aca="false">AM47-AL52</f>
        <v>73280.3540145985</v>
      </c>
      <c r="AN48" s="206" t="n">
        <f aca="false">AN47-AM52</f>
        <v>68394.997080292</v>
      </c>
      <c r="AO48" s="206" t="n">
        <f aca="false">AO47-AN52</f>
        <v>63509.6401459854</v>
      </c>
      <c r="AP48" s="206" t="n">
        <f aca="false">AP47-AO52</f>
        <v>58624.2832116789</v>
      </c>
      <c r="AQ48" s="206" t="n">
        <f aca="false">AQ47-AP52</f>
        <v>53738.9262773723</v>
      </c>
    </row>
    <row r="49" customFormat="false" ht="15.75" hidden="false" customHeight="true" outlineLevel="0" collapsed="false">
      <c r="B49" s="72" t="s">
        <v>1015</v>
      </c>
      <c r="C49" s="347" t="s">
        <v>753</v>
      </c>
      <c r="D49" s="206" t="n">
        <f aca="false">IF(Is_Degressiv=1,MIN(D48,MAX(Degressiv_Satz*D48,IF(Wechsel_linear="Ja",D48/MAX(ND_lin-(D41-1),1),0))),MIN(D48,IF(AND(SonderAfA_aktiv=1,D41&gt;SonderAfA_Jahre),$G$53/MAX(ND_lin-SonderAfA_Jahre,1),AfA_Satz_linear*D47)))</f>
        <v>4885.35693430657</v>
      </c>
      <c r="E49" s="206" t="n">
        <f aca="false">IF(Is_Degressiv=1,MIN(E48,MAX(Degressiv_Satz*E48,IF(Wechsel_linear="Ja",E48/MAX(ND_lin-(E41-1),1),0))),MIN(E48,IF(AND(SonderAfA_aktiv=1,E41&gt;SonderAfA_Jahre),$G$53/MAX(ND_lin-SonderAfA_Jahre,1),AfA_Satz_linear*E47)))</f>
        <v>4885.35693430657</v>
      </c>
      <c r="F49" s="206" t="n">
        <f aca="false">IF(Is_Degressiv=1,MIN(F48,MAX(Degressiv_Satz*F48,IF(Wechsel_linear="Ja",F48/MAX(ND_lin-(F41-1),1),0))),MIN(F48,IF(AND(SonderAfA_aktiv=1,F41&gt;SonderAfA_Jahre),$G$53/MAX(ND_lin-SonderAfA_Jahre,1),AfA_Satz_linear*F47)))</f>
        <v>4885.35693430657</v>
      </c>
      <c r="G49" s="206" t="n">
        <f aca="false">IF(Is_Degressiv=1,MIN(G48,MAX(Degressiv_Satz*G48,IF(Wechsel_linear="Ja",G48/MAX(ND_lin-(G41-1),1),0))),MIN(G48,IF(AND(SonderAfA_aktiv=1,G41&gt;SonderAfA_Jahre),$G$53/MAX(ND_lin-SonderAfA_Jahre,1),AfA_Satz_linear*G47)))</f>
        <v>4885.35693430657</v>
      </c>
      <c r="H49" s="348" t="n">
        <f aca="false">IF(Is_Degressiv=1,MIN(H48,MAX(Degressiv_Satz*H48,IF(Wechsel_linear="Ja",H48/MAX(ND_lin-(H41-1),1),0))),MIN(H48,IF(AND(SonderAfA_aktiv=1,H41&gt;SonderAfA_Jahre),$G$53/MAX(ND_lin-SonderAfA_Jahre,1),AfA_Satz_linear*H47)))</f>
        <v>4885.35693430657</v>
      </c>
      <c r="I49" s="206" t="n">
        <f aca="false">IF(Is_Degressiv=1,MIN(I48,MAX(Degressiv_Satz*I48,IF(Wechsel_linear="Ja",I48/MAX(ND_lin-(I41-1),1),0))),MIN(I48,IF(AND(SonderAfA_aktiv=1,I41&gt;SonderAfA_Jahre),$G$53/MAX(ND_lin-SonderAfA_Jahre,1),AfA_Satz_linear*I47)))</f>
        <v>4885.35693430657</v>
      </c>
      <c r="J49" s="206" t="n">
        <f aca="false">IF(Is_Degressiv=1,MIN(J48,MAX(Degressiv_Satz*J48,IF(Wechsel_linear="Ja",J48/MAX(ND_lin-(J41-1),1),0))),MIN(J48,IF(AND(SonderAfA_aktiv=1,J41&gt;SonderAfA_Jahre),$G$53/MAX(ND_lin-SonderAfA_Jahre,1),AfA_Satz_linear*J47)))</f>
        <v>4885.35693430657</v>
      </c>
      <c r="K49" s="206" t="n">
        <f aca="false">IF(Is_Degressiv=1,MIN(K48,MAX(Degressiv_Satz*K48,IF(Wechsel_linear="Ja",K48/MAX(ND_lin-(K41-1),1),0))),MIN(K48,IF(AND(SonderAfA_aktiv=1,K41&gt;SonderAfA_Jahre),$G$53/MAX(ND_lin-SonderAfA_Jahre,1),AfA_Satz_linear*K47)))</f>
        <v>4885.35693430657</v>
      </c>
      <c r="L49" s="206" t="n">
        <f aca="false">IF(Is_Degressiv=1,MIN(L48,MAX(Degressiv_Satz*L48,IF(Wechsel_linear="Ja",L48/MAX(ND_lin-(L41-1),1),0))),MIN(L48,IF(AND(SonderAfA_aktiv=1,L41&gt;SonderAfA_Jahre),$G$53/MAX(ND_lin-SonderAfA_Jahre,1),AfA_Satz_linear*L47)))</f>
        <v>4885.35693430657</v>
      </c>
      <c r="M49" s="348" t="n">
        <f aca="false">IF(Is_Degressiv=1,MIN(M48,MAX(Degressiv_Satz*M48,IF(Wechsel_linear="Ja",M48/MAX(ND_lin-(M41-1),1),0))),MIN(M48,IF(AND(SonderAfA_aktiv=1,M41&gt;SonderAfA_Jahre),$G$53/MAX(ND_lin-SonderAfA_Jahre,1),AfA_Satz_linear*M47)))</f>
        <v>4885.35693430657</v>
      </c>
      <c r="N49" s="206" t="n">
        <f aca="false">IF(Is_Degressiv=1,MIN(N48,MAX(Degressiv_Satz*N48,IF(Wechsel_linear="Ja",N48/MAX(ND_lin-(N41-1),1),0))),MIN(N48,IF(AND(SonderAfA_aktiv=1,N41&gt;SonderAfA_Jahre),$G$53/MAX(ND_lin-SonderAfA_Jahre,1),AfA_Satz_linear*N47)))</f>
        <v>4885.35693430657</v>
      </c>
      <c r="O49" s="206" t="n">
        <f aca="false">IF(Is_Degressiv=1,MIN(O48,MAX(Degressiv_Satz*O48,IF(Wechsel_linear="Ja",O48/MAX(ND_lin-(O41-1),1),0))),MIN(O48,IF(AND(SonderAfA_aktiv=1,O41&gt;SonderAfA_Jahre),$G$53/MAX(ND_lin-SonderAfA_Jahre,1),AfA_Satz_linear*O47)))</f>
        <v>4885.35693430657</v>
      </c>
      <c r="P49" s="206" t="n">
        <f aca="false">IF(Is_Degressiv=1,MIN(P48,MAX(Degressiv_Satz*P48,IF(Wechsel_linear="Ja",P48/MAX(ND_lin-(P41-1),1),0))),MIN(P48,IF(AND(SonderAfA_aktiv=1,P41&gt;SonderAfA_Jahre),$G$53/MAX(ND_lin-SonderAfA_Jahre,1),AfA_Satz_linear*P47)))</f>
        <v>4885.35693430657</v>
      </c>
      <c r="Q49" s="206" t="n">
        <f aca="false">IF(Is_Degressiv=1,MIN(Q48,MAX(Degressiv_Satz*Q48,IF(Wechsel_linear="Ja",Q48/MAX(ND_lin-(Q41-1),1),0))),MIN(Q48,IF(AND(SonderAfA_aktiv=1,Q41&gt;SonderAfA_Jahre),$G$53/MAX(ND_lin-SonderAfA_Jahre,1),AfA_Satz_linear*Q47)))</f>
        <v>4885.35693430657</v>
      </c>
      <c r="R49" s="348" t="n">
        <f aca="false">IF(Is_Degressiv=1,MIN(R48,MAX(Degressiv_Satz*R48,IF(Wechsel_linear="Ja",R48/MAX(ND_lin-(R41-1),1),0))),MIN(R48,IF(AND(SonderAfA_aktiv=1,R41&gt;SonderAfA_Jahre),$G$53/MAX(ND_lin-SonderAfA_Jahre,1),AfA_Satz_linear*R47)))</f>
        <v>4885.35693430657</v>
      </c>
      <c r="S49" s="206" t="n">
        <f aca="false">IF(Is_Degressiv=1,MIN(S48,MAX(Degressiv_Satz*S48,IF(Wechsel_linear="Ja",S48/MAX(ND_lin-(S41-1),1),0))),MIN(S48,IF(AND(SonderAfA_aktiv=1,S41&gt;SonderAfA_Jahre),$G$53/MAX(ND_lin-SonderAfA_Jahre,1),AfA_Satz_linear*S47)))</f>
        <v>4885.35693430657</v>
      </c>
      <c r="T49" s="206" t="n">
        <f aca="false">IF(Is_Degressiv=1,MIN(T48,MAX(Degressiv_Satz*T48,IF(Wechsel_linear="Ja",T48/MAX(ND_lin-(T41-1),1),0))),MIN(T48,IF(AND(SonderAfA_aktiv=1,T41&gt;SonderAfA_Jahre),$G$53/MAX(ND_lin-SonderAfA_Jahre,1),AfA_Satz_linear*T47)))</f>
        <v>4885.35693430657</v>
      </c>
      <c r="U49" s="206" t="n">
        <f aca="false">IF(Is_Degressiv=1,MIN(U48,MAX(Degressiv_Satz*U48,IF(Wechsel_linear="Ja",U48/MAX(ND_lin-(U41-1),1),0))),MIN(U48,IF(AND(SonderAfA_aktiv=1,U41&gt;SonderAfA_Jahre),$G$53/MAX(ND_lin-SonderAfA_Jahre,1),AfA_Satz_linear*U47)))</f>
        <v>4885.35693430657</v>
      </c>
      <c r="V49" s="206" t="n">
        <f aca="false">IF(Is_Degressiv=1,MIN(V48,MAX(Degressiv_Satz*V48,IF(Wechsel_linear="Ja",V48/MAX(ND_lin-(V41-1),1),0))),MIN(V48,IF(AND(SonderAfA_aktiv=1,V41&gt;SonderAfA_Jahre),$G$53/MAX(ND_lin-SonderAfA_Jahre,1),AfA_Satz_linear*V47)))</f>
        <v>4885.35693430657</v>
      </c>
      <c r="W49" s="348" t="n">
        <f aca="false">IF(Is_Degressiv=1,MIN(W48,MAX(Degressiv_Satz*W48,IF(Wechsel_linear="Ja",W48/MAX(ND_lin-(W41-1),1),0))),MIN(W48,IF(AND(SonderAfA_aktiv=1,W41&gt;SonderAfA_Jahre),$G$53/MAX(ND_lin-SonderAfA_Jahre,1),AfA_Satz_linear*W47)))</f>
        <v>4885.35693430657</v>
      </c>
      <c r="X49" s="206" t="n">
        <f aca="false">IF(Is_Degressiv=1,MIN(X48,MAX(Degressiv_Satz*X48,IF(Wechsel_linear="Ja",X48/MAX(ND_lin-(X41-1),1),0))),MIN(X48,IF(AND(SonderAfA_aktiv=1,X41&gt;SonderAfA_Jahre),$G$53/MAX(ND_lin-SonderAfA_Jahre,1),AfA_Satz_linear*X47)))</f>
        <v>4885.35693430657</v>
      </c>
      <c r="Y49" s="206" t="n">
        <f aca="false">IF(Is_Degressiv=1,MIN(Y48,MAX(Degressiv_Satz*Y48,IF(Wechsel_linear="Ja",Y48/MAX(ND_lin-(Y41-1),1),0))),MIN(Y48,IF(AND(SonderAfA_aktiv=1,Y41&gt;SonderAfA_Jahre),$G$53/MAX(ND_lin-SonderAfA_Jahre,1),AfA_Satz_linear*Y47)))</f>
        <v>4885.35693430657</v>
      </c>
      <c r="Z49" s="206" t="n">
        <f aca="false">IF(Is_Degressiv=1,MIN(Z48,MAX(Degressiv_Satz*Z48,IF(Wechsel_linear="Ja",Z48/MAX(ND_lin-(Z41-1),1),0))),MIN(Z48,IF(AND(SonderAfA_aktiv=1,Z41&gt;SonderAfA_Jahre),$G$53/MAX(ND_lin-SonderAfA_Jahre,1),AfA_Satz_linear*Z47)))</f>
        <v>4885.35693430657</v>
      </c>
      <c r="AA49" s="206" t="n">
        <f aca="false">IF(Is_Degressiv=1,MIN(AA48,MAX(Degressiv_Satz*AA48,IF(Wechsel_linear="Ja",AA48/MAX(ND_lin-(AA41-1),1),0))),MIN(AA48,IF(AND(SonderAfA_aktiv=1,AA41&gt;SonderAfA_Jahre),$G$53/MAX(ND_lin-SonderAfA_Jahre,1),AfA_Satz_linear*AA47)))</f>
        <v>4885.35693430657</v>
      </c>
      <c r="AB49" s="348" t="n">
        <f aca="false">IF(Is_Degressiv=1,MIN(AB48,MAX(Degressiv_Satz*AB48,IF(Wechsel_linear="Ja",AB48/MAX(ND_lin-(AB41-1),1),0))),MIN(AB48,IF(AND(SonderAfA_aktiv=1,AB41&gt;SonderAfA_Jahre),$G$53/MAX(ND_lin-SonderAfA_Jahre,1),AfA_Satz_linear*AB47)))</f>
        <v>4885.35693430657</v>
      </c>
      <c r="AC49" s="206" t="n">
        <f aca="false">IF(Is_Degressiv=1,MIN(AC48,MAX(Degressiv_Satz*AC48,IF(Wechsel_linear="Ja",AC48/MAX(ND_lin-(AC41-1),1),0))),MIN(AC48,IF(AND(SonderAfA_aktiv=1,AC41&gt;SonderAfA_Jahre),$G$53/MAX(ND_lin-SonderAfA_Jahre,1),AfA_Satz_linear*AC47)))</f>
        <v>4885.35693430657</v>
      </c>
      <c r="AD49" s="206" t="n">
        <f aca="false">IF(Is_Degressiv=1,MIN(AD48,MAX(Degressiv_Satz*AD48,IF(Wechsel_linear="Ja",AD48/MAX(ND_lin-(AD41-1),1),0))),MIN(AD48,IF(AND(SonderAfA_aktiv=1,AD41&gt;SonderAfA_Jahre),$G$53/MAX(ND_lin-SonderAfA_Jahre,1),AfA_Satz_linear*AD47)))</f>
        <v>4885.35693430657</v>
      </c>
      <c r="AE49" s="206" t="n">
        <f aca="false">IF(Is_Degressiv=1,MIN(AE48,MAX(Degressiv_Satz*AE48,IF(Wechsel_linear="Ja",AE48/MAX(ND_lin-(AE41-1),1),0))),MIN(AE48,IF(AND(SonderAfA_aktiv=1,AE41&gt;SonderAfA_Jahre),$G$53/MAX(ND_lin-SonderAfA_Jahre,1),AfA_Satz_linear*AE47)))</f>
        <v>4885.35693430657</v>
      </c>
      <c r="AF49" s="206" t="n">
        <f aca="false">IF(Is_Degressiv=1,MIN(AF48,MAX(Degressiv_Satz*AF48,IF(Wechsel_linear="Ja",AF48/MAX(ND_lin-(AF41-1),1),0))),MIN(AF48,IF(AND(SonderAfA_aktiv=1,AF41&gt;SonderAfA_Jahre),$G$53/MAX(ND_lin-SonderAfA_Jahre,1),AfA_Satz_linear*AF47)))</f>
        <v>4885.35693430657</v>
      </c>
      <c r="AG49" s="348" t="n">
        <f aca="false">IF(Is_Degressiv=1,MIN(AG48,MAX(Degressiv_Satz*AG48,IF(Wechsel_linear="Ja",AG48/MAX(ND_lin-(AG41-1),1),0))),MIN(AG48,IF(AND(SonderAfA_aktiv=1,AG41&gt;SonderAfA_Jahre),$G$53/MAX(ND_lin-SonderAfA_Jahre,1),AfA_Satz_linear*AG47)))</f>
        <v>4885.35693430657</v>
      </c>
      <c r="AH49" s="206" t="n">
        <f aca="false">IF(Is_Degressiv=1,MIN(AH48,MAX(Degressiv_Satz*AH48,IF(Wechsel_linear="Ja",AH48/MAX(ND_lin-(AH41-1),1),0))),MIN(AH48,IF(AND(SonderAfA_aktiv=1,AH41&gt;SonderAfA_Jahre),$G$53/MAX(ND_lin-SonderAfA_Jahre,1),AfA_Satz_linear*AH47)))</f>
        <v>4885.35693430657</v>
      </c>
      <c r="AI49" s="206" t="n">
        <f aca="false">IF(Is_Degressiv=1,MIN(AI48,MAX(Degressiv_Satz*AI48,IF(Wechsel_linear="Ja",AI48/MAX(ND_lin-(AI41-1),1),0))),MIN(AI48,IF(AND(SonderAfA_aktiv=1,AI41&gt;SonderAfA_Jahre),$G$53/MAX(ND_lin-SonderAfA_Jahre,1),AfA_Satz_linear*AI47)))</f>
        <v>4885.35693430657</v>
      </c>
      <c r="AJ49" s="206" t="n">
        <f aca="false">IF(Is_Degressiv=1,MIN(AJ48,MAX(Degressiv_Satz*AJ48,IF(Wechsel_linear="Ja",AJ48/MAX(ND_lin-(AJ41-1),1),0))),MIN(AJ48,IF(AND(SonderAfA_aktiv=1,AJ41&gt;SonderAfA_Jahre),$G$53/MAX(ND_lin-SonderAfA_Jahre,1),AfA_Satz_linear*AJ47)))</f>
        <v>4885.35693430657</v>
      </c>
      <c r="AK49" s="206" t="n">
        <f aca="false">IF(Is_Degressiv=1,MIN(AK48,MAX(Degressiv_Satz*AK48,IF(Wechsel_linear="Ja",AK48/MAX(ND_lin-(AK41-1),1),0))),MIN(AK48,IF(AND(SonderAfA_aktiv=1,AK41&gt;SonderAfA_Jahre),$G$53/MAX(ND_lin-SonderAfA_Jahre,1),AfA_Satz_linear*AK47)))</f>
        <v>4885.35693430657</v>
      </c>
      <c r="AL49" s="348" t="n">
        <f aca="false">IF(Is_Degressiv=1,MIN(AL48,MAX(Degressiv_Satz*AL48,IF(Wechsel_linear="Ja",AL48/MAX(ND_lin-(AL41-1),1),0))),MIN(AL48,IF(AND(SonderAfA_aktiv=1,AL41&gt;SonderAfA_Jahre),$G$53/MAX(ND_lin-SonderAfA_Jahre,1),AfA_Satz_linear*AL47)))</f>
        <v>4885.35693430657</v>
      </c>
      <c r="AM49" s="206" t="n">
        <f aca="false">IF(Is_Degressiv=1,MIN(AM48,MAX(Degressiv_Satz*AM48,IF(Wechsel_linear="Ja",AM48/MAX(ND_lin-(AM41-1),1),0))),MIN(AM48,IF(AND(SonderAfA_aktiv=1,AM41&gt;SonderAfA_Jahre),$G$53/MAX(ND_lin-SonderAfA_Jahre,1),AfA_Satz_linear*AM47)))</f>
        <v>4885.35693430657</v>
      </c>
      <c r="AN49" s="206" t="n">
        <f aca="false">IF(Is_Degressiv=1,MIN(AN48,MAX(Degressiv_Satz*AN48,IF(Wechsel_linear="Ja",AN48/MAX(ND_lin-(AN41-1),1),0))),MIN(AN48,IF(AND(SonderAfA_aktiv=1,AN41&gt;SonderAfA_Jahre),$G$53/MAX(ND_lin-SonderAfA_Jahre,1),AfA_Satz_linear*AN47)))</f>
        <v>4885.35693430657</v>
      </c>
      <c r="AO49" s="206" t="n">
        <f aca="false">IF(Is_Degressiv=1,MIN(AO48,MAX(Degressiv_Satz*AO48,IF(Wechsel_linear="Ja",AO48/MAX(ND_lin-(AO41-1),1),0))),MIN(AO48,IF(AND(SonderAfA_aktiv=1,AO41&gt;SonderAfA_Jahre),$G$53/MAX(ND_lin-SonderAfA_Jahre,1),AfA_Satz_linear*AO47)))</f>
        <v>4885.35693430657</v>
      </c>
      <c r="AP49" s="206" t="n">
        <f aca="false">IF(Is_Degressiv=1,MIN(AP48,MAX(Degressiv_Satz*AP48,IF(Wechsel_linear="Ja",AP48/MAX(ND_lin-(AP41-1),1),0))),MIN(AP48,IF(AND(SonderAfA_aktiv=1,AP41&gt;SonderAfA_Jahre),$G$53/MAX(ND_lin-SonderAfA_Jahre,1),AfA_Satz_linear*AP47)))</f>
        <v>4885.35693430657</v>
      </c>
      <c r="AQ49" s="206" t="n">
        <f aca="false">IF(Is_Degressiv=1,MIN(AQ48,MAX(Degressiv_Satz*AQ48,IF(Wechsel_linear="Ja",AQ48/MAX(ND_lin-(AQ41-1),1),0))),MIN(AQ48,IF(AND(SonderAfA_aktiv=1,AQ41&gt;SonderAfA_Jahre),$G$53/MAX(ND_lin-SonderAfA_Jahre,1),AfA_Satz_linear*AQ47)))</f>
        <v>4885.35693430657</v>
      </c>
    </row>
    <row r="50" customFormat="false" ht="15.75" hidden="false" customHeight="true" outlineLevel="0" collapsed="false">
      <c r="B50" s="72" t="s">
        <v>1016</v>
      </c>
      <c r="C50" s="347" t="s">
        <v>753</v>
      </c>
      <c r="D50" s="206" t="n">
        <f aca="false">IF(AND(SonderAfA_aktiv=1,D41&lt;=SonderAfA_Jahre),MIN(SonderAfA_Betrag_pa,MAX(0,D48-D49)),0)</f>
        <v>0</v>
      </c>
      <c r="E50" s="206" t="n">
        <f aca="false">IF(AND(SonderAfA_aktiv=1,E41&lt;=SonderAfA_Jahre),MIN(SonderAfA_Betrag_pa,MAX(0,E48-E49)),0)</f>
        <v>0</v>
      </c>
      <c r="F50" s="206" t="n">
        <f aca="false">IF(AND(SonderAfA_aktiv=1,F41&lt;=SonderAfA_Jahre),MIN(SonderAfA_Betrag_pa,MAX(0,F48-F49)),0)</f>
        <v>0</v>
      </c>
      <c r="G50" s="206" t="n">
        <f aca="false">IF(AND(SonderAfA_aktiv=1,G41&lt;=SonderAfA_Jahre),MIN(SonderAfA_Betrag_pa,MAX(0,G48-G49)),0)</f>
        <v>0</v>
      </c>
      <c r="H50" s="348" t="n">
        <f aca="false">IF(AND(SonderAfA_aktiv=1,H41&lt;=SonderAfA_Jahre),MIN(SonderAfA_Betrag_pa,MAX(0,H48-H49)),0)</f>
        <v>0</v>
      </c>
      <c r="I50" s="206" t="n">
        <f aca="false">IF(AND(SonderAfA_aktiv=1,I41&lt;=SonderAfA_Jahre),MIN(SonderAfA_Betrag_pa,MAX(0,I48-I49)),0)</f>
        <v>0</v>
      </c>
      <c r="J50" s="206" t="n">
        <f aca="false">IF(AND(SonderAfA_aktiv=1,J41&lt;=SonderAfA_Jahre),MIN(SonderAfA_Betrag_pa,MAX(0,J48-J49)),0)</f>
        <v>0</v>
      </c>
      <c r="K50" s="206" t="n">
        <f aca="false">IF(AND(SonderAfA_aktiv=1,K41&lt;=SonderAfA_Jahre),MIN(SonderAfA_Betrag_pa,MAX(0,K48-K49)),0)</f>
        <v>0</v>
      </c>
      <c r="L50" s="206" t="n">
        <f aca="false">IF(AND(SonderAfA_aktiv=1,L41&lt;=SonderAfA_Jahre),MIN(SonderAfA_Betrag_pa,MAX(0,L48-L49)),0)</f>
        <v>0</v>
      </c>
      <c r="M50" s="348" t="n">
        <f aca="false">IF(AND(SonderAfA_aktiv=1,M41&lt;=SonderAfA_Jahre),MIN(SonderAfA_Betrag_pa,MAX(0,M48-M49)),0)</f>
        <v>0</v>
      </c>
      <c r="N50" s="206" t="n">
        <f aca="false">IF(AND(SonderAfA_aktiv=1,N41&lt;=SonderAfA_Jahre),MIN(SonderAfA_Betrag_pa,MAX(0,N48-N49)),0)</f>
        <v>0</v>
      </c>
      <c r="O50" s="206" t="n">
        <f aca="false">IF(AND(SonderAfA_aktiv=1,O41&lt;=SonderAfA_Jahre),MIN(SonderAfA_Betrag_pa,MAX(0,O48-O49)),0)</f>
        <v>0</v>
      </c>
      <c r="P50" s="206" t="n">
        <f aca="false">IF(AND(SonderAfA_aktiv=1,P41&lt;=SonderAfA_Jahre),MIN(SonderAfA_Betrag_pa,MAX(0,P48-P49)),0)</f>
        <v>0</v>
      </c>
      <c r="Q50" s="206" t="n">
        <f aca="false">IF(AND(SonderAfA_aktiv=1,Q41&lt;=SonderAfA_Jahre),MIN(SonderAfA_Betrag_pa,MAX(0,Q48-Q49)),0)</f>
        <v>0</v>
      </c>
      <c r="R50" s="348" t="n">
        <f aca="false">IF(AND(SonderAfA_aktiv=1,R41&lt;=SonderAfA_Jahre),MIN(SonderAfA_Betrag_pa,MAX(0,R48-R49)),0)</f>
        <v>0</v>
      </c>
      <c r="S50" s="206" t="n">
        <f aca="false">IF(AND(SonderAfA_aktiv=1,S41&lt;=SonderAfA_Jahre),MIN(SonderAfA_Betrag_pa,MAX(0,S48-S49)),0)</f>
        <v>0</v>
      </c>
      <c r="T50" s="206" t="n">
        <f aca="false">IF(AND(SonderAfA_aktiv=1,T41&lt;=SonderAfA_Jahre),MIN(SonderAfA_Betrag_pa,MAX(0,T48-T49)),0)</f>
        <v>0</v>
      </c>
      <c r="U50" s="206" t="n">
        <f aca="false">IF(AND(SonderAfA_aktiv=1,U41&lt;=SonderAfA_Jahre),MIN(SonderAfA_Betrag_pa,MAX(0,U48-U49)),0)</f>
        <v>0</v>
      </c>
      <c r="V50" s="206" t="n">
        <f aca="false">IF(AND(SonderAfA_aktiv=1,V41&lt;=SonderAfA_Jahre),MIN(SonderAfA_Betrag_pa,MAX(0,V48-V49)),0)</f>
        <v>0</v>
      </c>
      <c r="W50" s="348" t="n">
        <f aca="false">IF(AND(SonderAfA_aktiv=1,W41&lt;=SonderAfA_Jahre),MIN(SonderAfA_Betrag_pa,MAX(0,W48-W49)),0)</f>
        <v>0</v>
      </c>
      <c r="X50" s="206" t="n">
        <f aca="false">IF(AND(SonderAfA_aktiv=1,X41&lt;=SonderAfA_Jahre),MIN(SonderAfA_Betrag_pa,MAX(0,X48-X49)),0)</f>
        <v>0</v>
      </c>
      <c r="Y50" s="206" t="n">
        <f aca="false">IF(AND(SonderAfA_aktiv=1,Y41&lt;=SonderAfA_Jahre),MIN(SonderAfA_Betrag_pa,MAX(0,Y48-Y49)),0)</f>
        <v>0</v>
      </c>
      <c r="Z50" s="206" t="n">
        <f aca="false">IF(AND(SonderAfA_aktiv=1,Z41&lt;=SonderAfA_Jahre),MIN(SonderAfA_Betrag_pa,MAX(0,Z48-Z49)),0)</f>
        <v>0</v>
      </c>
      <c r="AA50" s="206" t="n">
        <f aca="false">IF(AND(SonderAfA_aktiv=1,AA41&lt;=SonderAfA_Jahre),MIN(SonderAfA_Betrag_pa,MAX(0,AA48-AA49)),0)</f>
        <v>0</v>
      </c>
      <c r="AB50" s="348" t="n">
        <f aca="false">IF(AND(SonderAfA_aktiv=1,AB41&lt;=SonderAfA_Jahre),MIN(SonderAfA_Betrag_pa,MAX(0,AB48-AB49)),0)</f>
        <v>0</v>
      </c>
      <c r="AC50" s="206" t="n">
        <f aca="false">IF(AND(SonderAfA_aktiv=1,AC41&lt;=SonderAfA_Jahre),MIN(SonderAfA_Betrag_pa,MAX(0,AC48-AC49)),0)</f>
        <v>0</v>
      </c>
      <c r="AD50" s="206" t="n">
        <f aca="false">IF(AND(SonderAfA_aktiv=1,AD41&lt;=SonderAfA_Jahre),MIN(SonderAfA_Betrag_pa,MAX(0,AD48-AD49)),0)</f>
        <v>0</v>
      </c>
      <c r="AE50" s="206" t="n">
        <f aca="false">IF(AND(SonderAfA_aktiv=1,AE41&lt;=SonderAfA_Jahre),MIN(SonderAfA_Betrag_pa,MAX(0,AE48-AE49)),0)</f>
        <v>0</v>
      </c>
      <c r="AF50" s="206" t="n">
        <f aca="false">IF(AND(SonderAfA_aktiv=1,AF41&lt;=SonderAfA_Jahre),MIN(SonderAfA_Betrag_pa,MAX(0,AF48-AF49)),0)</f>
        <v>0</v>
      </c>
      <c r="AG50" s="348" t="n">
        <f aca="false">IF(AND(SonderAfA_aktiv=1,AG41&lt;=SonderAfA_Jahre),MIN(SonderAfA_Betrag_pa,MAX(0,AG48-AG49)),0)</f>
        <v>0</v>
      </c>
      <c r="AH50" s="206" t="n">
        <f aca="false">IF(AND(SonderAfA_aktiv=1,AH41&lt;=SonderAfA_Jahre),MIN(SonderAfA_Betrag_pa,MAX(0,AH48-AH49)),0)</f>
        <v>0</v>
      </c>
      <c r="AI50" s="206" t="n">
        <f aca="false">IF(AND(SonderAfA_aktiv=1,AI41&lt;=SonderAfA_Jahre),MIN(SonderAfA_Betrag_pa,MAX(0,AI48-AI49)),0)</f>
        <v>0</v>
      </c>
      <c r="AJ50" s="206" t="n">
        <f aca="false">IF(AND(SonderAfA_aktiv=1,AJ41&lt;=SonderAfA_Jahre),MIN(SonderAfA_Betrag_pa,MAX(0,AJ48-AJ49)),0)</f>
        <v>0</v>
      </c>
      <c r="AK50" s="206" t="n">
        <f aca="false">IF(AND(SonderAfA_aktiv=1,AK41&lt;=SonderAfA_Jahre),MIN(SonderAfA_Betrag_pa,MAX(0,AK48-AK49)),0)</f>
        <v>0</v>
      </c>
      <c r="AL50" s="348" t="n">
        <f aca="false">IF(AND(SonderAfA_aktiv=1,AL41&lt;=SonderAfA_Jahre),MIN(SonderAfA_Betrag_pa,MAX(0,AL48-AL49)),0)</f>
        <v>0</v>
      </c>
      <c r="AM50" s="206" t="n">
        <f aca="false">IF(AND(SonderAfA_aktiv=1,AM41&lt;=SonderAfA_Jahre),MIN(SonderAfA_Betrag_pa,MAX(0,AM48-AM49)),0)</f>
        <v>0</v>
      </c>
      <c r="AN50" s="206" t="n">
        <f aca="false">IF(AND(SonderAfA_aktiv=1,AN41&lt;=SonderAfA_Jahre),MIN(SonderAfA_Betrag_pa,MAX(0,AN48-AN49)),0)</f>
        <v>0</v>
      </c>
      <c r="AO50" s="206" t="n">
        <f aca="false">IF(AND(SonderAfA_aktiv=1,AO41&lt;=SonderAfA_Jahre),MIN(SonderAfA_Betrag_pa,MAX(0,AO48-AO49)),0)</f>
        <v>0</v>
      </c>
      <c r="AP50" s="206" t="n">
        <f aca="false">IF(AND(SonderAfA_aktiv=1,AP41&lt;=SonderAfA_Jahre),MIN(SonderAfA_Betrag_pa,MAX(0,AP48-AP49)),0)</f>
        <v>0</v>
      </c>
      <c r="AQ50" s="206" t="n">
        <f aca="false">IF(AND(SonderAfA_aktiv=1,AQ41&lt;=SonderAfA_Jahre),MIN(SonderAfA_Betrag_pa,MAX(0,AQ48-AQ49)),0)</f>
        <v>0</v>
      </c>
    </row>
    <row r="51" customFormat="false" ht="15.75" hidden="false" customHeight="true" outlineLevel="0" collapsed="false">
      <c r="B51" s="141" t="s">
        <v>1017</v>
      </c>
      <c r="C51" s="349" t="s">
        <v>753</v>
      </c>
      <c r="D51" s="210" t="n">
        <f aca="false">D49+D50</f>
        <v>4885.35693430657</v>
      </c>
      <c r="E51" s="210" t="n">
        <f aca="false">E49+E50</f>
        <v>4885.35693430657</v>
      </c>
      <c r="F51" s="210" t="n">
        <f aca="false">F49+F50</f>
        <v>4885.35693430657</v>
      </c>
      <c r="G51" s="210" t="n">
        <f aca="false">G49+G50</f>
        <v>4885.35693430657</v>
      </c>
      <c r="H51" s="350" t="n">
        <f aca="false">H49+H50</f>
        <v>4885.35693430657</v>
      </c>
      <c r="I51" s="210" t="n">
        <f aca="false">I49+I50</f>
        <v>4885.35693430657</v>
      </c>
      <c r="J51" s="210" t="n">
        <f aca="false">J49+J50</f>
        <v>4885.35693430657</v>
      </c>
      <c r="K51" s="210" t="n">
        <f aca="false">K49+K50</f>
        <v>4885.35693430657</v>
      </c>
      <c r="L51" s="210" t="n">
        <f aca="false">L49+L50</f>
        <v>4885.35693430657</v>
      </c>
      <c r="M51" s="350" t="n">
        <f aca="false">M49+M50</f>
        <v>4885.35693430657</v>
      </c>
      <c r="N51" s="210" t="n">
        <f aca="false">N49+N50</f>
        <v>4885.35693430657</v>
      </c>
      <c r="O51" s="210" t="n">
        <f aca="false">O49+O50</f>
        <v>4885.35693430657</v>
      </c>
      <c r="P51" s="210" t="n">
        <f aca="false">P49+P50</f>
        <v>4885.35693430657</v>
      </c>
      <c r="Q51" s="210" t="n">
        <f aca="false">Q49+Q50</f>
        <v>4885.35693430657</v>
      </c>
      <c r="R51" s="350" t="n">
        <f aca="false">R49+R50</f>
        <v>4885.35693430657</v>
      </c>
      <c r="S51" s="210" t="n">
        <f aca="false">S49+S50</f>
        <v>4885.35693430657</v>
      </c>
      <c r="T51" s="210" t="n">
        <f aca="false">T49+T50</f>
        <v>4885.35693430657</v>
      </c>
      <c r="U51" s="210" t="n">
        <f aca="false">U49+U50</f>
        <v>4885.35693430657</v>
      </c>
      <c r="V51" s="210" t="n">
        <f aca="false">V49+V50</f>
        <v>4885.35693430657</v>
      </c>
      <c r="W51" s="350" t="n">
        <f aca="false">W49+W50</f>
        <v>4885.35693430657</v>
      </c>
      <c r="X51" s="210" t="n">
        <f aca="false">X49+X50</f>
        <v>4885.35693430657</v>
      </c>
      <c r="Y51" s="210" t="n">
        <f aca="false">Y49+Y50</f>
        <v>4885.35693430657</v>
      </c>
      <c r="Z51" s="210" t="n">
        <f aca="false">Z49+Z50</f>
        <v>4885.35693430657</v>
      </c>
      <c r="AA51" s="210" t="n">
        <f aca="false">AA49+AA50</f>
        <v>4885.35693430657</v>
      </c>
      <c r="AB51" s="350" t="n">
        <f aca="false">AB49+AB50</f>
        <v>4885.35693430657</v>
      </c>
      <c r="AC51" s="210" t="n">
        <f aca="false">AC49+AC50</f>
        <v>4885.35693430657</v>
      </c>
      <c r="AD51" s="210" t="n">
        <f aca="false">AD49+AD50</f>
        <v>4885.35693430657</v>
      </c>
      <c r="AE51" s="210" t="n">
        <f aca="false">AE49+AE50</f>
        <v>4885.35693430657</v>
      </c>
      <c r="AF51" s="210" t="n">
        <f aca="false">AF49+AF50</f>
        <v>4885.35693430657</v>
      </c>
      <c r="AG51" s="350" t="n">
        <f aca="false">AG49+AG50</f>
        <v>4885.35693430657</v>
      </c>
      <c r="AH51" s="210" t="n">
        <f aca="false">AH49+AH50</f>
        <v>4885.35693430657</v>
      </c>
      <c r="AI51" s="210" t="n">
        <f aca="false">AI49+AI50</f>
        <v>4885.35693430657</v>
      </c>
      <c r="AJ51" s="210" t="n">
        <f aca="false">AJ49+AJ50</f>
        <v>4885.35693430657</v>
      </c>
      <c r="AK51" s="210" t="n">
        <f aca="false">AK49+AK50</f>
        <v>4885.35693430657</v>
      </c>
      <c r="AL51" s="350" t="n">
        <f aca="false">AL49+AL50</f>
        <v>4885.35693430657</v>
      </c>
      <c r="AM51" s="210" t="n">
        <f aca="false">AM49+AM50</f>
        <v>4885.35693430657</v>
      </c>
      <c r="AN51" s="210" t="n">
        <f aca="false">AN49+AN50</f>
        <v>4885.35693430657</v>
      </c>
      <c r="AO51" s="210" t="n">
        <f aca="false">AO49+AO50</f>
        <v>4885.35693430657</v>
      </c>
      <c r="AP51" s="210" t="n">
        <f aca="false">AP49+AP50</f>
        <v>4885.35693430657</v>
      </c>
      <c r="AQ51" s="210" t="n">
        <f aca="false">AQ49+AQ50</f>
        <v>4885.35693430657</v>
      </c>
    </row>
    <row r="52" customFormat="false" ht="15.75" hidden="false" customHeight="true" outlineLevel="0" collapsed="false">
      <c r="B52" s="280" t="s">
        <v>1018</v>
      </c>
      <c r="C52" s="351" t="s">
        <v>753</v>
      </c>
      <c r="D52" s="281" t="n">
        <f aca="false">D51</f>
        <v>4885.35693430657</v>
      </c>
      <c r="E52" s="281" t="n">
        <f aca="false">D52+E51</f>
        <v>9770.71386861314</v>
      </c>
      <c r="F52" s="281" t="n">
        <f aca="false">E52+F51</f>
        <v>14656.0708029197</v>
      </c>
      <c r="G52" s="281" t="n">
        <f aca="false">F52+G51</f>
        <v>19541.4277372263</v>
      </c>
      <c r="H52" s="352" t="n">
        <f aca="false">G52+H51</f>
        <v>24426.7846715328</v>
      </c>
      <c r="I52" s="281" t="n">
        <f aca="false">H52+I51</f>
        <v>29312.1416058394</v>
      </c>
      <c r="J52" s="281" t="n">
        <f aca="false">I52+J51</f>
        <v>34197.498540146</v>
      </c>
      <c r="K52" s="281" t="n">
        <f aca="false">J52+K51</f>
        <v>39082.8554744526</v>
      </c>
      <c r="L52" s="281" t="n">
        <f aca="false">K52+L51</f>
        <v>43968.2124087591</v>
      </c>
      <c r="M52" s="352" t="n">
        <f aca="false">L52+M51</f>
        <v>48853.5693430657</v>
      </c>
      <c r="N52" s="281" t="n">
        <f aca="false">M52+N51</f>
        <v>53738.9262773723</v>
      </c>
      <c r="O52" s="281" t="n">
        <f aca="false">N52+O51</f>
        <v>58624.2832116788</v>
      </c>
      <c r="P52" s="281" t="n">
        <f aca="false">O52+P51</f>
        <v>63509.6401459854</v>
      </c>
      <c r="Q52" s="281" t="n">
        <f aca="false">P52+Q51</f>
        <v>68394.997080292</v>
      </c>
      <c r="R52" s="352" t="n">
        <f aca="false">Q52+R51</f>
        <v>73280.3540145986</v>
      </c>
      <c r="S52" s="281" t="n">
        <f aca="false">R52+S51</f>
        <v>78165.7109489051</v>
      </c>
      <c r="T52" s="281" t="n">
        <f aca="false">S52+T51</f>
        <v>83051.0678832117</v>
      </c>
      <c r="U52" s="281" t="n">
        <f aca="false">T52+U51</f>
        <v>87936.4248175183</v>
      </c>
      <c r="V52" s="281" t="n">
        <f aca="false">U52+V51</f>
        <v>92821.7817518249</v>
      </c>
      <c r="W52" s="352" t="n">
        <f aca="false">V52+W51</f>
        <v>97707.1386861314</v>
      </c>
      <c r="X52" s="281" t="n">
        <f aca="false">W52+X51</f>
        <v>102592.495620438</v>
      </c>
      <c r="Y52" s="281" t="n">
        <f aca="false">X52+Y51</f>
        <v>107477.852554745</v>
      </c>
      <c r="Z52" s="281" t="n">
        <f aca="false">Y52+Z51</f>
        <v>112363.209489051</v>
      </c>
      <c r="AA52" s="281" t="n">
        <f aca="false">Z52+AA51</f>
        <v>117248.566423358</v>
      </c>
      <c r="AB52" s="352" t="n">
        <f aca="false">AA52+AB51</f>
        <v>122133.923357664</v>
      </c>
      <c r="AC52" s="281" t="n">
        <f aca="false">AB52+AC51</f>
        <v>127019.280291971</v>
      </c>
      <c r="AD52" s="281" t="n">
        <f aca="false">AC52+AD51</f>
        <v>131904.637226277</v>
      </c>
      <c r="AE52" s="281" t="n">
        <f aca="false">AD52+AE51</f>
        <v>136789.994160584</v>
      </c>
      <c r="AF52" s="281" t="n">
        <f aca="false">AE52+AF51</f>
        <v>141675.351094891</v>
      </c>
      <c r="AG52" s="352" t="n">
        <f aca="false">AF52+AG51</f>
        <v>146560.708029197</v>
      </c>
      <c r="AH52" s="281" t="n">
        <f aca="false">AG52+AH51</f>
        <v>151446.064963504</v>
      </c>
      <c r="AI52" s="281" t="n">
        <f aca="false">AH52+AI51</f>
        <v>156331.42189781</v>
      </c>
      <c r="AJ52" s="281" t="n">
        <f aca="false">AI52+AJ51</f>
        <v>161216.778832117</v>
      </c>
      <c r="AK52" s="281" t="n">
        <f aca="false">AJ52+AK51</f>
        <v>166102.135766423</v>
      </c>
      <c r="AL52" s="352" t="n">
        <f aca="false">AK52+AL51</f>
        <v>170987.49270073</v>
      </c>
      <c r="AM52" s="281" t="n">
        <f aca="false">AL52+AM51</f>
        <v>175872.849635037</v>
      </c>
      <c r="AN52" s="281" t="n">
        <f aca="false">AM52+AN51</f>
        <v>180758.206569343</v>
      </c>
      <c r="AO52" s="281" t="n">
        <f aca="false">AN52+AO51</f>
        <v>185643.56350365</v>
      </c>
      <c r="AP52" s="281" t="n">
        <f aca="false">AO52+AP51</f>
        <v>190528.920437956</v>
      </c>
      <c r="AQ52" s="281" t="n">
        <f aca="false">AP52+AQ51</f>
        <v>195414.277372263</v>
      </c>
    </row>
    <row r="53" customFormat="false" ht="15.75" hidden="false" customHeight="true" outlineLevel="0" collapsed="false">
      <c r="B53" s="280" t="s">
        <v>1019</v>
      </c>
      <c r="C53" s="351" t="s">
        <v>753</v>
      </c>
      <c r="D53" s="281" t="n">
        <f aca="false">D47-D52</f>
        <v>239382.489781022</v>
      </c>
      <c r="E53" s="281" t="n">
        <f aca="false">E47-E52</f>
        <v>234497.132846715</v>
      </c>
      <c r="F53" s="281" t="n">
        <f aca="false">F47-F52</f>
        <v>229611.775912409</v>
      </c>
      <c r="G53" s="281" t="n">
        <f aca="false">G47-G52</f>
        <v>224726.418978102</v>
      </c>
      <c r="H53" s="352" t="n">
        <f aca="false">H47-H52</f>
        <v>219841.062043796</v>
      </c>
      <c r="I53" s="281" t="n">
        <f aca="false">I47-I52</f>
        <v>214955.705109489</v>
      </c>
      <c r="J53" s="281" t="n">
        <f aca="false">J47-J52</f>
        <v>210070.348175182</v>
      </c>
      <c r="K53" s="281" t="n">
        <f aca="false">K47-K52</f>
        <v>205184.991240876</v>
      </c>
      <c r="L53" s="281" t="n">
        <f aca="false">L47-L52</f>
        <v>200299.634306569</v>
      </c>
      <c r="M53" s="352" t="n">
        <f aca="false">M47-M52</f>
        <v>195414.277372263</v>
      </c>
      <c r="N53" s="281" t="n">
        <f aca="false">N47-N52</f>
        <v>190528.920437956</v>
      </c>
      <c r="O53" s="281" t="n">
        <f aca="false">O47-O52</f>
        <v>185643.56350365</v>
      </c>
      <c r="P53" s="281" t="n">
        <f aca="false">P47-P52</f>
        <v>180758.206569343</v>
      </c>
      <c r="Q53" s="281" t="n">
        <f aca="false">Q47-Q52</f>
        <v>175872.849635037</v>
      </c>
      <c r="R53" s="352" t="n">
        <f aca="false">R47-R52</f>
        <v>170987.49270073</v>
      </c>
      <c r="S53" s="281" t="n">
        <f aca="false">S47-S52</f>
        <v>166102.135766423</v>
      </c>
      <c r="T53" s="281" t="n">
        <f aca="false">T47-T52</f>
        <v>161216.778832117</v>
      </c>
      <c r="U53" s="281" t="n">
        <f aca="false">U47-U52</f>
        <v>156331.42189781</v>
      </c>
      <c r="V53" s="281" t="n">
        <f aca="false">V47-V52</f>
        <v>151446.064963504</v>
      </c>
      <c r="W53" s="352" t="n">
        <f aca="false">W47-W52</f>
        <v>146560.708029197</v>
      </c>
      <c r="X53" s="281" t="n">
        <f aca="false">X47-X52</f>
        <v>141675.35109489</v>
      </c>
      <c r="Y53" s="281" t="n">
        <f aca="false">Y47-Y52</f>
        <v>136789.994160584</v>
      </c>
      <c r="Z53" s="281" t="n">
        <f aca="false">Z47-Z52</f>
        <v>131904.637226277</v>
      </c>
      <c r="AA53" s="281" t="n">
        <f aca="false">AA47-AA52</f>
        <v>127019.280291971</v>
      </c>
      <c r="AB53" s="352" t="n">
        <f aca="false">AB47-AB52</f>
        <v>122133.923357664</v>
      </c>
      <c r="AC53" s="281" t="n">
        <f aca="false">AC47-AC52</f>
        <v>117248.566423358</v>
      </c>
      <c r="AD53" s="281" t="n">
        <f aca="false">AD47-AD52</f>
        <v>112363.209489051</v>
      </c>
      <c r="AE53" s="281" t="n">
        <f aca="false">AE47-AE52</f>
        <v>107477.852554744</v>
      </c>
      <c r="AF53" s="281" t="n">
        <f aca="false">AF47-AF52</f>
        <v>102592.495620438</v>
      </c>
      <c r="AG53" s="352" t="n">
        <f aca="false">AG47-AG52</f>
        <v>97707.1386861313</v>
      </c>
      <c r="AH53" s="281" t="n">
        <f aca="false">AH47-AH52</f>
        <v>92821.7817518248</v>
      </c>
      <c r="AI53" s="281" t="n">
        <f aca="false">AI47-AI52</f>
        <v>87936.4248175182</v>
      </c>
      <c r="AJ53" s="281" t="n">
        <f aca="false">AJ47-AJ52</f>
        <v>83051.0678832117</v>
      </c>
      <c r="AK53" s="281" t="n">
        <f aca="false">AK47-AK52</f>
        <v>78165.7109489051</v>
      </c>
      <c r="AL53" s="352" t="n">
        <f aca="false">AL47-AL52</f>
        <v>73280.3540145985</v>
      </c>
      <c r="AM53" s="281" t="n">
        <f aca="false">AM47-AM52</f>
        <v>68394.997080292</v>
      </c>
      <c r="AN53" s="281" t="n">
        <f aca="false">AN47-AN52</f>
        <v>63509.6401459854</v>
      </c>
      <c r="AO53" s="281" t="n">
        <f aca="false">AO47-AO52</f>
        <v>58624.2832116789</v>
      </c>
      <c r="AP53" s="281" t="n">
        <f aca="false">AP47-AP52</f>
        <v>53738.9262773723</v>
      </c>
      <c r="AQ53" s="281" t="n">
        <f aca="false">AQ47-AQ52</f>
        <v>48853.5693430657</v>
      </c>
    </row>
    <row r="54" customFormat="false" ht="15.75" hidden="false" customHeight="true" outlineLevel="0" collapsed="false">
      <c r="B54" s="72" t="s">
        <v>1020</v>
      </c>
      <c r="C54" s="347" t="s">
        <v>753</v>
      </c>
      <c r="D54" s="206" t="n">
        <f aca="false">IF(Sanierung_eff&gt;0,IF(D41&lt;=8,Satz_7i_1,IF(D41&lt;=12,Satz_7i_2,0))*Sanierung_eff,0)</f>
        <v>0</v>
      </c>
      <c r="E54" s="206" t="n">
        <f aca="false">IF(Sanierung_eff&gt;0,IF(E41&lt;=8,Satz_7i_1,IF(E41&lt;=12,Satz_7i_2,0))*Sanierung_eff,0)</f>
        <v>0</v>
      </c>
      <c r="F54" s="206" t="n">
        <f aca="false">IF(Sanierung_eff&gt;0,IF(F41&lt;=8,Satz_7i_1,IF(F41&lt;=12,Satz_7i_2,0))*Sanierung_eff,0)</f>
        <v>0</v>
      </c>
      <c r="G54" s="206" t="n">
        <f aca="false">IF(Sanierung_eff&gt;0,IF(G41&lt;=8,Satz_7i_1,IF(G41&lt;=12,Satz_7i_2,0))*Sanierung_eff,0)</f>
        <v>0</v>
      </c>
      <c r="H54" s="348" t="n">
        <f aca="false">IF(Sanierung_eff&gt;0,IF(H41&lt;=8,Satz_7i_1,IF(H41&lt;=12,Satz_7i_2,0))*Sanierung_eff,0)</f>
        <v>0</v>
      </c>
      <c r="I54" s="206" t="n">
        <f aca="false">IF(Sanierung_eff&gt;0,IF(I41&lt;=8,Satz_7i_1,IF(I41&lt;=12,Satz_7i_2,0))*Sanierung_eff,0)</f>
        <v>0</v>
      </c>
      <c r="J54" s="206" t="n">
        <f aca="false">IF(Sanierung_eff&gt;0,IF(J41&lt;=8,Satz_7i_1,IF(J41&lt;=12,Satz_7i_2,0))*Sanierung_eff,0)</f>
        <v>0</v>
      </c>
      <c r="K54" s="206" t="n">
        <f aca="false">IF(Sanierung_eff&gt;0,IF(K41&lt;=8,Satz_7i_1,IF(K41&lt;=12,Satz_7i_2,0))*Sanierung_eff,0)</f>
        <v>0</v>
      </c>
      <c r="L54" s="206" t="n">
        <f aca="false">IF(Sanierung_eff&gt;0,IF(L41&lt;=8,Satz_7i_1,IF(L41&lt;=12,Satz_7i_2,0))*Sanierung_eff,0)</f>
        <v>0</v>
      </c>
      <c r="M54" s="348" t="n">
        <f aca="false">IF(Sanierung_eff&gt;0,IF(M41&lt;=8,Satz_7i_1,IF(M41&lt;=12,Satz_7i_2,0))*Sanierung_eff,0)</f>
        <v>0</v>
      </c>
      <c r="N54" s="206" t="n">
        <f aca="false">IF(Sanierung_eff&gt;0,IF(N41&lt;=8,Satz_7i_1,IF(N41&lt;=12,Satz_7i_2,0))*Sanierung_eff,0)</f>
        <v>0</v>
      </c>
      <c r="O54" s="206" t="n">
        <f aca="false">IF(Sanierung_eff&gt;0,IF(O41&lt;=8,Satz_7i_1,IF(O41&lt;=12,Satz_7i_2,0))*Sanierung_eff,0)</f>
        <v>0</v>
      </c>
      <c r="P54" s="206" t="n">
        <f aca="false">IF(Sanierung_eff&gt;0,IF(P41&lt;=8,Satz_7i_1,IF(P41&lt;=12,Satz_7i_2,0))*Sanierung_eff,0)</f>
        <v>0</v>
      </c>
      <c r="Q54" s="206" t="n">
        <f aca="false">IF(Sanierung_eff&gt;0,IF(Q41&lt;=8,Satz_7i_1,IF(Q41&lt;=12,Satz_7i_2,0))*Sanierung_eff,0)</f>
        <v>0</v>
      </c>
      <c r="R54" s="348" t="n">
        <f aca="false">IF(Sanierung_eff&gt;0,IF(R41&lt;=8,Satz_7i_1,IF(R41&lt;=12,Satz_7i_2,0))*Sanierung_eff,0)</f>
        <v>0</v>
      </c>
      <c r="S54" s="206" t="n">
        <f aca="false">IF(Sanierung_eff&gt;0,IF(S41&lt;=8,Satz_7i_1,IF(S41&lt;=12,Satz_7i_2,0))*Sanierung_eff,0)</f>
        <v>0</v>
      </c>
      <c r="T54" s="206" t="n">
        <f aca="false">IF(Sanierung_eff&gt;0,IF(T41&lt;=8,Satz_7i_1,IF(T41&lt;=12,Satz_7i_2,0))*Sanierung_eff,0)</f>
        <v>0</v>
      </c>
      <c r="U54" s="206" t="n">
        <f aca="false">IF(Sanierung_eff&gt;0,IF(U41&lt;=8,Satz_7i_1,IF(U41&lt;=12,Satz_7i_2,0))*Sanierung_eff,0)</f>
        <v>0</v>
      </c>
      <c r="V54" s="206" t="n">
        <f aca="false">IF(Sanierung_eff&gt;0,IF(V41&lt;=8,Satz_7i_1,IF(V41&lt;=12,Satz_7i_2,0))*Sanierung_eff,0)</f>
        <v>0</v>
      </c>
      <c r="W54" s="348" t="n">
        <f aca="false">IF(Sanierung_eff&gt;0,IF(W41&lt;=8,Satz_7i_1,IF(W41&lt;=12,Satz_7i_2,0))*Sanierung_eff,0)</f>
        <v>0</v>
      </c>
      <c r="X54" s="206" t="n">
        <f aca="false">IF(Sanierung_eff&gt;0,IF(X41&lt;=8,Satz_7i_1,IF(X41&lt;=12,Satz_7i_2,0))*Sanierung_eff,0)</f>
        <v>0</v>
      </c>
      <c r="Y54" s="206" t="n">
        <f aca="false">IF(Sanierung_eff&gt;0,IF(Y41&lt;=8,Satz_7i_1,IF(Y41&lt;=12,Satz_7i_2,0))*Sanierung_eff,0)</f>
        <v>0</v>
      </c>
      <c r="Z54" s="206" t="n">
        <f aca="false">IF(Sanierung_eff&gt;0,IF(Z41&lt;=8,Satz_7i_1,IF(Z41&lt;=12,Satz_7i_2,0))*Sanierung_eff,0)</f>
        <v>0</v>
      </c>
      <c r="AA54" s="206" t="n">
        <f aca="false">IF(Sanierung_eff&gt;0,IF(AA41&lt;=8,Satz_7i_1,IF(AA41&lt;=12,Satz_7i_2,0))*Sanierung_eff,0)</f>
        <v>0</v>
      </c>
      <c r="AB54" s="348" t="n">
        <f aca="false">IF(Sanierung_eff&gt;0,IF(AB41&lt;=8,Satz_7i_1,IF(AB41&lt;=12,Satz_7i_2,0))*Sanierung_eff,0)</f>
        <v>0</v>
      </c>
      <c r="AC54" s="206" t="n">
        <f aca="false">IF(Sanierung_eff&gt;0,IF(AC41&lt;=8,Satz_7i_1,IF(AC41&lt;=12,Satz_7i_2,0))*Sanierung_eff,0)</f>
        <v>0</v>
      </c>
      <c r="AD54" s="206" t="n">
        <f aca="false">IF(Sanierung_eff&gt;0,IF(AD41&lt;=8,Satz_7i_1,IF(AD41&lt;=12,Satz_7i_2,0))*Sanierung_eff,0)</f>
        <v>0</v>
      </c>
      <c r="AE54" s="206" t="n">
        <f aca="false">IF(Sanierung_eff&gt;0,IF(AE41&lt;=8,Satz_7i_1,IF(AE41&lt;=12,Satz_7i_2,0))*Sanierung_eff,0)</f>
        <v>0</v>
      </c>
      <c r="AF54" s="206" t="n">
        <f aca="false">IF(Sanierung_eff&gt;0,IF(AF41&lt;=8,Satz_7i_1,IF(AF41&lt;=12,Satz_7i_2,0))*Sanierung_eff,0)</f>
        <v>0</v>
      </c>
      <c r="AG54" s="348" t="n">
        <f aca="false">IF(Sanierung_eff&gt;0,IF(AG41&lt;=8,Satz_7i_1,IF(AG41&lt;=12,Satz_7i_2,0))*Sanierung_eff,0)</f>
        <v>0</v>
      </c>
      <c r="AH54" s="206" t="n">
        <f aca="false">IF(Sanierung_eff&gt;0,IF(AH41&lt;=8,Satz_7i_1,IF(AH41&lt;=12,Satz_7i_2,0))*Sanierung_eff,0)</f>
        <v>0</v>
      </c>
      <c r="AI54" s="206" t="n">
        <f aca="false">IF(Sanierung_eff&gt;0,IF(AI41&lt;=8,Satz_7i_1,IF(AI41&lt;=12,Satz_7i_2,0))*Sanierung_eff,0)</f>
        <v>0</v>
      </c>
      <c r="AJ54" s="206" t="n">
        <f aca="false">IF(Sanierung_eff&gt;0,IF(AJ41&lt;=8,Satz_7i_1,IF(AJ41&lt;=12,Satz_7i_2,0))*Sanierung_eff,0)</f>
        <v>0</v>
      </c>
      <c r="AK54" s="206" t="n">
        <f aca="false">IF(Sanierung_eff&gt;0,IF(AK41&lt;=8,Satz_7i_1,IF(AK41&lt;=12,Satz_7i_2,0))*Sanierung_eff,0)</f>
        <v>0</v>
      </c>
      <c r="AL54" s="348" t="n">
        <f aca="false">IF(Sanierung_eff&gt;0,IF(AL41&lt;=8,Satz_7i_1,IF(AL41&lt;=12,Satz_7i_2,0))*Sanierung_eff,0)</f>
        <v>0</v>
      </c>
      <c r="AM54" s="206" t="n">
        <f aca="false">IF(Sanierung_eff&gt;0,IF(AM41&lt;=8,Satz_7i_1,IF(AM41&lt;=12,Satz_7i_2,0))*Sanierung_eff,0)</f>
        <v>0</v>
      </c>
      <c r="AN54" s="206" t="n">
        <f aca="false">IF(Sanierung_eff&gt;0,IF(AN41&lt;=8,Satz_7i_1,IF(AN41&lt;=12,Satz_7i_2,0))*Sanierung_eff,0)</f>
        <v>0</v>
      </c>
      <c r="AO54" s="206" t="n">
        <f aca="false">IF(Sanierung_eff&gt;0,IF(AO41&lt;=8,Satz_7i_1,IF(AO41&lt;=12,Satz_7i_2,0))*Sanierung_eff,0)</f>
        <v>0</v>
      </c>
      <c r="AP54" s="206" t="n">
        <f aca="false">IF(Sanierung_eff&gt;0,IF(AP41&lt;=8,Satz_7i_1,IF(AP41&lt;=12,Satz_7i_2,0))*Sanierung_eff,0)</f>
        <v>0</v>
      </c>
      <c r="AQ54" s="206" t="n">
        <f aca="false">IF(Sanierung_eff&gt;0,IF(AQ41&lt;=8,Satz_7i_1,IF(AQ41&lt;=12,Satz_7i_2,0))*Sanierung_eff,0)</f>
        <v>0</v>
      </c>
    </row>
    <row r="55" customFormat="false" ht="15.75" hidden="false" customHeight="true" outlineLevel="0" collapsed="false">
      <c r="B55" s="72" t="s">
        <v>1021</v>
      </c>
      <c r="C55" s="347" t="s">
        <v>753</v>
      </c>
      <c r="D55" s="206" t="n">
        <f aca="false">IF(AND(N(ND_bewegl)&gt;0,D41&lt;=N(ND_bewegl)),KP_bewegl/N(ND_bewegl),0)</f>
        <v>800</v>
      </c>
      <c r="E55" s="206" t="n">
        <f aca="false">IF(AND(N(ND_bewegl)&gt;0,E41&lt;=N(ND_bewegl)),KP_bewegl/N(ND_bewegl),0)</f>
        <v>800</v>
      </c>
      <c r="F55" s="206" t="n">
        <f aca="false">IF(AND(N(ND_bewegl)&gt;0,F41&lt;=N(ND_bewegl)),KP_bewegl/N(ND_bewegl),0)</f>
        <v>800</v>
      </c>
      <c r="G55" s="206" t="n">
        <f aca="false">IF(AND(N(ND_bewegl)&gt;0,G41&lt;=N(ND_bewegl)),KP_bewegl/N(ND_bewegl),0)</f>
        <v>800</v>
      </c>
      <c r="H55" s="348" t="n">
        <f aca="false">IF(AND(N(ND_bewegl)&gt;0,H41&lt;=N(ND_bewegl)),KP_bewegl/N(ND_bewegl),0)</f>
        <v>800</v>
      </c>
      <c r="I55" s="206" t="n">
        <f aca="false">IF(AND(N(ND_bewegl)&gt;0,I41&lt;=N(ND_bewegl)),KP_bewegl/N(ND_bewegl),0)</f>
        <v>800</v>
      </c>
      <c r="J55" s="206" t="n">
        <f aca="false">IF(AND(N(ND_bewegl)&gt;0,J41&lt;=N(ND_bewegl)),KP_bewegl/N(ND_bewegl),0)</f>
        <v>800</v>
      </c>
      <c r="K55" s="206" t="n">
        <f aca="false">IF(AND(N(ND_bewegl)&gt;0,K41&lt;=N(ND_bewegl)),KP_bewegl/N(ND_bewegl),0)</f>
        <v>800</v>
      </c>
      <c r="L55" s="206" t="n">
        <f aca="false">IF(AND(N(ND_bewegl)&gt;0,L41&lt;=N(ND_bewegl)),KP_bewegl/N(ND_bewegl),0)</f>
        <v>800</v>
      </c>
      <c r="M55" s="348" t="n">
        <f aca="false">IF(AND(N(ND_bewegl)&gt;0,M41&lt;=N(ND_bewegl)),KP_bewegl/N(ND_bewegl),0)</f>
        <v>800</v>
      </c>
      <c r="N55" s="206" t="n">
        <f aca="false">IF(AND(N(ND_bewegl)&gt;0,N41&lt;=N(ND_bewegl)),KP_bewegl/N(ND_bewegl),0)</f>
        <v>0</v>
      </c>
      <c r="O55" s="206" t="n">
        <f aca="false">IF(AND(N(ND_bewegl)&gt;0,O41&lt;=N(ND_bewegl)),KP_bewegl/N(ND_bewegl),0)</f>
        <v>0</v>
      </c>
      <c r="P55" s="206" t="n">
        <f aca="false">IF(AND(N(ND_bewegl)&gt;0,P41&lt;=N(ND_bewegl)),KP_bewegl/N(ND_bewegl),0)</f>
        <v>0</v>
      </c>
      <c r="Q55" s="206" t="n">
        <f aca="false">IF(AND(N(ND_bewegl)&gt;0,Q41&lt;=N(ND_bewegl)),KP_bewegl/N(ND_bewegl),0)</f>
        <v>0</v>
      </c>
      <c r="R55" s="348" t="n">
        <f aca="false">IF(AND(N(ND_bewegl)&gt;0,R41&lt;=N(ND_bewegl)),KP_bewegl/N(ND_bewegl),0)</f>
        <v>0</v>
      </c>
      <c r="S55" s="206" t="n">
        <f aca="false">IF(AND(N(ND_bewegl)&gt;0,S41&lt;=N(ND_bewegl)),KP_bewegl/N(ND_bewegl),0)</f>
        <v>0</v>
      </c>
      <c r="T55" s="206" t="n">
        <f aca="false">IF(AND(N(ND_bewegl)&gt;0,T41&lt;=N(ND_bewegl)),KP_bewegl/N(ND_bewegl),0)</f>
        <v>0</v>
      </c>
      <c r="U55" s="206" t="n">
        <f aca="false">IF(AND(N(ND_bewegl)&gt;0,U41&lt;=N(ND_bewegl)),KP_bewegl/N(ND_bewegl),0)</f>
        <v>0</v>
      </c>
      <c r="V55" s="206" t="n">
        <f aca="false">IF(AND(N(ND_bewegl)&gt;0,V41&lt;=N(ND_bewegl)),KP_bewegl/N(ND_bewegl),0)</f>
        <v>0</v>
      </c>
      <c r="W55" s="348" t="n">
        <f aca="false">IF(AND(N(ND_bewegl)&gt;0,W41&lt;=N(ND_bewegl)),KP_bewegl/N(ND_bewegl),0)</f>
        <v>0</v>
      </c>
      <c r="X55" s="206" t="n">
        <f aca="false">IF(AND(N(ND_bewegl)&gt;0,X41&lt;=N(ND_bewegl)),KP_bewegl/N(ND_bewegl),0)</f>
        <v>0</v>
      </c>
      <c r="Y55" s="206" t="n">
        <f aca="false">IF(AND(N(ND_bewegl)&gt;0,Y41&lt;=N(ND_bewegl)),KP_bewegl/N(ND_bewegl),0)</f>
        <v>0</v>
      </c>
      <c r="Z55" s="206" t="n">
        <f aca="false">IF(AND(N(ND_bewegl)&gt;0,Z41&lt;=N(ND_bewegl)),KP_bewegl/N(ND_bewegl),0)</f>
        <v>0</v>
      </c>
      <c r="AA55" s="206" t="n">
        <f aca="false">IF(AND(N(ND_bewegl)&gt;0,AA41&lt;=N(ND_bewegl)),KP_bewegl/N(ND_bewegl),0)</f>
        <v>0</v>
      </c>
      <c r="AB55" s="348" t="n">
        <f aca="false">IF(AND(N(ND_bewegl)&gt;0,AB41&lt;=N(ND_bewegl)),KP_bewegl/N(ND_bewegl),0)</f>
        <v>0</v>
      </c>
      <c r="AC55" s="206" t="n">
        <f aca="false">IF(AND(N(ND_bewegl)&gt;0,AC41&lt;=N(ND_bewegl)),KP_bewegl/N(ND_bewegl),0)</f>
        <v>0</v>
      </c>
      <c r="AD55" s="206" t="n">
        <f aca="false">IF(AND(N(ND_bewegl)&gt;0,AD41&lt;=N(ND_bewegl)),KP_bewegl/N(ND_bewegl),0)</f>
        <v>0</v>
      </c>
      <c r="AE55" s="206" t="n">
        <f aca="false">IF(AND(N(ND_bewegl)&gt;0,AE41&lt;=N(ND_bewegl)),KP_bewegl/N(ND_bewegl),0)</f>
        <v>0</v>
      </c>
      <c r="AF55" s="206" t="n">
        <f aca="false">IF(AND(N(ND_bewegl)&gt;0,AF41&lt;=N(ND_bewegl)),KP_bewegl/N(ND_bewegl),0)</f>
        <v>0</v>
      </c>
      <c r="AG55" s="348" t="n">
        <f aca="false">IF(AND(N(ND_bewegl)&gt;0,AG41&lt;=N(ND_bewegl)),KP_bewegl/N(ND_bewegl),0)</f>
        <v>0</v>
      </c>
      <c r="AH55" s="206" t="n">
        <f aca="false">IF(AND(N(ND_bewegl)&gt;0,AH41&lt;=N(ND_bewegl)),KP_bewegl/N(ND_bewegl),0)</f>
        <v>0</v>
      </c>
      <c r="AI55" s="206" t="n">
        <f aca="false">IF(AND(N(ND_bewegl)&gt;0,AI41&lt;=N(ND_bewegl)),KP_bewegl/N(ND_bewegl),0)</f>
        <v>0</v>
      </c>
      <c r="AJ55" s="206" t="n">
        <f aca="false">IF(AND(N(ND_bewegl)&gt;0,AJ41&lt;=N(ND_bewegl)),KP_bewegl/N(ND_bewegl),0)</f>
        <v>0</v>
      </c>
      <c r="AK55" s="206" t="n">
        <f aca="false">IF(AND(N(ND_bewegl)&gt;0,AK41&lt;=N(ND_bewegl)),KP_bewegl/N(ND_bewegl),0)</f>
        <v>0</v>
      </c>
      <c r="AL55" s="348" t="n">
        <f aca="false">IF(AND(N(ND_bewegl)&gt;0,AL41&lt;=N(ND_bewegl)),KP_bewegl/N(ND_bewegl),0)</f>
        <v>0</v>
      </c>
      <c r="AM55" s="206" t="n">
        <f aca="false">IF(AND(N(ND_bewegl)&gt;0,AM41&lt;=N(ND_bewegl)),KP_bewegl/N(ND_bewegl),0)</f>
        <v>0</v>
      </c>
      <c r="AN55" s="206" t="n">
        <f aca="false">IF(AND(N(ND_bewegl)&gt;0,AN41&lt;=N(ND_bewegl)),KP_bewegl/N(ND_bewegl),0)</f>
        <v>0</v>
      </c>
      <c r="AO55" s="206" t="n">
        <f aca="false">IF(AND(N(ND_bewegl)&gt;0,AO41&lt;=N(ND_bewegl)),KP_bewegl/N(ND_bewegl),0)</f>
        <v>0</v>
      </c>
      <c r="AP55" s="206" t="n">
        <f aca="false">IF(AND(N(ND_bewegl)&gt;0,AP41&lt;=N(ND_bewegl)),KP_bewegl/N(ND_bewegl),0)</f>
        <v>0</v>
      </c>
      <c r="AQ55" s="206" t="n">
        <f aca="false">IF(AND(N(ND_bewegl)&gt;0,AQ41&lt;=N(ND_bewegl)),KP_bewegl/N(ND_bewegl),0)</f>
        <v>0</v>
      </c>
    </row>
    <row r="56" customFormat="false" ht="15.75" hidden="false" customHeight="true" outlineLevel="0" collapsed="false">
      <c r="B56" s="141" t="s">
        <v>1022</v>
      </c>
      <c r="C56" s="349" t="s">
        <v>753</v>
      </c>
      <c r="D56" s="210" t="n">
        <f aca="false">D51+D54+D55</f>
        <v>5685.35693430657</v>
      </c>
      <c r="E56" s="210" t="n">
        <f aca="false">E51+E54+E55</f>
        <v>5685.35693430657</v>
      </c>
      <c r="F56" s="210" t="n">
        <f aca="false">F51+F54+F55</f>
        <v>5685.35693430657</v>
      </c>
      <c r="G56" s="210" t="n">
        <f aca="false">G51+G54+G55</f>
        <v>5685.35693430657</v>
      </c>
      <c r="H56" s="350" t="n">
        <f aca="false">H51+H54+H55</f>
        <v>5685.35693430657</v>
      </c>
      <c r="I56" s="210" t="n">
        <f aca="false">I51+I54+I55</f>
        <v>5685.35693430657</v>
      </c>
      <c r="J56" s="210" t="n">
        <f aca="false">J51+J54+J55</f>
        <v>5685.35693430657</v>
      </c>
      <c r="K56" s="210" t="n">
        <f aca="false">K51+K54+K55</f>
        <v>5685.35693430657</v>
      </c>
      <c r="L56" s="210" t="n">
        <f aca="false">L51+L54+L55</f>
        <v>5685.35693430657</v>
      </c>
      <c r="M56" s="350" t="n">
        <f aca="false">M51+M54+M55</f>
        <v>5685.35693430657</v>
      </c>
      <c r="N56" s="210" t="n">
        <f aca="false">N51+N54+N55</f>
        <v>4885.35693430657</v>
      </c>
      <c r="O56" s="210" t="n">
        <f aca="false">O51+O54+O55</f>
        <v>4885.35693430657</v>
      </c>
      <c r="P56" s="210" t="n">
        <f aca="false">P51+P54+P55</f>
        <v>4885.35693430657</v>
      </c>
      <c r="Q56" s="210" t="n">
        <f aca="false">Q51+Q54+Q55</f>
        <v>4885.35693430657</v>
      </c>
      <c r="R56" s="350" t="n">
        <f aca="false">R51+R54+R55</f>
        <v>4885.35693430657</v>
      </c>
      <c r="S56" s="210" t="n">
        <f aca="false">S51+S54+S55</f>
        <v>4885.35693430657</v>
      </c>
      <c r="T56" s="210" t="n">
        <f aca="false">T51+T54+T55</f>
        <v>4885.35693430657</v>
      </c>
      <c r="U56" s="210" t="n">
        <f aca="false">U51+U54+U55</f>
        <v>4885.35693430657</v>
      </c>
      <c r="V56" s="210" t="n">
        <f aca="false">V51+V54+V55</f>
        <v>4885.35693430657</v>
      </c>
      <c r="W56" s="350" t="n">
        <f aca="false">W51+W54+W55</f>
        <v>4885.35693430657</v>
      </c>
      <c r="X56" s="210" t="n">
        <f aca="false">X51+X54+X55</f>
        <v>4885.35693430657</v>
      </c>
      <c r="Y56" s="210" t="n">
        <f aca="false">Y51+Y54+Y55</f>
        <v>4885.35693430657</v>
      </c>
      <c r="Z56" s="210" t="n">
        <f aca="false">Z51+Z54+Z55</f>
        <v>4885.35693430657</v>
      </c>
      <c r="AA56" s="210" t="n">
        <f aca="false">AA51+AA54+AA55</f>
        <v>4885.35693430657</v>
      </c>
      <c r="AB56" s="350" t="n">
        <f aca="false">AB51+AB54+AB55</f>
        <v>4885.35693430657</v>
      </c>
      <c r="AC56" s="210" t="n">
        <f aca="false">AC51+AC54+AC55</f>
        <v>4885.35693430657</v>
      </c>
      <c r="AD56" s="210" t="n">
        <f aca="false">AD51+AD54+AD55</f>
        <v>4885.35693430657</v>
      </c>
      <c r="AE56" s="210" t="n">
        <f aca="false">AE51+AE54+AE55</f>
        <v>4885.35693430657</v>
      </c>
      <c r="AF56" s="210" t="n">
        <f aca="false">AF51+AF54+AF55</f>
        <v>4885.35693430657</v>
      </c>
      <c r="AG56" s="350" t="n">
        <f aca="false">AG51+AG54+AG55</f>
        <v>4885.35693430657</v>
      </c>
      <c r="AH56" s="210" t="n">
        <f aca="false">AH51+AH54+AH55</f>
        <v>4885.35693430657</v>
      </c>
      <c r="AI56" s="210" t="n">
        <f aca="false">AI51+AI54+AI55</f>
        <v>4885.35693430657</v>
      </c>
      <c r="AJ56" s="210" t="n">
        <f aca="false">AJ51+AJ54+AJ55</f>
        <v>4885.35693430657</v>
      </c>
      <c r="AK56" s="210" t="n">
        <f aca="false">AK51+AK54+AK55</f>
        <v>4885.35693430657</v>
      </c>
      <c r="AL56" s="350" t="n">
        <f aca="false">AL51+AL54+AL55</f>
        <v>4885.35693430657</v>
      </c>
      <c r="AM56" s="210" t="n">
        <f aca="false">AM51+AM54+AM55</f>
        <v>4885.35693430657</v>
      </c>
      <c r="AN56" s="210" t="n">
        <f aca="false">AN51+AN54+AN55</f>
        <v>4885.35693430657</v>
      </c>
      <c r="AO56" s="210" t="n">
        <f aca="false">AO51+AO54+AO55</f>
        <v>4885.35693430657</v>
      </c>
      <c r="AP56" s="210" t="n">
        <f aca="false">AP51+AP54+AP55</f>
        <v>4885.35693430657</v>
      </c>
      <c r="AQ56" s="210" t="n">
        <f aca="false">AQ51+AQ54+AQ55</f>
        <v>4885.35693430657</v>
      </c>
    </row>
    <row r="57" customFormat="false" ht="15.75" hidden="false" customHeight="true" outlineLevel="0" collapsed="false">
      <c r="B57" s="280" t="s">
        <v>1023</v>
      </c>
      <c r="C57" s="351" t="s">
        <v>753</v>
      </c>
      <c r="D57" s="281" t="n">
        <f aca="false">D56</f>
        <v>5685.35693430657</v>
      </c>
      <c r="E57" s="281" t="n">
        <f aca="false">D57+E56</f>
        <v>11370.7138686131</v>
      </c>
      <c r="F57" s="281" t="n">
        <f aca="false">E57+F56</f>
        <v>17056.0708029197</v>
      </c>
      <c r="G57" s="281" t="n">
        <f aca="false">F57+G56</f>
        <v>22741.4277372263</v>
      </c>
      <c r="H57" s="352" t="n">
        <f aca="false">G57+H56</f>
        <v>28426.7846715328</v>
      </c>
      <c r="I57" s="281" t="n">
        <f aca="false">H57+I56</f>
        <v>34112.1416058394</v>
      </c>
      <c r="J57" s="281" t="n">
        <f aca="false">I57+J56</f>
        <v>39797.498540146</v>
      </c>
      <c r="K57" s="281" t="n">
        <f aca="false">J57+K56</f>
        <v>45482.8554744526</v>
      </c>
      <c r="L57" s="281" t="n">
        <f aca="false">K57+L56</f>
        <v>51168.2124087591</v>
      </c>
      <c r="M57" s="352" t="n">
        <f aca="false">L57+M56</f>
        <v>56853.5693430657</v>
      </c>
      <c r="N57" s="281" t="n">
        <f aca="false">M57+N56</f>
        <v>61738.9262773723</v>
      </c>
      <c r="O57" s="281" t="n">
        <f aca="false">N57+O56</f>
        <v>66624.2832116788</v>
      </c>
      <c r="P57" s="281" t="n">
        <f aca="false">O57+P56</f>
        <v>71509.6401459854</v>
      </c>
      <c r="Q57" s="281" t="n">
        <f aca="false">P57+Q56</f>
        <v>76394.997080292</v>
      </c>
      <c r="R57" s="352" t="n">
        <f aca="false">Q57+R56</f>
        <v>81280.3540145986</v>
      </c>
      <c r="S57" s="281" t="n">
        <f aca="false">R57+S56</f>
        <v>86165.7109489051</v>
      </c>
      <c r="T57" s="281" t="n">
        <f aca="false">S57+T56</f>
        <v>91051.0678832117</v>
      </c>
      <c r="U57" s="281" t="n">
        <f aca="false">T57+U56</f>
        <v>95936.4248175183</v>
      </c>
      <c r="V57" s="281" t="n">
        <f aca="false">U57+V56</f>
        <v>100821.781751825</v>
      </c>
      <c r="W57" s="352" t="n">
        <f aca="false">V57+W56</f>
        <v>105707.138686131</v>
      </c>
      <c r="X57" s="281" t="n">
        <f aca="false">W57+X56</f>
        <v>110592.495620438</v>
      </c>
      <c r="Y57" s="281" t="n">
        <f aca="false">X57+Y56</f>
        <v>115477.852554745</v>
      </c>
      <c r="Z57" s="281" t="n">
        <f aca="false">Y57+Z56</f>
        <v>120363.209489051</v>
      </c>
      <c r="AA57" s="281" t="n">
        <f aca="false">Z57+AA56</f>
        <v>125248.566423358</v>
      </c>
      <c r="AB57" s="352" t="n">
        <f aca="false">AA57+AB56</f>
        <v>130133.923357664</v>
      </c>
      <c r="AC57" s="281" t="n">
        <f aca="false">AB57+AC56</f>
        <v>135019.280291971</v>
      </c>
      <c r="AD57" s="281" t="n">
        <f aca="false">AC57+AD56</f>
        <v>139904.637226277</v>
      </c>
      <c r="AE57" s="281" t="n">
        <f aca="false">AD57+AE56</f>
        <v>144789.994160584</v>
      </c>
      <c r="AF57" s="281" t="n">
        <f aca="false">AE57+AF56</f>
        <v>149675.351094891</v>
      </c>
      <c r="AG57" s="352" t="n">
        <f aca="false">AF57+AG56</f>
        <v>154560.708029197</v>
      </c>
      <c r="AH57" s="281" t="n">
        <f aca="false">AG57+AH56</f>
        <v>159446.064963504</v>
      </c>
      <c r="AI57" s="281" t="n">
        <f aca="false">AH57+AI56</f>
        <v>164331.42189781</v>
      </c>
      <c r="AJ57" s="281" t="n">
        <f aca="false">AI57+AJ56</f>
        <v>169216.778832117</v>
      </c>
      <c r="AK57" s="281" t="n">
        <f aca="false">AJ57+AK56</f>
        <v>174102.135766423</v>
      </c>
      <c r="AL57" s="352" t="n">
        <f aca="false">AK57+AL56</f>
        <v>178987.49270073</v>
      </c>
      <c r="AM57" s="281" t="n">
        <f aca="false">AL57+AM56</f>
        <v>183872.849635037</v>
      </c>
      <c r="AN57" s="281" t="n">
        <f aca="false">AM57+AN56</f>
        <v>188758.206569343</v>
      </c>
      <c r="AO57" s="281" t="n">
        <f aca="false">AN57+AO56</f>
        <v>193643.56350365</v>
      </c>
      <c r="AP57" s="281" t="n">
        <f aca="false">AO57+AP56</f>
        <v>198528.920437956</v>
      </c>
      <c r="AQ57" s="281" t="n">
        <f aca="false">AP57+AQ56</f>
        <v>203414.277372263</v>
      </c>
    </row>
    <row r="58" customFormat="false" ht="12" hidden="false" customHeight="tru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customFormat="false" ht="24" hidden="false" customHeight="true" outlineLevel="0" collapsed="false">
      <c r="B59" s="33" t="s">
        <v>1024</v>
      </c>
      <c r="C59" s="35" t="s">
        <v>659</v>
      </c>
      <c r="D59" s="368" t="n">
        <f aca="false">D$42</f>
        <v>2026</v>
      </c>
      <c r="E59" s="368" t="n">
        <f aca="false">E$42</f>
        <v>2027</v>
      </c>
      <c r="F59" s="368" t="n">
        <f aca="false">F$42</f>
        <v>2028</v>
      </c>
      <c r="G59" s="368" t="n">
        <f aca="false">G$42</f>
        <v>2029</v>
      </c>
      <c r="H59" s="369" t="n">
        <f aca="false">H$42</f>
        <v>2030</v>
      </c>
      <c r="I59" s="368" t="n">
        <f aca="false">I$42</f>
        <v>2031</v>
      </c>
      <c r="J59" s="368" t="n">
        <f aca="false">J$42</f>
        <v>2032</v>
      </c>
      <c r="K59" s="368" t="n">
        <f aca="false">K$42</f>
        <v>2033</v>
      </c>
      <c r="L59" s="368" t="n">
        <f aca="false">L$42</f>
        <v>2034</v>
      </c>
      <c r="M59" s="369" t="n">
        <f aca="false">M$42</f>
        <v>2035</v>
      </c>
      <c r="N59" s="368" t="n">
        <f aca="false">N$42</f>
        <v>2036</v>
      </c>
      <c r="O59" s="368" t="n">
        <f aca="false">O$42</f>
        <v>2037</v>
      </c>
      <c r="P59" s="368" t="n">
        <f aca="false">P$42</f>
        <v>2038</v>
      </c>
      <c r="Q59" s="368" t="n">
        <f aca="false">Q$42</f>
        <v>2039</v>
      </c>
      <c r="R59" s="369" t="n">
        <f aca="false">R$42</f>
        <v>2040</v>
      </c>
      <c r="S59" s="368" t="n">
        <f aca="false">S$42</f>
        <v>2041</v>
      </c>
      <c r="T59" s="368" t="n">
        <f aca="false">T$42</f>
        <v>2042</v>
      </c>
      <c r="U59" s="368" t="n">
        <f aca="false">U$42</f>
        <v>2043</v>
      </c>
      <c r="V59" s="368" t="n">
        <f aca="false">V$42</f>
        <v>2044</v>
      </c>
      <c r="W59" s="369" t="n">
        <f aca="false">W$42</f>
        <v>2045</v>
      </c>
      <c r="X59" s="368" t="n">
        <f aca="false">X$42</f>
        <v>2046</v>
      </c>
      <c r="Y59" s="368" t="n">
        <f aca="false">Y$42</f>
        <v>2047</v>
      </c>
      <c r="Z59" s="368" t="n">
        <f aca="false">Z$42</f>
        <v>2048</v>
      </c>
      <c r="AA59" s="368" t="n">
        <f aca="false">AA$42</f>
        <v>2049</v>
      </c>
      <c r="AB59" s="369" t="n">
        <f aca="false">AB$42</f>
        <v>2050</v>
      </c>
      <c r="AC59" s="368" t="n">
        <f aca="false">AC$42</f>
        <v>2051</v>
      </c>
      <c r="AD59" s="368" t="n">
        <f aca="false">AD$42</f>
        <v>2052</v>
      </c>
      <c r="AE59" s="368" t="n">
        <f aca="false">AE$42</f>
        <v>2053</v>
      </c>
      <c r="AF59" s="368" t="n">
        <f aca="false">AF$42</f>
        <v>2054</v>
      </c>
      <c r="AG59" s="369" t="n">
        <f aca="false">AG$42</f>
        <v>2055</v>
      </c>
      <c r="AH59" s="368" t="n">
        <f aca="false">AH$42</f>
        <v>2056</v>
      </c>
      <c r="AI59" s="368" t="n">
        <f aca="false">AI$42</f>
        <v>2057</v>
      </c>
      <c r="AJ59" s="368" t="n">
        <f aca="false">AJ$42</f>
        <v>2058</v>
      </c>
      <c r="AK59" s="368" t="n">
        <f aca="false">AK$42</f>
        <v>2059</v>
      </c>
      <c r="AL59" s="369" t="n">
        <f aca="false">AL$42</f>
        <v>2060</v>
      </c>
      <c r="AM59" s="368" t="n">
        <f aca="false">AM$42</f>
        <v>2061</v>
      </c>
      <c r="AN59" s="368" t="n">
        <f aca="false">AN$42</f>
        <v>2062</v>
      </c>
      <c r="AO59" s="368" t="n">
        <f aca="false">AO$42</f>
        <v>2063</v>
      </c>
      <c r="AP59" s="368" t="n">
        <f aca="false">AP$42</f>
        <v>2064</v>
      </c>
      <c r="AQ59" s="368" t="n">
        <f aca="false">AQ$42</f>
        <v>2065</v>
      </c>
    </row>
    <row r="60" customFormat="false" ht="15.75" hidden="false" customHeight="true" outlineLevel="0" collapsed="false">
      <c r="B60" s="72" t="s">
        <v>1025</v>
      </c>
      <c r="C60" s="347" t="s">
        <v>753</v>
      </c>
      <c r="D60" s="206" t="n">
        <f aca="false">Projektion!D15</f>
        <v>11058</v>
      </c>
      <c r="E60" s="206" t="n">
        <f aca="false">Projektion!E15</f>
        <v>11279.16</v>
      </c>
      <c r="F60" s="206" t="n">
        <f aca="false">Projektion!F15</f>
        <v>11504.7432</v>
      </c>
      <c r="G60" s="206" t="n">
        <f aca="false">Projektion!G15</f>
        <v>11734.838064</v>
      </c>
      <c r="H60" s="348" t="n">
        <f aca="false">Projektion!H15</f>
        <v>11969.53482528</v>
      </c>
      <c r="I60" s="206" t="n">
        <f aca="false">Projektion!I15</f>
        <v>12208.9255217856</v>
      </c>
      <c r="J60" s="206" t="n">
        <f aca="false">Projektion!J15</f>
        <v>12453.1040322213</v>
      </c>
      <c r="K60" s="206" t="n">
        <f aca="false">Projektion!K15</f>
        <v>12702.1661128657</v>
      </c>
      <c r="L60" s="206" t="n">
        <f aca="false">Projektion!L15</f>
        <v>12956.2094351231</v>
      </c>
      <c r="M60" s="348" t="n">
        <f aca="false">Projektion!M15</f>
        <v>13215.3336238255</v>
      </c>
      <c r="N60" s="206" t="n">
        <f aca="false">Projektion!N15</f>
        <v>13479.640296302</v>
      </c>
      <c r="O60" s="206" t="n">
        <f aca="false">Projektion!O15</f>
        <v>13749.2331022281</v>
      </c>
      <c r="P60" s="206" t="n">
        <f aca="false">Projektion!P15</f>
        <v>14024.2177642726</v>
      </c>
      <c r="Q60" s="206" t="n">
        <f aca="false">Projektion!Q15</f>
        <v>14304.7021195581</v>
      </c>
      <c r="R60" s="348" t="n">
        <f aca="false">Projektion!R15</f>
        <v>14590.7961619492</v>
      </c>
      <c r="S60" s="206" t="n">
        <f aca="false">Projektion!S15</f>
        <v>14882.6120851882</v>
      </c>
      <c r="T60" s="206" t="n">
        <f aca="false">Projektion!T15</f>
        <v>15180.264326892</v>
      </c>
      <c r="U60" s="206" t="n">
        <f aca="false">Projektion!U15</f>
        <v>15483.8696134298</v>
      </c>
      <c r="V60" s="206" t="n">
        <f aca="false">Projektion!V15</f>
        <v>15793.5470056984</v>
      </c>
      <c r="W60" s="348" t="n">
        <f aca="false">Projektion!W15</f>
        <v>16109.4179458124</v>
      </c>
      <c r="X60" s="206" t="n">
        <f aca="false">Projektion!X15</f>
        <v>16431.6063047286</v>
      </c>
      <c r="Y60" s="206" t="n">
        <f aca="false">Projektion!Y15</f>
        <v>16760.2384308232</v>
      </c>
      <c r="Z60" s="206" t="n">
        <f aca="false">Projektion!Z15</f>
        <v>17095.4431994397</v>
      </c>
      <c r="AA60" s="206" t="n">
        <f aca="false">Projektion!AA15</f>
        <v>17437.3520634285</v>
      </c>
      <c r="AB60" s="348" t="n">
        <f aca="false">Projektion!AB15</f>
        <v>17786.0991046971</v>
      </c>
      <c r="AC60" s="206" t="n">
        <f aca="false">Projektion!AC15</f>
        <v>18141.821086791</v>
      </c>
      <c r="AD60" s="206" t="n">
        <f aca="false">Projektion!AD15</f>
        <v>18504.6575085268</v>
      </c>
      <c r="AE60" s="206" t="n">
        <f aca="false">Projektion!AE15</f>
        <v>18874.7506586973</v>
      </c>
      <c r="AF60" s="206" t="n">
        <f aca="false">Projektion!AF15</f>
        <v>19252.2456718713</v>
      </c>
      <c r="AG60" s="348" t="n">
        <f aca="false">Projektion!AG15</f>
        <v>19637.2905853087</v>
      </c>
      <c r="AH60" s="206" t="n">
        <f aca="false">Projektion!AH15</f>
        <v>20030.0363970149</v>
      </c>
      <c r="AI60" s="206" t="n">
        <f aca="false">Projektion!AI15</f>
        <v>20430.6371249552</v>
      </c>
      <c r="AJ60" s="206" t="n">
        <f aca="false">Projektion!AJ15</f>
        <v>20839.2498674543</v>
      </c>
      <c r="AK60" s="206" t="n">
        <f aca="false">Projektion!AK15</f>
        <v>21256.0348648034</v>
      </c>
      <c r="AL60" s="348" t="n">
        <f aca="false">Projektion!AL15</f>
        <v>21681.1555620995</v>
      </c>
      <c r="AM60" s="206" t="n">
        <f aca="false">Projektion!AM15</f>
        <v>22114.7786733414</v>
      </c>
      <c r="AN60" s="206" t="n">
        <f aca="false">Projektion!AN15</f>
        <v>22557.0742468083</v>
      </c>
      <c r="AO60" s="206" t="n">
        <f aca="false">Projektion!AO15</f>
        <v>23008.2157317444</v>
      </c>
      <c r="AP60" s="206" t="n">
        <f aca="false">Projektion!AP15</f>
        <v>23468.3800463793</v>
      </c>
      <c r="AQ60" s="206" t="n">
        <f aca="false">Projektion!AQ15</f>
        <v>23937.7476473069</v>
      </c>
    </row>
    <row r="61" customFormat="false" ht="15.75" hidden="false" customHeight="true" outlineLevel="0" collapsed="false">
      <c r="B61" s="143" t="s">
        <v>1026</v>
      </c>
      <c r="C61" s="347" t="s">
        <v>753</v>
      </c>
      <c r="D61" s="206" t="n">
        <f aca="false">Projektion!D20+Projektion!D22+Projektion!D23</f>
        <v>1020</v>
      </c>
      <c r="E61" s="206" t="n">
        <f aca="false">Projektion!E20+Projektion!E22+Projektion!E23</f>
        <v>1040.4</v>
      </c>
      <c r="F61" s="206" t="n">
        <f aca="false">Projektion!F20+Projektion!F22+Projektion!F23</f>
        <v>1061.208</v>
      </c>
      <c r="G61" s="206" t="n">
        <f aca="false">Projektion!G20+Projektion!G22+Projektion!G23</f>
        <v>1082.43216</v>
      </c>
      <c r="H61" s="348" t="n">
        <f aca="false">Projektion!H20+Projektion!H22+Projektion!H23</f>
        <v>1104.0808032</v>
      </c>
      <c r="I61" s="206" t="n">
        <f aca="false">Projektion!I20+Projektion!I22+Projektion!I23</f>
        <v>1126.162419264</v>
      </c>
      <c r="J61" s="206" t="n">
        <f aca="false">Projektion!J20+Projektion!J22+Projektion!J23</f>
        <v>1148.68566764928</v>
      </c>
      <c r="K61" s="206" t="n">
        <f aca="false">Projektion!K20+Projektion!K22+Projektion!K23</f>
        <v>1171.65938100227</v>
      </c>
      <c r="L61" s="206" t="n">
        <f aca="false">Projektion!L20+Projektion!L22+Projektion!L23</f>
        <v>1195.09256862231</v>
      </c>
      <c r="M61" s="348" t="n">
        <f aca="false">Projektion!M20+Projektion!M22+Projektion!M23</f>
        <v>1218.99441999476</v>
      </c>
      <c r="N61" s="206" t="n">
        <f aca="false">Projektion!N20+Projektion!N22+Projektion!N23</f>
        <v>1243.37430839465</v>
      </c>
      <c r="O61" s="206" t="n">
        <f aca="false">Projektion!O20+Projektion!O22+Projektion!O23</f>
        <v>1268.24179456255</v>
      </c>
      <c r="P61" s="206" t="n">
        <f aca="false">Projektion!P20+Projektion!P22+Projektion!P23</f>
        <v>1293.6066304538</v>
      </c>
      <c r="Q61" s="206" t="n">
        <f aca="false">Projektion!Q20+Projektion!Q22+Projektion!Q23</f>
        <v>1319.47876306287</v>
      </c>
      <c r="R61" s="348" t="n">
        <f aca="false">Projektion!R20+Projektion!R22+Projektion!R23</f>
        <v>1345.86833832413</v>
      </c>
      <c r="S61" s="206" t="n">
        <f aca="false">Projektion!S20+Projektion!S22+Projektion!S23</f>
        <v>1372.78570509061</v>
      </c>
      <c r="T61" s="206" t="n">
        <f aca="false">Projektion!T20+Projektion!T22+Projektion!T23</f>
        <v>1400.24141919242</v>
      </c>
      <c r="U61" s="206" t="n">
        <f aca="false">Projektion!U20+Projektion!U22+Projektion!U23</f>
        <v>1428.24624757627</v>
      </c>
      <c r="V61" s="206" t="n">
        <f aca="false">Projektion!V20+Projektion!V22+Projektion!V23</f>
        <v>1456.8111725278</v>
      </c>
      <c r="W61" s="348" t="n">
        <f aca="false">Projektion!W20+Projektion!W22+Projektion!W23</f>
        <v>1485.94739597835</v>
      </c>
      <c r="X61" s="206" t="n">
        <f aca="false">Projektion!X20+Projektion!X22+Projektion!X23</f>
        <v>1515.66634389792</v>
      </c>
      <c r="Y61" s="206" t="n">
        <f aca="false">Projektion!Y20+Projektion!Y22+Projektion!Y23</f>
        <v>1545.97967077588</v>
      </c>
      <c r="Z61" s="206" t="n">
        <f aca="false">Projektion!Z20+Projektion!Z22+Projektion!Z23</f>
        <v>1576.8992641914</v>
      </c>
      <c r="AA61" s="206" t="n">
        <f aca="false">Projektion!AA20+Projektion!AA22+Projektion!AA23</f>
        <v>1608.43724947523</v>
      </c>
      <c r="AB61" s="348" t="n">
        <f aca="false">Projektion!AB20+Projektion!AB22+Projektion!AB23</f>
        <v>1640.60599446473</v>
      </c>
      <c r="AC61" s="206" t="n">
        <f aca="false">Projektion!AC20+Projektion!AC22+Projektion!AC23</f>
        <v>1673.41811435403</v>
      </c>
      <c r="AD61" s="206" t="n">
        <f aca="false">Projektion!AD20+Projektion!AD22+Projektion!AD23</f>
        <v>1706.88647664111</v>
      </c>
      <c r="AE61" s="206" t="n">
        <f aca="false">Projektion!AE20+Projektion!AE22+Projektion!AE23</f>
        <v>1741.02420617393</v>
      </c>
      <c r="AF61" s="206" t="n">
        <f aca="false">Projektion!AF20+Projektion!AF22+Projektion!AF23</f>
        <v>1775.84469029741</v>
      </c>
      <c r="AG61" s="348" t="n">
        <f aca="false">Projektion!AG20+Projektion!AG22+Projektion!AG23</f>
        <v>1811.36158410335</v>
      </c>
      <c r="AH61" s="206" t="n">
        <f aca="false">Projektion!AH20+Projektion!AH22+Projektion!AH23</f>
        <v>1847.58881578542</v>
      </c>
      <c r="AI61" s="206" t="n">
        <f aca="false">Projektion!AI20+Projektion!AI22+Projektion!AI23</f>
        <v>1884.54059210113</v>
      </c>
      <c r="AJ61" s="206" t="n">
        <f aca="false">Projektion!AJ20+Projektion!AJ22+Projektion!AJ23</f>
        <v>1922.23140394315</v>
      </c>
      <c r="AK61" s="206" t="n">
        <f aca="false">Projektion!AK20+Projektion!AK22+Projektion!AK23</f>
        <v>1960.67603202202</v>
      </c>
      <c r="AL61" s="348" t="n">
        <f aca="false">Projektion!AL20+Projektion!AL22+Projektion!AL23</f>
        <v>1999.88955266246</v>
      </c>
      <c r="AM61" s="206" t="n">
        <f aca="false">Projektion!AM20+Projektion!AM22+Projektion!AM23</f>
        <v>2039.88734371571</v>
      </c>
      <c r="AN61" s="206" t="n">
        <f aca="false">Projektion!AN20+Projektion!AN22+Projektion!AN23</f>
        <v>2080.68509059002</v>
      </c>
      <c r="AO61" s="206" t="n">
        <f aca="false">Projektion!AO20+Projektion!AO22+Projektion!AO23</f>
        <v>2122.29879240182</v>
      </c>
      <c r="AP61" s="206" t="n">
        <f aca="false">Projektion!AP20+Projektion!AP22+Projektion!AP23</f>
        <v>2164.74476824986</v>
      </c>
      <c r="AQ61" s="206" t="n">
        <f aca="false">Projektion!AQ20+Projektion!AQ22+Projektion!AQ23</f>
        <v>2208.03966361485</v>
      </c>
    </row>
    <row r="62" customFormat="false" ht="15.75" hidden="false" customHeight="true" outlineLevel="0" collapsed="false">
      <c r="B62" s="143" t="s">
        <v>1027</v>
      </c>
      <c r="C62" s="347" t="s">
        <v>753</v>
      </c>
      <c r="D62" s="206" t="n">
        <f aca="false">Finanzierung!D35</f>
        <v>9000</v>
      </c>
      <c r="E62" s="206" t="n">
        <f aca="false">Finanzierung!E35</f>
        <v>8820</v>
      </c>
      <c r="F62" s="206" t="n">
        <f aca="false">Finanzierung!F35</f>
        <v>8633.52</v>
      </c>
      <c r="G62" s="206" t="n">
        <f aca="false">Finanzierung!G35</f>
        <v>8440.32672</v>
      </c>
      <c r="H62" s="348" t="n">
        <f aca="false">Finanzierung!H35</f>
        <v>8240.17848192</v>
      </c>
      <c r="I62" s="206" t="n">
        <f aca="false">Finanzierung!I35</f>
        <v>8032.82490726912</v>
      </c>
      <c r="J62" s="206" t="n">
        <f aca="false">Finanzierung!J35</f>
        <v>7818.00660393081</v>
      </c>
      <c r="K62" s="206" t="n">
        <f aca="false">Finanzierung!K35</f>
        <v>7595.45484167232</v>
      </c>
      <c r="L62" s="206" t="n">
        <f aca="false">Finanzierung!L35</f>
        <v>7364.89121597252</v>
      </c>
      <c r="M62" s="348" t="n">
        <f aca="false">Finanzierung!M35</f>
        <v>7126.02729974753</v>
      </c>
      <c r="N62" s="206" t="n">
        <f aca="false">Finanzierung!N35</f>
        <v>8598.20535317305</v>
      </c>
      <c r="O62" s="206" t="n">
        <f aca="false">Finanzierung!O35</f>
        <v>8355.12459406584</v>
      </c>
      <c r="P62" s="206" t="n">
        <f aca="false">Finanzierung!P35</f>
        <v>8101.10520079881</v>
      </c>
      <c r="Q62" s="206" t="n">
        <f aca="false">Finanzierung!Q35</f>
        <v>7835.65493483475</v>
      </c>
      <c r="R62" s="348" t="n">
        <f aca="false">Finanzierung!R35</f>
        <v>7558.25940690232</v>
      </c>
      <c r="S62" s="206" t="n">
        <f aca="false">Finanzierung!S35</f>
        <v>7268.38108021292</v>
      </c>
      <c r="T62" s="206" t="n">
        <f aca="false">Finanzierung!T35</f>
        <v>6965.4582288225</v>
      </c>
      <c r="U62" s="206" t="n">
        <f aca="false">Finanzierung!U35</f>
        <v>6648.90384911951</v>
      </c>
      <c r="V62" s="206" t="n">
        <f aca="false">Finanzierung!V35</f>
        <v>6318.10452232989</v>
      </c>
      <c r="W62" s="348" t="n">
        <f aca="false">Finanzierung!W35</f>
        <v>5972.41922583474</v>
      </c>
      <c r="X62" s="206" t="n">
        <f aca="false">Finanzierung!X35</f>
        <v>5611.1780909973</v>
      </c>
      <c r="Y62" s="206" t="n">
        <f aca="false">Finanzierung!Y35</f>
        <v>5233.68110509218</v>
      </c>
      <c r="Z62" s="206" t="n">
        <f aca="false">Finanzierung!Z35</f>
        <v>4839.19675482133</v>
      </c>
      <c r="AA62" s="206" t="n">
        <f aca="false">Finanzierung!AA35</f>
        <v>4426.96060878829</v>
      </c>
      <c r="AB62" s="348" t="n">
        <f aca="false">Finanzierung!AB35</f>
        <v>3996.17383618376</v>
      </c>
      <c r="AC62" s="206" t="n">
        <f aca="false">Finanzierung!AC35</f>
        <v>3546.00165881203</v>
      </c>
      <c r="AD62" s="206" t="n">
        <f aca="false">Finanzierung!AD35</f>
        <v>3075.57173345857</v>
      </c>
      <c r="AE62" s="206" t="n">
        <f aca="false">Finanzierung!AE35</f>
        <v>2583.97246146421</v>
      </c>
      <c r="AF62" s="206" t="n">
        <f aca="false">Finanzierung!AF35</f>
        <v>2070.2512222301</v>
      </c>
      <c r="AG62" s="348" t="n">
        <f aca="false">Finanzierung!AG35</f>
        <v>1533.41252723045</v>
      </c>
      <c r="AH62" s="206" t="n">
        <f aca="false">Finanzierung!AH35</f>
        <v>972.416090955821</v>
      </c>
      <c r="AI62" s="206" t="n">
        <f aca="false">Finanzierung!AI35</f>
        <v>386.174815048833</v>
      </c>
      <c r="AJ62" s="206" t="n">
        <f aca="false">Finanzierung!AJ35</f>
        <v>0</v>
      </c>
      <c r="AK62" s="206" t="n">
        <f aca="false">Finanzierung!AK35</f>
        <v>0</v>
      </c>
      <c r="AL62" s="348" t="n">
        <f aca="false">Finanzierung!AL35</f>
        <v>0</v>
      </c>
      <c r="AM62" s="206" t="n">
        <f aca="false">Finanzierung!AM35</f>
        <v>0</v>
      </c>
      <c r="AN62" s="206" t="n">
        <f aca="false">Finanzierung!AN35</f>
        <v>0</v>
      </c>
      <c r="AO62" s="206" t="n">
        <f aca="false">Finanzierung!AO35</f>
        <v>0</v>
      </c>
      <c r="AP62" s="206" t="n">
        <f aca="false">Finanzierung!AP35</f>
        <v>0</v>
      </c>
      <c r="AQ62" s="206" t="n">
        <f aca="false">Finanzierung!AQ35</f>
        <v>0</v>
      </c>
    </row>
    <row r="63" customFormat="false" ht="15.75" hidden="false" customHeight="true" outlineLevel="0" collapsed="false">
      <c r="B63" s="143" t="s">
        <v>1028</v>
      </c>
      <c r="C63" s="347" t="s">
        <v>753</v>
      </c>
      <c r="D63" s="206" t="n">
        <f aca="false">IF(D41=1,Grundschuld_Betrag+Fin_NK_Sonst,0)+IF(Disagio_sofort=1,IF(D41=1,Disagio_Betrag,0),IF(D41&lt;=MAX(Zinsbindung_I,1),Disagio_Betrag/MAX(Zinsbindung_I,1),0))</f>
        <v>1750</v>
      </c>
      <c r="E63" s="206" t="n">
        <f aca="false">IF(E41=1,Grundschuld_Betrag+Fin_NK_Sonst,0)+IF(Disagio_sofort=1,IF(E41=1,Disagio_Betrag,0),IF(E41&lt;=MAX(Zinsbindung_I,1),Disagio_Betrag/MAX(Zinsbindung_I,1),0))</f>
        <v>0</v>
      </c>
      <c r="F63" s="206" t="n">
        <f aca="false">IF(F41=1,Grundschuld_Betrag+Fin_NK_Sonst,0)+IF(Disagio_sofort=1,IF(F41=1,Disagio_Betrag,0),IF(F41&lt;=MAX(Zinsbindung_I,1),Disagio_Betrag/MAX(Zinsbindung_I,1),0))</f>
        <v>0</v>
      </c>
      <c r="G63" s="206" t="n">
        <f aca="false">IF(G41=1,Grundschuld_Betrag+Fin_NK_Sonst,0)+IF(Disagio_sofort=1,IF(G41=1,Disagio_Betrag,0),IF(G41&lt;=MAX(Zinsbindung_I,1),Disagio_Betrag/MAX(Zinsbindung_I,1),0))</f>
        <v>0</v>
      </c>
      <c r="H63" s="348" t="n">
        <f aca="false">IF(H41=1,Grundschuld_Betrag+Fin_NK_Sonst,0)+IF(Disagio_sofort=1,IF(H41=1,Disagio_Betrag,0),IF(H41&lt;=MAX(Zinsbindung_I,1),Disagio_Betrag/MAX(Zinsbindung_I,1),0))</f>
        <v>0</v>
      </c>
      <c r="I63" s="206" t="n">
        <f aca="false">IF(I41=1,Grundschuld_Betrag+Fin_NK_Sonst,0)+IF(Disagio_sofort=1,IF(I41=1,Disagio_Betrag,0),IF(I41&lt;=MAX(Zinsbindung_I,1),Disagio_Betrag/MAX(Zinsbindung_I,1),0))</f>
        <v>0</v>
      </c>
      <c r="J63" s="206" t="n">
        <f aca="false">IF(J41=1,Grundschuld_Betrag+Fin_NK_Sonst,0)+IF(Disagio_sofort=1,IF(J41=1,Disagio_Betrag,0),IF(J41&lt;=MAX(Zinsbindung_I,1),Disagio_Betrag/MAX(Zinsbindung_I,1),0))</f>
        <v>0</v>
      </c>
      <c r="K63" s="206" t="n">
        <f aca="false">IF(K41=1,Grundschuld_Betrag+Fin_NK_Sonst,0)+IF(Disagio_sofort=1,IF(K41=1,Disagio_Betrag,0),IF(K41&lt;=MAX(Zinsbindung_I,1),Disagio_Betrag/MAX(Zinsbindung_I,1),0))</f>
        <v>0</v>
      </c>
      <c r="L63" s="206" t="n">
        <f aca="false">IF(L41=1,Grundschuld_Betrag+Fin_NK_Sonst,0)+IF(Disagio_sofort=1,IF(L41=1,Disagio_Betrag,0),IF(L41&lt;=MAX(Zinsbindung_I,1),Disagio_Betrag/MAX(Zinsbindung_I,1),0))</f>
        <v>0</v>
      </c>
      <c r="M63" s="348" t="n">
        <f aca="false">IF(M41=1,Grundschuld_Betrag+Fin_NK_Sonst,0)+IF(Disagio_sofort=1,IF(M41=1,Disagio_Betrag,0),IF(M41&lt;=MAX(Zinsbindung_I,1),Disagio_Betrag/MAX(Zinsbindung_I,1),0))</f>
        <v>0</v>
      </c>
      <c r="N63" s="206" t="n">
        <f aca="false">IF(N41=1,Grundschuld_Betrag+Fin_NK_Sonst,0)+IF(Disagio_sofort=1,IF(N41=1,Disagio_Betrag,0),IF(N41&lt;=MAX(Zinsbindung_I,1),Disagio_Betrag/MAX(Zinsbindung_I,1),0))</f>
        <v>0</v>
      </c>
      <c r="O63" s="206" t="n">
        <f aca="false">IF(O41=1,Grundschuld_Betrag+Fin_NK_Sonst,0)+IF(Disagio_sofort=1,IF(O41=1,Disagio_Betrag,0),IF(O41&lt;=MAX(Zinsbindung_I,1),Disagio_Betrag/MAX(Zinsbindung_I,1),0))</f>
        <v>0</v>
      </c>
      <c r="P63" s="206" t="n">
        <f aca="false">IF(P41=1,Grundschuld_Betrag+Fin_NK_Sonst,0)+IF(Disagio_sofort=1,IF(P41=1,Disagio_Betrag,0),IF(P41&lt;=MAX(Zinsbindung_I,1),Disagio_Betrag/MAX(Zinsbindung_I,1),0))</f>
        <v>0</v>
      </c>
      <c r="Q63" s="206" t="n">
        <f aca="false">IF(Q41=1,Grundschuld_Betrag+Fin_NK_Sonst,0)+IF(Disagio_sofort=1,IF(Q41=1,Disagio_Betrag,0),IF(Q41&lt;=MAX(Zinsbindung_I,1),Disagio_Betrag/MAX(Zinsbindung_I,1),0))</f>
        <v>0</v>
      </c>
      <c r="R63" s="348" t="n">
        <f aca="false">IF(R41=1,Grundschuld_Betrag+Fin_NK_Sonst,0)+IF(Disagio_sofort=1,IF(R41=1,Disagio_Betrag,0),IF(R41&lt;=MAX(Zinsbindung_I,1),Disagio_Betrag/MAX(Zinsbindung_I,1),0))</f>
        <v>0</v>
      </c>
      <c r="S63" s="206" t="n">
        <f aca="false">IF(S41=1,Grundschuld_Betrag+Fin_NK_Sonst,0)+IF(Disagio_sofort=1,IF(S41=1,Disagio_Betrag,0),IF(S41&lt;=MAX(Zinsbindung_I,1),Disagio_Betrag/MAX(Zinsbindung_I,1),0))</f>
        <v>0</v>
      </c>
      <c r="T63" s="206" t="n">
        <f aca="false">IF(T41=1,Grundschuld_Betrag+Fin_NK_Sonst,0)+IF(Disagio_sofort=1,IF(T41=1,Disagio_Betrag,0),IF(T41&lt;=MAX(Zinsbindung_I,1),Disagio_Betrag/MAX(Zinsbindung_I,1),0))</f>
        <v>0</v>
      </c>
      <c r="U63" s="206" t="n">
        <f aca="false">IF(U41=1,Grundschuld_Betrag+Fin_NK_Sonst,0)+IF(Disagio_sofort=1,IF(U41=1,Disagio_Betrag,0),IF(U41&lt;=MAX(Zinsbindung_I,1),Disagio_Betrag/MAX(Zinsbindung_I,1),0))</f>
        <v>0</v>
      </c>
      <c r="V63" s="206" t="n">
        <f aca="false">IF(V41=1,Grundschuld_Betrag+Fin_NK_Sonst,0)+IF(Disagio_sofort=1,IF(V41=1,Disagio_Betrag,0),IF(V41&lt;=MAX(Zinsbindung_I,1),Disagio_Betrag/MAX(Zinsbindung_I,1),0))</f>
        <v>0</v>
      </c>
      <c r="W63" s="348" t="n">
        <f aca="false">IF(W41=1,Grundschuld_Betrag+Fin_NK_Sonst,0)+IF(Disagio_sofort=1,IF(W41=1,Disagio_Betrag,0),IF(W41&lt;=MAX(Zinsbindung_I,1),Disagio_Betrag/MAX(Zinsbindung_I,1),0))</f>
        <v>0</v>
      </c>
      <c r="X63" s="206" t="n">
        <f aca="false">IF(X41=1,Grundschuld_Betrag+Fin_NK_Sonst,0)+IF(Disagio_sofort=1,IF(X41=1,Disagio_Betrag,0),IF(X41&lt;=MAX(Zinsbindung_I,1),Disagio_Betrag/MAX(Zinsbindung_I,1),0))</f>
        <v>0</v>
      </c>
      <c r="Y63" s="206" t="n">
        <f aca="false">IF(Y41=1,Grundschuld_Betrag+Fin_NK_Sonst,0)+IF(Disagio_sofort=1,IF(Y41=1,Disagio_Betrag,0),IF(Y41&lt;=MAX(Zinsbindung_I,1),Disagio_Betrag/MAX(Zinsbindung_I,1),0))</f>
        <v>0</v>
      </c>
      <c r="Z63" s="206" t="n">
        <f aca="false">IF(Z41=1,Grundschuld_Betrag+Fin_NK_Sonst,0)+IF(Disagio_sofort=1,IF(Z41=1,Disagio_Betrag,0),IF(Z41&lt;=MAX(Zinsbindung_I,1),Disagio_Betrag/MAX(Zinsbindung_I,1),0))</f>
        <v>0</v>
      </c>
      <c r="AA63" s="206" t="n">
        <f aca="false">IF(AA41=1,Grundschuld_Betrag+Fin_NK_Sonst,0)+IF(Disagio_sofort=1,IF(AA41=1,Disagio_Betrag,0),IF(AA41&lt;=MAX(Zinsbindung_I,1),Disagio_Betrag/MAX(Zinsbindung_I,1),0))</f>
        <v>0</v>
      </c>
      <c r="AB63" s="348" t="n">
        <f aca="false">IF(AB41=1,Grundschuld_Betrag+Fin_NK_Sonst,0)+IF(Disagio_sofort=1,IF(AB41=1,Disagio_Betrag,0),IF(AB41&lt;=MAX(Zinsbindung_I,1),Disagio_Betrag/MAX(Zinsbindung_I,1),0))</f>
        <v>0</v>
      </c>
      <c r="AC63" s="206" t="n">
        <f aca="false">IF(AC41=1,Grundschuld_Betrag+Fin_NK_Sonst,0)+IF(Disagio_sofort=1,IF(AC41=1,Disagio_Betrag,0),IF(AC41&lt;=MAX(Zinsbindung_I,1),Disagio_Betrag/MAX(Zinsbindung_I,1),0))</f>
        <v>0</v>
      </c>
      <c r="AD63" s="206" t="n">
        <f aca="false">IF(AD41=1,Grundschuld_Betrag+Fin_NK_Sonst,0)+IF(Disagio_sofort=1,IF(AD41=1,Disagio_Betrag,0),IF(AD41&lt;=MAX(Zinsbindung_I,1),Disagio_Betrag/MAX(Zinsbindung_I,1),0))</f>
        <v>0</v>
      </c>
      <c r="AE63" s="206" t="n">
        <f aca="false">IF(AE41=1,Grundschuld_Betrag+Fin_NK_Sonst,0)+IF(Disagio_sofort=1,IF(AE41=1,Disagio_Betrag,0),IF(AE41&lt;=MAX(Zinsbindung_I,1),Disagio_Betrag/MAX(Zinsbindung_I,1),0))</f>
        <v>0</v>
      </c>
      <c r="AF63" s="206" t="n">
        <f aca="false">IF(AF41=1,Grundschuld_Betrag+Fin_NK_Sonst,0)+IF(Disagio_sofort=1,IF(AF41=1,Disagio_Betrag,0),IF(AF41&lt;=MAX(Zinsbindung_I,1),Disagio_Betrag/MAX(Zinsbindung_I,1),0))</f>
        <v>0</v>
      </c>
      <c r="AG63" s="348" t="n">
        <f aca="false">IF(AG41=1,Grundschuld_Betrag+Fin_NK_Sonst,0)+IF(Disagio_sofort=1,IF(AG41=1,Disagio_Betrag,0),IF(AG41&lt;=MAX(Zinsbindung_I,1),Disagio_Betrag/MAX(Zinsbindung_I,1),0))</f>
        <v>0</v>
      </c>
      <c r="AH63" s="206" t="n">
        <f aca="false">IF(AH41=1,Grundschuld_Betrag+Fin_NK_Sonst,0)+IF(Disagio_sofort=1,IF(AH41=1,Disagio_Betrag,0),IF(AH41&lt;=MAX(Zinsbindung_I,1),Disagio_Betrag/MAX(Zinsbindung_I,1),0))</f>
        <v>0</v>
      </c>
      <c r="AI63" s="206" t="n">
        <f aca="false">IF(AI41=1,Grundschuld_Betrag+Fin_NK_Sonst,0)+IF(Disagio_sofort=1,IF(AI41=1,Disagio_Betrag,0),IF(AI41&lt;=MAX(Zinsbindung_I,1),Disagio_Betrag/MAX(Zinsbindung_I,1),0))</f>
        <v>0</v>
      </c>
      <c r="AJ63" s="206" t="n">
        <f aca="false">IF(AJ41=1,Grundschuld_Betrag+Fin_NK_Sonst,0)+IF(Disagio_sofort=1,IF(AJ41=1,Disagio_Betrag,0),IF(AJ41&lt;=MAX(Zinsbindung_I,1),Disagio_Betrag/MAX(Zinsbindung_I,1),0))</f>
        <v>0</v>
      </c>
      <c r="AK63" s="206" t="n">
        <f aca="false">IF(AK41=1,Grundschuld_Betrag+Fin_NK_Sonst,0)+IF(Disagio_sofort=1,IF(AK41=1,Disagio_Betrag,0),IF(AK41&lt;=MAX(Zinsbindung_I,1),Disagio_Betrag/MAX(Zinsbindung_I,1),0))</f>
        <v>0</v>
      </c>
      <c r="AL63" s="348" t="n">
        <f aca="false">IF(AL41=1,Grundschuld_Betrag+Fin_NK_Sonst,0)+IF(Disagio_sofort=1,IF(AL41=1,Disagio_Betrag,0),IF(AL41&lt;=MAX(Zinsbindung_I,1),Disagio_Betrag/MAX(Zinsbindung_I,1),0))</f>
        <v>0</v>
      </c>
      <c r="AM63" s="206" t="n">
        <f aca="false">IF(AM41=1,Grundschuld_Betrag+Fin_NK_Sonst,0)+IF(Disagio_sofort=1,IF(AM41=1,Disagio_Betrag,0),IF(AM41&lt;=MAX(Zinsbindung_I,1),Disagio_Betrag/MAX(Zinsbindung_I,1),0))</f>
        <v>0</v>
      </c>
      <c r="AN63" s="206" t="n">
        <f aca="false">IF(AN41=1,Grundschuld_Betrag+Fin_NK_Sonst,0)+IF(Disagio_sofort=1,IF(AN41=1,Disagio_Betrag,0),IF(AN41&lt;=MAX(Zinsbindung_I,1),Disagio_Betrag/MAX(Zinsbindung_I,1),0))</f>
        <v>0</v>
      </c>
      <c r="AO63" s="206" t="n">
        <f aca="false">IF(AO41=1,Grundschuld_Betrag+Fin_NK_Sonst,0)+IF(Disagio_sofort=1,IF(AO41=1,Disagio_Betrag,0),IF(AO41&lt;=MAX(Zinsbindung_I,1),Disagio_Betrag/MAX(Zinsbindung_I,1),0))</f>
        <v>0</v>
      </c>
      <c r="AP63" s="206" t="n">
        <f aca="false">IF(AP41=1,Grundschuld_Betrag+Fin_NK_Sonst,0)+IF(Disagio_sofort=1,IF(AP41=1,Disagio_Betrag,0),IF(AP41&lt;=MAX(Zinsbindung_I,1),Disagio_Betrag/MAX(Zinsbindung_I,1),0))</f>
        <v>0</v>
      </c>
      <c r="AQ63" s="206" t="n">
        <f aca="false">IF(AQ41=1,Grundschuld_Betrag+Fin_NK_Sonst,0)+IF(Disagio_sofort=1,IF(AQ41=1,Disagio_Betrag,0),IF(AQ41&lt;=MAX(Zinsbindung_I,1),Disagio_Betrag/MAX(Zinsbindung_I,1),0))</f>
        <v>0</v>
      </c>
    </row>
    <row r="64" customFormat="false" ht="15.75" hidden="false" customHeight="true" outlineLevel="0" collapsed="false">
      <c r="B64" s="143" t="s">
        <v>1029</v>
      </c>
      <c r="C64" s="347" t="s">
        <v>753</v>
      </c>
      <c r="D64" s="206" t="n">
        <f aca="false">IF(HK_Flag=1,0,IF(AND(D41&gt;=1,D41&lt;1+Verteilung_eff),Investition_J1/Verteilung_eff,0)+IF(AND(D41&gt;=2,D41&lt;2+Verteilung_eff),Reno_J2/Verteilung_eff,0)+IF(AND(D41&gt;=3,D41&lt;3+Verteilung_eff),Reno_J3/Verteilung_eff,0))</f>
        <v>12000</v>
      </c>
      <c r="E64" s="206" t="n">
        <f aca="false">IF(HK_Flag=1,0,IF(AND(E41&gt;=1,E41&lt;1+Verteilung_eff),Investition_J1/Verteilung_eff,0)+IF(AND(E41&gt;=2,E41&lt;2+Verteilung_eff),Reno_J2/Verteilung_eff,0)+IF(AND(E41&gt;=3,E41&lt;3+Verteilung_eff),Reno_J3/Verteilung_eff,0))</f>
        <v>0</v>
      </c>
      <c r="F64" s="206" t="n">
        <f aca="false">IF(HK_Flag=1,0,IF(AND(F41&gt;=1,F41&lt;1+Verteilung_eff),Investition_J1/Verteilung_eff,0)+IF(AND(F41&gt;=2,F41&lt;2+Verteilung_eff),Reno_J2/Verteilung_eff,0)+IF(AND(F41&gt;=3,F41&lt;3+Verteilung_eff),Reno_J3/Verteilung_eff,0))</f>
        <v>0</v>
      </c>
      <c r="G64" s="206" t="n">
        <f aca="false">IF(HK_Flag=1,0,IF(AND(G41&gt;=1,G41&lt;1+Verteilung_eff),Investition_J1/Verteilung_eff,0)+IF(AND(G41&gt;=2,G41&lt;2+Verteilung_eff),Reno_J2/Verteilung_eff,0)+IF(AND(G41&gt;=3,G41&lt;3+Verteilung_eff),Reno_J3/Verteilung_eff,0))</f>
        <v>0</v>
      </c>
      <c r="H64" s="348" t="n">
        <f aca="false">IF(HK_Flag=1,0,IF(AND(H41&gt;=1,H41&lt;1+Verteilung_eff),Investition_J1/Verteilung_eff,0)+IF(AND(H41&gt;=2,H41&lt;2+Verteilung_eff),Reno_J2/Verteilung_eff,0)+IF(AND(H41&gt;=3,H41&lt;3+Verteilung_eff),Reno_J3/Verteilung_eff,0))</f>
        <v>0</v>
      </c>
      <c r="I64" s="206" t="n">
        <f aca="false">IF(HK_Flag=1,0,IF(AND(I41&gt;=1,I41&lt;1+Verteilung_eff),Investition_J1/Verteilung_eff,0)+IF(AND(I41&gt;=2,I41&lt;2+Verteilung_eff),Reno_J2/Verteilung_eff,0)+IF(AND(I41&gt;=3,I41&lt;3+Verteilung_eff),Reno_J3/Verteilung_eff,0))</f>
        <v>0</v>
      </c>
      <c r="J64" s="206" t="n">
        <f aca="false">IF(HK_Flag=1,0,IF(AND(J41&gt;=1,J41&lt;1+Verteilung_eff),Investition_J1/Verteilung_eff,0)+IF(AND(J41&gt;=2,J41&lt;2+Verteilung_eff),Reno_J2/Verteilung_eff,0)+IF(AND(J41&gt;=3,J41&lt;3+Verteilung_eff),Reno_J3/Verteilung_eff,0))</f>
        <v>0</v>
      </c>
      <c r="K64" s="206" t="n">
        <f aca="false">IF(HK_Flag=1,0,IF(AND(K41&gt;=1,K41&lt;1+Verteilung_eff),Investition_J1/Verteilung_eff,0)+IF(AND(K41&gt;=2,K41&lt;2+Verteilung_eff),Reno_J2/Verteilung_eff,0)+IF(AND(K41&gt;=3,K41&lt;3+Verteilung_eff),Reno_J3/Verteilung_eff,0))</f>
        <v>0</v>
      </c>
      <c r="L64" s="206" t="n">
        <f aca="false">IF(HK_Flag=1,0,IF(AND(L41&gt;=1,L41&lt;1+Verteilung_eff),Investition_J1/Verteilung_eff,0)+IF(AND(L41&gt;=2,L41&lt;2+Verteilung_eff),Reno_J2/Verteilung_eff,0)+IF(AND(L41&gt;=3,L41&lt;3+Verteilung_eff),Reno_J3/Verteilung_eff,0))</f>
        <v>0</v>
      </c>
      <c r="M64" s="348" t="n">
        <f aca="false">IF(HK_Flag=1,0,IF(AND(M41&gt;=1,M41&lt;1+Verteilung_eff),Investition_J1/Verteilung_eff,0)+IF(AND(M41&gt;=2,M41&lt;2+Verteilung_eff),Reno_J2/Verteilung_eff,0)+IF(AND(M41&gt;=3,M41&lt;3+Verteilung_eff),Reno_J3/Verteilung_eff,0))</f>
        <v>0</v>
      </c>
      <c r="N64" s="206" t="n">
        <f aca="false">IF(HK_Flag=1,0,IF(AND(N41&gt;=1,N41&lt;1+Verteilung_eff),Investition_J1/Verteilung_eff,0)+IF(AND(N41&gt;=2,N41&lt;2+Verteilung_eff),Reno_J2/Verteilung_eff,0)+IF(AND(N41&gt;=3,N41&lt;3+Verteilung_eff),Reno_J3/Verteilung_eff,0))</f>
        <v>0</v>
      </c>
      <c r="O64" s="206" t="n">
        <f aca="false">IF(HK_Flag=1,0,IF(AND(O41&gt;=1,O41&lt;1+Verteilung_eff),Investition_J1/Verteilung_eff,0)+IF(AND(O41&gt;=2,O41&lt;2+Verteilung_eff),Reno_J2/Verteilung_eff,0)+IF(AND(O41&gt;=3,O41&lt;3+Verteilung_eff),Reno_J3/Verteilung_eff,0))</f>
        <v>0</v>
      </c>
      <c r="P64" s="206" t="n">
        <f aca="false">IF(HK_Flag=1,0,IF(AND(P41&gt;=1,P41&lt;1+Verteilung_eff),Investition_J1/Verteilung_eff,0)+IF(AND(P41&gt;=2,P41&lt;2+Verteilung_eff),Reno_J2/Verteilung_eff,0)+IF(AND(P41&gt;=3,P41&lt;3+Verteilung_eff),Reno_J3/Verteilung_eff,0))</f>
        <v>0</v>
      </c>
      <c r="Q64" s="206" t="n">
        <f aca="false">IF(HK_Flag=1,0,IF(AND(Q41&gt;=1,Q41&lt;1+Verteilung_eff),Investition_J1/Verteilung_eff,0)+IF(AND(Q41&gt;=2,Q41&lt;2+Verteilung_eff),Reno_J2/Verteilung_eff,0)+IF(AND(Q41&gt;=3,Q41&lt;3+Verteilung_eff),Reno_J3/Verteilung_eff,0))</f>
        <v>0</v>
      </c>
      <c r="R64" s="348" t="n">
        <f aca="false">IF(HK_Flag=1,0,IF(AND(R41&gt;=1,R41&lt;1+Verteilung_eff),Investition_J1/Verteilung_eff,0)+IF(AND(R41&gt;=2,R41&lt;2+Verteilung_eff),Reno_J2/Verteilung_eff,0)+IF(AND(R41&gt;=3,R41&lt;3+Verteilung_eff),Reno_J3/Verteilung_eff,0))</f>
        <v>0</v>
      </c>
      <c r="S64" s="206" t="n">
        <f aca="false">IF(HK_Flag=1,0,IF(AND(S41&gt;=1,S41&lt;1+Verteilung_eff),Investition_J1/Verteilung_eff,0)+IF(AND(S41&gt;=2,S41&lt;2+Verteilung_eff),Reno_J2/Verteilung_eff,0)+IF(AND(S41&gt;=3,S41&lt;3+Verteilung_eff),Reno_J3/Verteilung_eff,0))</f>
        <v>0</v>
      </c>
      <c r="T64" s="206" t="n">
        <f aca="false">IF(HK_Flag=1,0,IF(AND(T41&gt;=1,T41&lt;1+Verteilung_eff),Investition_J1/Verteilung_eff,0)+IF(AND(T41&gt;=2,T41&lt;2+Verteilung_eff),Reno_J2/Verteilung_eff,0)+IF(AND(T41&gt;=3,T41&lt;3+Verteilung_eff),Reno_J3/Verteilung_eff,0))</f>
        <v>0</v>
      </c>
      <c r="U64" s="206" t="n">
        <f aca="false">IF(HK_Flag=1,0,IF(AND(U41&gt;=1,U41&lt;1+Verteilung_eff),Investition_J1/Verteilung_eff,0)+IF(AND(U41&gt;=2,U41&lt;2+Verteilung_eff),Reno_J2/Verteilung_eff,0)+IF(AND(U41&gt;=3,U41&lt;3+Verteilung_eff),Reno_J3/Verteilung_eff,0))</f>
        <v>0</v>
      </c>
      <c r="V64" s="206" t="n">
        <f aca="false">IF(HK_Flag=1,0,IF(AND(V41&gt;=1,V41&lt;1+Verteilung_eff),Investition_J1/Verteilung_eff,0)+IF(AND(V41&gt;=2,V41&lt;2+Verteilung_eff),Reno_J2/Verteilung_eff,0)+IF(AND(V41&gt;=3,V41&lt;3+Verteilung_eff),Reno_J3/Verteilung_eff,0))</f>
        <v>0</v>
      </c>
      <c r="W64" s="348" t="n">
        <f aca="false">IF(HK_Flag=1,0,IF(AND(W41&gt;=1,W41&lt;1+Verteilung_eff),Investition_J1/Verteilung_eff,0)+IF(AND(W41&gt;=2,W41&lt;2+Verteilung_eff),Reno_J2/Verteilung_eff,0)+IF(AND(W41&gt;=3,W41&lt;3+Verteilung_eff),Reno_J3/Verteilung_eff,0))</f>
        <v>0</v>
      </c>
      <c r="X64" s="206" t="n">
        <f aca="false">IF(HK_Flag=1,0,IF(AND(X41&gt;=1,X41&lt;1+Verteilung_eff),Investition_J1/Verteilung_eff,0)+IF(AND(X41&gt;=2,X41&lt;2+Verteilung_eff),Reno_J2/Verteilung_eff,0)+IF(AND(X41&gt;=3,X41&lt;3+Verteilung_eff),Reno_J3/Verteilung_eff,0))</f>
        <v>0</v>
      </c>
      <c r="Y64" s="206" t="n">
        <f aca="false">IF(HK_Flag=1,0,IF(AND(Y41&gt;=1,Y41&lt;1+Verteilung_eff),Investition_J1/Verteilung_eff,0)+IF(AND(Y41&gt;=2,Y41&lt;2+Verteilung_eff),Reno_J2/Verteilung_eff,0)+IF(AND(Y41&gt;=3,Y41&lt;3+Verteilung_eff),Reno_J3/Verteilung_eff,0))</f>
        <v>0</v>
      </c>
      <c r="Z64" s="206" t="n">
        <f aca="false">IF(HK_Flag=1,0,IF(AND(Z41&gt;=1,Z41&lt;1+Verteilung_eff),Investition_J1/Verteilung_eff,0)+IF(AND(Z41&gt;=2,Z41&lt;2+Verteilung_eff),Reno_J2/Verteilung_eff,0)+IF(AND(Z41&gt;=3,Z41&lt;3+Verteilung_eff),Reno_J3/Verteilung_eff,0))</f>
        <v>0</v>
      </c>
      <c r="AA64" s="206" t="n">
        <f aca="false">IF(HK_Flag=1,0,IF(AND(AA41&gt;=1,AA41&lt;1+Verteilung_eff),Investition_J1/Verteilung_eff,0)+IF(AND(AA41&gt;=2,AA41&lt;2+Verteilung_eff),Reno_J2/Verteilung_eff,0)+IF(AND(AA41&gt;=3,AA41&lt;3+Verteilung_eff),Reno_J3/Verteilung_eff,0))</f>
        <v>0</v>
      </c>
      <c r="AB64" s="348" t="n">
        <f aca="false">IF(HK_Flag=1,0,IF(AND(AB41&gt;=1,AB41&lt;1+Verteilung_eff),Investition_J1/Verteilung_eff,0)+IF(AND(AB41&gt;=2,AB41&lt;2+Verteilung_eff),Reno_J2/Verteilung_eff,0)+IF(AND(AB41&gt;=3,AB41&lt;3+Verteilung_eff),Reno_J3/Verteilung_eff,0))</f>
        <v>0</v>
      </c>
      <c r="AC64" s="206" t="n">
        <f aca="false">IF(HK_Flag=1,0,IF(AND(AC41&gt;=1,AC41&lt;1+Verteilung_eff),Investition_J1/Verteilung_eff,0)+IF(AND(AC41&gt;=2,AC41&lt;2+Verteilung_eff),Reno_J2/Verteilung_eff,0)+IF(AND(AC41&gt;=3,AC41&lt;3+Verteilung_eff),Reno_J3/Verteilung_eff,0))</f>
        <v>0</v>
      </c>
      <c r="AD64" s="206" t="n">
        <f aca="false">IF(HK_Flag=1,0,IF(AND(AD41&gt;=1,AD41&lt;1+Verteilung_eff),Investition_J1/Verteilung_eff,0)+IF(AND(AD41&gt;=2,AD41&lt;2+Verteilung_eff),Reno_J2/Verteilung_eff,0)+IF(AND(AD41&gt;=3,AD41&lt;3+Verteilung_eff),Reno_J3/Verteilung_eff,0))</f>
        <v>0</v>
      </c>
      <c r="AE64" s="206" t="n">
        <f aca="false">IF(HK_Flag=1,0,IF(AND(AE41&gt;=1,AE41&lt;1+Verteilung_eff),Investition_J1/Verteilung_eff,0)+IF(AND(AE41&gt;=2,AE41&lt;2+Verteilung_eff),Reno_J2/Verteilung_eff,0)+IF(AND(AE41&gt;=3,AE41&lt;3+Verteilung_eff),Reno_J3/Verteilung_eff,0))</f>
        <v>0</v>
      </c>
      <c r="AF64" s="206" t="n">
        <f aca="false">IF(HK_Flag=1,0,IF(AND(AF41&gt;=1,AF41&lt;1+Verteilung_eff),Investition_J1/Verteilung_eff,0)+IF(AND(AF41&gt;=2,AF41&lt;2+Verteilung_eff),Reno_J2/Verteilung_eff,0)+IF(AND(AF41&gt;=3,AF41&lt;3+Verteilung_eff),Reno_J3/Verteilung_eff,0))</f>
        <v>0</v>
      </c>
      <c r="AG64" s="348" t="n">
        <f aca="false">IF(HK_Flag=1,0,IF(AND(AG41&gt;=1,AG41&lt;1+Verteilung_eff),Investition_J1/Verteilung_eff,0)+IF(AND(AG41&gt;=2,AG41&lt;2+Verteilung_eff),Reno_J2/Verteilung_eff,0)+IF(AND(AG41&gt;=3,AG41&lt;3+Verteilung_eff),Reno_J3/Verteilung_eff,0))</f>
        <v>0</v>
      </c>
      <c r="AH64" s="206" t="n">
        <f aca="false">IF(HK_Flag=1,0,IF(AND(AH41&gt;=1,AH41&lt;1+Verteilung_eff),Investition_J1/Verteilung_eff,0)+IF(AND(AH41&gt;=2,AH41&lt;2+Verteilung_eff),Reno_J2/Verteilung_eff,0)+IF(AND(AH41&gt;=3,AH41&lt;3+Verteilung_eff),Reno_J3/Verteilung_eff,0))</f>
        <v>0</v>
      </c>
      <c r="AI64" s="206" t="n">
        <f aca="false">IF(HK_Flag=1,0,IF(AND(AI41&gt;=1,AI41&lt;1+Verteilung_eff),Investition_J1/Verteilung_eff,0)+IF(AND(AI41&gt;=2,AI41&lt;2+Verteilung_eff),Reno_J2/Verteilung_eff,0)+IF(AND(AI41&gt;=3,AI41&lt;3+Verteilung_eff),Reno_J3/Verteilung_eff,0))</f>
        <v>0</v>
      </c>
      <c r="AJ64" s="206" t="n">
        <f aca="false">IF(HK_Flag=1,0,IF(AND(AJ41&gt;=1,AJ41&lt;1+Verteilung_eff),Investition_J1/Verteilung_eff,0)+IF(AND(AJ41&gt;=2,AJ41&lt;2+Verteilung_eff),Reno_J2/Verteilung_eff,0)+IF(AND(AJ41&gt;=3,AJ41&lt;3+Verteilung_eff),Reno_J3/Verteilung_eff,0))</f>
        <v>0</v>
      </c>
      <c r="AK64" s="206" t="n">
        <f aca="false">IF(HK_Flag=1,0,IF(AND(AK41&gt;=1,AK41&lt;1+Verteilung_eff),Investition_J1/Verteilung_eff,0)+IF(AND(AK41&gt;=2,AK41&lt;2+Verteilung_eff),Reno_J2/Verteilung_eff,0)+IF(AND(AK41&gt;=3,AK41&lt;3+Verteilung_eff),Reno_J3/Verteilung_eff,0))</f>
        <v>0</v>
      </c>
      <c r="AL64" s="348" t="n">
        <f aca="false">IF(HK_Flag=1,0,IF(AND(AL41&gt;=1,AL41&lt;1+Verteilung_eff),Investition_J1/Verteilung_eff,0)+IF(AND(AL41&gt;=2,AL41&lt;2+Verteilung_eff),Reno_J2/Verteilung_eff,0)+IF(AND(AL41&gt;=3,AL41&lt;3+Verteilung_eff),Reno_J3/Verteilung_eff,0))</f>
        <v>0</v>
      </c>
      <c r="AM64" s="206" t="n">
        <f aca="false">IF(HK_Flag=1,0,IF(AND(AM41&gt;=1,AM41&lt;1+Verteilung_eff),Investition_J1/Verteilung_eff,0)+IF(AND(AM41&gt;=2,AM41&lt;2+Verteilung_eff),Reno_J2/Verteilung_eff,0)+IF(AND(AM41&gt;=3,AM41&lt;3+Verteilung_eff),Reno_J3/Verteilung_eff,0))</f>
        <v>0</v>
      </c>
      <c r="AN64" s="206" t="n">
        <f aca="false">IF(HK_Flag=1,0,IF(AND(AN41&gt;=1,AN41&lt;1+Verteilung_eff),Investition_J1/Verteilung_eff,0)+IF(AND(AN41&gt;=2,AN41&lt;2+Verteilung_eff),Reno_J2/Verteilung_eff,0)+IF(AND(AN41&gt;=3,AN41&lt;3+Verteilung_eff),Reno_J3/Verteilung_eff,0))</f>
        <v>0</v>
      </c>
      <c r="AO64" s="206" t="n">
        <f aca="false">IF(HK_Flag=1,0,IF(AND(AO41&gt;=1,AO41&lt;1+Verteilung_eff),Investition_J1/Verteilung_eff,0)+IF(AND(AO41&gt;=2,AO41&lt;2+Verteilung_eff),Reno_J2/Verteilung_eff,0)+IF(AND(AO41&gt;=3,AO41&lt;3+Verteilung_eff),Reno_J3/Verteilung_eff,0))</f>
        <v>0</v>
      </c>
      <c r="AP64" s="206" t="n">
        <f aca="false">IF(HK_Flag=1,0,IF(AND(AP41&gt;=1,AP41&lt;1+Verteilung_eff),Investition_J1/Verteilung_eff,0)+IF(AND(AP41&gt;=2,AP41&lt;2+Verteilung_eff),Reno_J2/Verteilung_eff,0)+IF(AND(AP41&gt;=3,AP41&lt;3+Verteilung_eff),Reno_J3/Verteilung_eff,0))</f>
        <v>0</v>
      </c>
      <c r="AQ64" s="206" t="n">
        <f aca="false">IF(HK_Flag=1,0,IF(AND(AQ41&gt;=1,AQ41&lt;1+Verteilung_eff),Investition_J1/Verteilung_eff,0)+IF(AND(AQ41&gt;=2,AQ41&lt;2+Verteilung_eff),Reno_J2/Verteilung_eff,0)+IF(AND(AQ41&gt;=3,AQ41&lt;3+Verteilung_eff),Reno_J3/Verteilung_eff,0))</f>
        <v>0</v>
      </c>
    </row>
    <row r="65" customFormat="false" ht="15.75" hidden="false" customHeight="true" outlineLevel="0" collapsed="false">
      <c r="B65" s="143" t="s">
        <v>1030</v>
      </c>
      <c r="C65" s="347" t="s">
        <v>753</v>
      </c>
      <c r="D65" s="206" t="n">
        <f aca="false">D56</f>
        <v>5685.35693430657</v>
      </c>
      <c r="E65" s="206" t="n">
        <f aca="false">E56</f>
        <v>5685.35693430657</v>
      </c>
      <c r="F65" s="206" t="n">
        <f aca="false">F56</f>
        <v>5685.35693430657</v>
      </c>
      <c r="G65" s="206" t="n">
        <f aca="false">G56</f>
        <v>5685.35693430657</v>
      </c>
      <c r="H65" s="348" t="n">
        <f aca="false">H56</f>
        <v>5685.35693430657</v>
      </c>
      <c r="I65" s="206" t="n">
        <f aca="false">I56</f>
        <v>5685.35693430657</v>
      </c>
      <c r="J65" s="206" t="n">
        <f aca="false">J56</f>
        <v>5685.35693430657</v>
      </c>
      <c r="K65" s="206" t="n">
        <f aca="false">K56</f>
        <v>5685.35693430657</v>
      </c>
      <c r="L65" s="206" t="n">
        <f aca="false">L56</f>
        <v>5685.35693430657</v>
      </c>
      <c r="M65" s="348" t="n">
        <f aca="false">M56</f>
        <v>5685.35693430657</v>
      </c>
      <c r="N65" s="206" t="n">
        <f aca="false">N56</f>
        <v>4885.35693430657</v>
      </c>
      <c r="O65" s="206" t="n">
        <f aca="false">O56</f>
        <v>4885.35693430657</v>
      </c>
      <c r="P65" s="206" t="n">
        <f aca="false">P56</f>
        <v>4885.35693430657</v>
      </c>
      <c r="Q65" s="206" t="n">
        <f aca="false">Q56</f>
        <v>4885.35693430657</v>
      </c>
      <c r="R65" s="348" t="n">
        <f aca="false">R56</f>
        <v>4885.35693430657</v>
      </c>
      <c r="S65" s="206" t="n">
        <f aca="false">S56</f>
        <v>4885.35693430657</v>
      </c>
      <c r="T65" s="206" t="n">
        <f aca="false">T56</f>
        <v>4885.35693430657</v>
      </c>
      <c r="U65" s="206" t="n">
        <f aca="false">U56</f>
        <v>4885.35693430657</v>
      </c>
      <c r="V65" s="206" t="n">
        <f aca="false">V56</f>
        <v>4885.35693430657</v>
      </c>
      <c r="W65" s="348" t="n">
        <f aca="false">W56</f>
        <v>4885.35693430657</v>
      </c>
      <c r="X65" s="206" t="n">
        <f aca="false">X56</f>
        <v>4885.35693430657</v>
      </c>
      <c r="Y65" s="206" t="n">
        <f aca="false">Y56</f>
        <v>4885.35693430657</v>
      </c>
      <c r="Z65" s="206" t="n">
        <f aca="false">Z56</f>
        <v>4885.35693430657</v>
      </c>
      <c r="AA65" s="206" t="n">
        <f aca="false">AA56</f>
        <v>4885.35693430657</v>
      </c>
      <c r="AB65" s="348" t="n">
        <f aca="false">AB56</f>
        <v>4885.35693430657</v>
      </c>
      <c r="AC65" s="206" t="n">
        <f aca="false">AC56</f>
        <v>4885.35693430657</v>
      </c>
      <c r="AD65" s="206" t="n">
        <f aca="false">AD56</f>
        <v>4885.35693430657</v>
      </c>
      <c r="AE65" s="206" t="n">
        <f aca="false">AE56</f>
        <v>4885.35693430657</v>
      </c>
      <c r="AF65" s="206" t="n">
        <f aca="false">AF56</f>
        <v>4885.35693430657</v>
      </c>
      <c r="AG65" s="348" t="n">
        <f aca="false">AG56</f>
        <v>4885.35693430657</v>
      </c>
      <c r="AH65" s="206" t="n">
        <f aca="false">AH56</f>
        <v>4885.35693430657</v>
      </c>
      <c r="AI65" s="206" t="n">
        <f aca="false">AI56</f>
        <v>4885.35693430657</v>
      </c>
      <c r="AJ65" s="206" t="n">
        <f aca="false">AJ56</f>
        <v>4885.35693430657</v>
      </c>
      <c r="AK65" s="206" t="n">
        <f aca="false">AK56</f>
        <v>4885.35693430657</v>
      </c>
      <c r="AL65" s="348" t="n">
        <f aca="false">AL56</f>
        <v>4885.35693430657</v>
      </c>
      <c r="AM65" s="206" t="n">
        <f aca="false">AM56</f>
        <v>4885.35693430657</v>
      </c>
      <c r="AN65" s="206" t="n">
        <f aca="false">AN56</f>
        <v>4885.35693430657</v>
      </c>
      <c r="AO65" s="206" t="n">
        <f aca="false">AO56</f>
        <v>4885.35693430657</v>
      </c>
      <c r="AP65" s="206" t="n">
        <f aca="false">AP56</f>
        <v>4885.35693430657</v>
      </c>
      <c r="AQ65" s="206" t="n">
        <f aca="false">AQ56</f>
        <v>4885.35693430657</v>
      </c>
    </row>
    <row r="66" customFormat="false" ht="15.75" hidden="false" customHeight="true" outlineLevel="0" collapsed="false">
      <c r="B66" s="141" t="s">
        <v>1031</v>
      </c>
      <c r="C66" s="349" t="s">
        <v>753</v>
      </c>
      <c r="D66" s="210" t="n">
        <f aca="false">SUM(D61:D65)</f>
        <v>29455.3569343066</v>
      </c>
      <c r="E66" s="210" t="n">
        <f aca="false">SUM(E61:E65)</f>
        <v>15545.7569343066</v>
      </c>
      <c r="F66" s="210" t="n">
        <f aca="false">SUM(F61:F65)</f>
        <v>15380.0849343066</v>
      </c>
      <c r="G66" s="210" t="n">
        <f aca="false">SUM(G61:G65)</f>
        <v>15208.1158143066</v>
      </c>
      <c r="H66" s="350" t="n">
        <f aca="false">SUM(H61:H65)</f>
        <v>15029.6162194266</v>
      </c>
      <c r="I66" s="210" t="n">
        <f aca="false">SUM(I61:I65)</f>
        <v>14844.3442608397</v>
      </c>
      <c r="J66" s="210" t="n">
        <f aca="false">SUM(J61:J65)</f>
        <v>14652.0492058867</v>
      </c>
      <c r="K66" s="210" t="n">
        <f aca="false">SUM(K61:K65)</f>
        <v>14452.4711569812</v>
      </c>
      <c r="L66" s="210" t="n">
        <f aca="false">SUM(L61:L65)</f>
        <v>14245.3407189014</v>
      </c>
      <c r="M66" s="350" t="n">
        <f aca="false">SUM(M61:M65)</f>
        <v>14030.3786540489</v>
      </c>
      <c r="N66" s="210" t="n">
        <f aca="false">SUM(N61:N65)</f>
        <v>14726.9365958743</v>
      </c>
      <c r="O66" s="210" t="n">
        <f aca="false">SUM(O61:O65)</f>
        <v>14508.723322935</v>
      </c>
      <c r="P66" s="210" t="n">
        <f aca="false">SUM(P61:P65)</f>
        <v>14280.0687655592</v>
      </c>
      <c r="Q66" s="210" t="n">
        <f aca="false">SUM(Q61:Q65)</f>
        <v>14040.4906322042</v>
      </c>
      <c r="R66" s="350" t="n">
        <f aca="false">SUM(R61:R65)</f>
        <v>13789.484679533</v>
      </c>
      <c r="S66" s="210" t="n">
        <f aca="false">SUM(S61:S65)</f>
        <v>13526.5237196101</v>
      </c>
      <c r="T66" s="210" t="n">
        <f aca="false">SUM(T61:T65)</f>
        <v>13251.0565823215</v>
      </c>
      <c r="U66" s="210" t="n">
        <f aca="false">SUM(U61:U65)</f>
        <v>12962.5070310024</v>
      </c>
      <c r="V66" s="210" t="n">
        <f aca="false">SUM(V61:V65)</f>
        <v>12660.2726291643</v>
      </c>
      <c r="W66" s="350" t="n">
        <f aca="false">SUM(W61:W65)</f>
        <v>12343.7235561197</v>
      </c>
      <c r="X66" s="210" t="n">
        <f aca="false">SUM(X61:X65)</f>
        <v>12012.2013692018</v>
      </c>
      <c r="Y66" s="210" t="n">
        <f aca="false">SUM(Y61:Y65)</f>
        <v>11665.0177101746</v>
      </c>
      <c r="Z66" s="210" t="n">
        <f aca="false">SUM(Z61:Z65)</f>
        <v>11301.4529533193</v>
      </c>
      <c r="AA66" s="210" t="n">
        <f aca="false">SUM(AA61:AA65)</f>
        <v>10920.7547925701</v>
      </c>
      <c r="AB66" s="350" t="n">
        <f aca="false">SUM(AB61:AB65)</f>
        <v>10522.1367649551</v>
      </c>
      <c r="AC66" s="210" t="n">
        <f aca="false">SUM(AC61:AC65)</f>
        <v>10104.7767074726</v>
      </c>
      <c r="AD66" s="210" t="n">
        <f aca="false">SUM(AD61:AD65)</f>
        <v>9667.81514440625</v>
      </c>
      <c r="AE66" s="210" t="n">
        <f aca="false">SUM(AE61:AE65)</f>
        <v>9210.3536019447</v>
      </c>
      <c r="AF66" s="210" t="n">
        <f aca="false">SUM(AF61:AF65)</f>
        <v>8731.45284683407</v>
      </c>
      <c r="AG66" s="350" t="n">
        <f aca="false">SUM(AG61:AG65)</f>
        <v>8230.13104564038</v>
      </c>
      <c r="AH66" s="210" t="n">
        <f aca="false">SUM(AH61:AH65)</f>
        <v>7705.36184104781</v>
      </c>
      <c r="AI66" s="210" t="n">
        <f aca="false">SUM(AI61:AI65)</f>
        <v>7156.07234145653</v>
      </c>
      <c r="AJ66" s="210" t="n">
        <f aca="false">SUM(AJ61:AJ65)</f>
        <v>6807.58833824972</v>
      </c>
      <c r="AK66" s="210" t="n">
        <f aca="false">SUM(AK61:AK65)</f>
        <v>6846.03296632859</v>
      </c>
      <c r="AL66" s="350" t="n">
        <f aca="false">SUM(AL61:AL65)</f>
        <v>6885.24648696903</v>
      </c>
      <c r="AM66" s="210" t="n">
        <f aca="false">SUM(AM61:AM65)</f>
        <v>6925.24427802228</v>
      </c>
      <c r="AN66" s="210" t="n">
        <f aca="false">SUM(AN61:AN65)</f>
        <v>6966.04202489659</v>
      </c>
      <c r="AO66" s="210" t="n">
        <f aca="false">SUM(AO61:AO65)</f>
        <v>7007.65572670839</v>
      </c>
      <c r="AP66" s="210" t="n">
        <f aca="false">SUM(AP61:AP65)</f>
        <v>7050.10170255643</v>
      </c>
      <c r="AQ66" s="210" t="n">
        <f aca="false">SUM(AQ61:AQ65)</f>
        <v>7093.39659792142</v>
      </c>
    </row>
    <row r="67" customFormat="false" ht="15.75" hidden="false" customHeight="true" outlineLevel="0" collapsed="false">
      <c r="B67" s="141" t="s">
        <v>1032</v>
      </c>
      <c r="C67" s="349" t="s">
        <v>753</v>
      </c>
      <c r="D67" s="210" t="n">
        <f aca="false">D60-D66</f>
        <v>-18397.3569343066</v>
      </c>
      <c r="E67" s="210" t="n">
        <f aca="false">E60-E66</f>
        <v>-4266.59693430657</v>
      </c>
      <c r="F67" s="210" t="n">
        <f aca="false">F60-F66</f>
        <v>-3875.34173430657</v>
      </c>
      <c r="G67" s="210" t="n">
        <f aca="false">G60-G66</f>
        <v>-3473.27775030657</v>
      </c>
      <c r="H67" s="350" t="n">
        <f aca="false">H60-H66</f>
        <v>-3060.08139414657</v>
      </c>
      <c r="I67" s="210" t="n">
        <f aca="false">I60-I66</f>
        <v>-2635.41873905409</v>
      </c>
      <c r="J67" s="210" t="n">
        <f aca="false">J60-J66</f>
        <v>-2198.94517366534</v>
      </c>
      <c r="K67" s="210" t="n">
        <f aca="false">K60-K66</f>
        <v>-1750.30504411541</v>
      </c>
      <c r="L67" s="210" t="n">
        <f aca="false">L60-L66</f>
        <v>-1289.13128377835</v>
      </c>
      <c r="M67" s="350" t="n">
        <f aca="false">M60-M66</f>
        <v>-815.045030223342</v>
      </c>
      <c r="N67" s="210" t="n">
        <f aca="false">N60-N66</f>
        <v>-1247.29629957225</v>
      </c>
      <c r="O67" s="210" t="n">
        <f aca="false">O60-O66</f>
        <v>-759.490220706892</v>
      </c>
      <c r="P67" s="210" t="n">
        <f aca="false">P60-P66</f>
        <v>-255.851001286543</v>
      </c>
      <c r="Q67" s="210" t="n">
        <f aca="false">Q60-Q66</f>
        <v>264.211487353889</v>
      </c>
      <c r="R67" s="350" t="n">
        <f aca="false">R60-R66</f>
        <v>801.311482416226</v>
      </c>
      <c r="S67" s="210" t="n">
        <f aca="false">S60-S66</f>
        <v>1356.08836557813</v>
      </c>
      <c r="T67" s="210" t="n">
        <f aca="false">T60-T66</f>
        <v>1929.2077445705</v>
      </c>
      <c r="U67" s="210" t="n">
        <f aca="false">U60-U66</f>
        <v>2521.36258242748</v>
      </c>
      <c r="V67" s="210" t="n">
        <f aca="false">V60-V66</f>
        <v>3133.27437653417</v>
      </c>
      <c r="W67" s="350" t="n">
        <f aca="false">W60-W66</f>
        <v>3765.69438969274</v>
      </c>
      <c r="X67" s="210" t="n">
        <f aca="false">X60-X66</f>
        <v>4419.40493552686</v>
      </c>
      <c r="Y67" s="210" t="n">
        <f aca="false">Y60-Y66</f>
        <v>5095.22072064859</v>
      </c>
      <c r="Z67" s="210" t="n">
        <f aca="false">Z60-Z66</f>
        <v>5793.99024612039</v>
      </c>
      <c r="AA67" s="210" t="n">
        <f aca="false">AA60-AA66</f>
        <v>6516.5972708584</v>
      </c>
      <c r="AB67" s="350" t="n">
        <f aca="false">AB60-AB66</f>
        <v>7263.96233974199</v>
      </c>
      <c r="AC67" s="210" t="n">
        <f aca="false">AC60-AC66</f>
        <v>8037.04437931837</v>
      </c>
      <c r="AD67" s="210" t="n">
        <f aca="false">AD60-AD66</f>
        <v>8836.84236412056</v>
      </c>
      <c r="AE67" s="210" t="n">
        <f aca="false">AE60-AE66</f>
        <v>9664.39705675264</v>
      </c>
      <c r="AF67" s="210" t="n">
        <f aca="false">AF60-AF66</f>
        <v>10520.7928250372</v>
      </c>
      <c r="AG67" s="350" t="n">
        <f aca="false">AG60-AG66</f>
        <v>11407.1595396683</v>
      </c>
      <c r="AH67" s="210" t="n">
        <f aca="false">AH60-AH66</f>
        <v>12324.6745559671</v>
      </c>
      <c r="AI67" s="210" t="n">
        <f aca="false">AI60-AI66</f>
        <v>13274.5647834987</v>
      </c>
      <c r="AJ67" s="210" t="n">
        <f aca="false">AJ60-AJ66</f>
        <v>14031.6615292046</v>
      </c>
      <c r="AK67" s="210" t="n">
        <f aca="false">AK60-AK66</f>
        <v>14410.0018984748</v>
      </c>
      <c r="AL67" s="350" t="n">
        <f aca="false">AL60-AL66</f>
        <v>14795.9090751304</v>
      </c>
      <c r="AM67" s="210" t="n">
        <f aca="false">AM60-AM66</f>
        <v>15189.5343953192</v>
      </c>
      <c r="AN67" s="210" t="n">
        <f aca="false">AN60-AN66</f>
        <v>15591.0322219117</v>
      </c>
      <c r="AO67" s="210" t="n">
        <f aca="false">AO60-AO66</f>
        <v>16000.5600050361</v>
      </c>
      <c r="AP67" s="210" t="n">
        <f aca="false">AP60-AP66</f>
        <v>16418.2783438229</v>
      </c>
      <c r="AQ67" s="210" t="n">
        <f aca="false">AQ60-AQ66</f>
        <v>16844.3510493855</v>
      </c>
    </row>
    <row r="68" customFormat="false" ht="15.75" hidden="false" customHeight="true" outlineLevel="0" collapsed="false">
      <c r="B68" s="280" t="s">
        <v>1033</v>
      </c>
      <c r="C68" s="351" t="s">
        <v>753</v>
      </c>
      <c r="D68" s="281" t="n">
        <f aca="false">0</f>
        <v>0</v>
      </c>
      <c r="E68" s="281" t="n">
        <f aca="false">D70</f>
        <v>0</v>
      </c>
      <c r="F68" s="281" t="n">
        <f aca="false">E70</f>
        <v>0</v>
      </c>
      <c r="G68" s="281" t="n">
        <f aca="false">F70</f>
        <v>0</v>
      </c>
      <c r="H68" s="352" t="n">
        <f aca="false">G70</f>
        <v>0</v>
      </c>
      <c r="I68" s="281" t="n">
        <f aca="false">H70</f>
        <v>0</v>
      </c>
      <c r="J68" s="281" t="n">
        <f aca="false">I70</f>
        <v>0</v>
      </c>
      <c r="K68" s="281" t="n">
        <f aca="false">J70</f>
        <v>0</v>
      </c>
      <c r="L68" s="281" t="n">
        <f aca="false">K70</f>
        <v>0</v>
      </c>
      <c r="M68" s="352" t="n">
        <f aca="false">L70</f>
        <v>0</v>
      </c>
      <c r="N68" s="281" t="n">
        <f aca="false">M70</f>
        <v>0</v>
      </c>
      <c r="O68" s="281" t="n">
        <f aca="false">N70</f>
        <v>0</v>
      </c>
      <c r="P68" s="281" t="n">
        <f aca="false">O70</f>
        <v>0</v>
      </c>
      <c r="Q68" s="281" t="n">
        <f aca="false">P70</f>
        <v>0</v>
      </c>
      <c r="R68" s="352" t="n">
        <f aca="false">Q70</f>
        <v>0</v>
      </c>
      <c r="S68" s="281" t="n">
        <f aca="false">R70</f>
        <v>0</v>
      </c>
      <c r="T68" s="281" t="n">
        <f aca="false">S70</f>
        <v>0</v>
      </c>
      <c r="U68" s="281" t="n">
        <f aca="false">T70</f>
        <v>0</v>
      </c>
      <c r="V68" s="281" t="n">
        <f aca="false">U70</f>
        <v>0</v>
      </c>
      <c r="W68" s="352" t="n">
        <f aca="false">V70</f>
        <v>0</v>
      </c>
      <c r="X68" s="281" t="n">
        <f aca="false">W70</f>
        <v>0</v>
      </c>
      <c r="Y68" s="281" t="n">
        <f aca="false">X70</f>
        <v>0</v>
      </c>
      <c r="Z68" s="281" t="n">
        <f aca="false">Y70</f>
        <v>0</v>
      </c>
      <c r="AA68" s="281" t="n">
        <f aca="false">Z70</f>
        <v>0</v>
      </c>
      <c r="AB68" s="352" t="n">
        <f aca="false">AA70</f>
        <v>0</v>
      </c>
      <c r="AC68" s="281" t="n">
        <f aca="false">AB70</f>
        <v>0</v>
      </c>
      <c r="AD68" s="281" t="n">
        <f aca="false">AC70</f>
        <v>0</v>
      </c>
      <c r="AE68" s="281" t="n">
        <f aca="false">AD70</f>
        <v>0</v>
      </c>
      <c r="AF68" s="281" t="n">
        <f aca="false">AE70</f>
        <v>0</v>
      </c>
      <c r="AG68" s="352" t="n">
        <f aca="false">AF70</f>
        <v>0</v>
      </c>
      <c r="AH68" s="281" t="n">
        <f aca="false">AG70</f>
        <v>0</v>
      </c>
      <c r="AI68" s="281" t="n">
        <f aca="false">AH70</f>
        <v>0</v>
      </c>
      <c r="AJ68" s="281" t="n">
        <f aca="false">AI70</f>
        <v>0</v>
      </c>
      <c r="AK68" s="281" t="n">
        <f aca="false">AJ70</f>
        <v>0</v>
      </c>
      <c r="AL68" s="352" t="n">
        <f aca="false">AK70</f>
        <v>0</v>
      </c>
      <c r="AM68" s="281" t="n">
        <f aca="false">AL70</f>
        <v>0</v>
      </c>
      <c r="AN68" s="281" t="n">
        <f aca="false">AM70</f>
        <v>0</v>
      </c>
      <c r="AO68" s="281" t="n">
        <f aca="false">AN70</f>
        <v>0</v>
      </c>
      <c r="AP68" s="281" t="n">
        <f aca="false">AO70</f>
        <v>0</v>
      </c>
      <c r="AQ68" s="281" t="n">
        <f aca="false">AP70</f>
        <v>0</v>
      </c>
    </row>
    <row r="69" customFormat="false" ht="15.75" hidden="false" customHeight="true" outlineLevel="0" collapsed="false">
      <c r="B69" s="72" t="s">
        <v>1034</v>
      </c>
      <c r="C69" s="347" t="s">
        <v>753</v>
      </c>
      <c r="D69" s="206" t="n">
        <f aca="false">IF(Sofort_Verrechnung=1,D67,MAX(0,D67-D68))</f>
        <v>-18397.3569343066</v>
      </c>
      <c r="E69" s="206" t="n">
        <f aca="false">IF(Sofort_Verrechnung=1,E67,MAX(0,E67-E68))</f>
        <v>-4266.59693430657</v>
      </c>
      <c r="F69" s="206" t="n">
        <f aca="false">IF(Sofort_Verrechnung=1,F67,MAX(0,F67-F68))</f>
        <v>-3875.34173430657</v>
      </c>
      <c r="G69" s="206" t="n">
        <f aca="false">IF(Sofort_Verrechnung=1,G67,MAX(0,G67-G68))</f>
        <v>-3473.27775030657</v>
      </c>
      <c r="H69" s="348" t="n">
        <f aca="false">IF(Sofort_Verrechnung=1,H67,MAX(0,H67-H68))</f>
        <v>-3060.08139414657</v>
      </c>
      <c r="I69" s="206" t="n">
        <f aca="false">IF(Sofort_Verrechnung=1,I67,MAX(0,I67-I68))</f>
        <v>-2635.41873905409</v>
      </c>
      <c r="J69" s="206" t="n">
        <f aca="false">IF(Sofort_Verrechnung=1,J67,MAX(0,J67-J68))</f>
        <v>-2198.94517366534</v>
      </c>
      <c r="K69" s="206" t="n">
        <f aca="false">IF(Sofort_Verrechnung=1,K67,MAX(0,K67-K68))</f>
        <v>-1750.30504411541</v>
      </c>
      <c r="L69" s="206" t="n">
        <f aca="false">IF(Sofort_Verrechnung=1,L67,MAX(0,L67-L68))</f>
        <v>-1289.13128377835</v>
      </c>
      <c r="M69" s="348" t="n">
        <f aca="false">IF(Sofort_Verrechnung=1,M67,MAX(0,M67-M68))</f>
        <v>-815.045030223342</v>
      </c>
      <c r="N69" s="206" t="n">
        <f aca="false">IF(Sofort_Verrechnung=1,N67,MAX(0,N67-N68))</f>
        <v>-1247.29629957225</v>
      </c>
      <c r="O69" s="206" t="n">
        <f aca="false">IF(Sofort_Verrechnung=1,O67,MAX(0,O67-O68))</f>
        <v>-759.490220706892</v>
      </c>
      <c r="P69" s="206" t="n">
        <f aca="false">IF(Sofort_Verrechnung=1,P67,MAX(0,P67-P68))</f>
        <v>-255.851001286543</v>
      </c>
      <c r="Q69" s="206" t="n">
        <f aca="false">IF(Sofort_Verrechnung=1,Q67,MAX(0,Q67-Q68))</f>
        <v>264.211487353889</v>
      </c>
      <c r="R69" s="348" t="n">
        <f aca="false">IF(Sofort_Verrechnung=1,R67,MAX(0,R67-R68))</f>
        <v>801.311482416226</v>
      </c>
      <c r="S69" s="206" t="n">
        <f aca="false">IF(Sofort_Verrechnung=1,S67,MAX(0,S67-S68))</f>
        <v>1356.08836557813</v>
      </c>
      <c r="T69" s="206" t="n">
        <f aca="false">IF(Sofort_Verrechnung=1,T67,MAX(0,T67-T68))</f>
        <v>1929.2077445705</v>
      </c>
      <c r="U69" s="206" t="n">
        <f aca="false">IF(Sofort_Verrechnung=1,U67,MAX(0,U67-U68))</f>
        <v>2521.36258242748</v>
      </c>
      <c r="V69" s="206" t="n">
        <f aca="false">IF(Sofort_Verrechnung=1,V67,MAX(0,V67-V68))</f>
        <v>3133.27437653417</v>
      </c>
      <c r="W69" s="348" t="n">
        <f aca="false">IF(Sofort_Verrechnung=1,W67,MAX(0,W67-W68))</f>
        <v>3765.69438969274</v>
      </c>
      <c r="X69" s="206" t="n">
        <f aca="false">IF(Sofort_Verrechnung=1,X67,MAX(0,X67-X68))</f>
        <v>4419.40493552686</v>
      </c>
      <c r="Y69" s="206" t="n">
        <f aca="false">IF(Sofort_Verrechnung=1,Y67,MAX(0,Y67-Y68))</f>
        <v>5095.22072064859</v>
      </c>
      <c r="Z69" s="206" t="n">
        <f aca="false">IF(Sofort_Verrechnung=1,Z67,MAX(0,Z67-Z68))</f>
        <v>5793.99024612039</v>
      </c>
      <c r="AA69" s="206" t="n">
        <f aca="false">IF(Sofort_Verrechnung=1,AA67,MAX(0,AA67-AA68))</f>
        <v>6516.5972708584</v>
      </c>
      <c r="AB69" s="348" t="n">
        <f aca="false">IF(Sofort_Verrechnung=1,AB67,MAX(0,AB67-AB68))</f>
        <v>7263.96233974199</v>
      </c>
      <c r="AC69" s="206" t="n">
        <f aca="false">IF(Sofort_Verrechnung=1,AC67,MAX(0,AC67-AC68))</f>
        <v>8037.04437931837</v>
      </c>
      <c r="AD69" s="206" t="n">
        <f aca="false">IF(Sofort_Verrechnung=1,AD67,MAX(0,AD67-AD68))</f>
        <v>8836.84236412056</v>
      </c>
      <c r="AE69" s="206" t="n">
        <f aca="false">IF(Sofort_Verrechnung=1,AE67,MAX(0,AE67-AE68))</f>
        <v>9664.39705675264</v>
      </c>
      <c r="AF69" s="206" t="n">
        <f aca="false">IF(Sofort_Verrechnung=1,AF67,MAX(0,AF67-AF68))</f>
        <v>10520.7928250372</v>
      </c>
      <c r="AG69" s="348" t="n">
        <f aca="false">IF(Sofort_Verrechnung=1,AG67,MAX(0,AG67-AG68))</f>
        <v>11407.1595396683</v>
      </c>
      <c r="AH69" s="206" t="n">
        <f aca="false">IF(Sofort_Verrechnung=1,AH67,MAX(0,AH67-AH68))</f>
        <v>12324.6745559671</v>
      </c>
      <c r="AI69" s="206" t="n">
        <f aca="false">IF(Sofort_Verrechnung=1,AI67,MAX(0,AI67-AI68))</f>
        <v>13274.5647834987</v>
      </c>
      <c r="AJ69" s="206" t="n">
        <f aca="false">IF(Sofort_Verrechnung=1,AJ67,MAX(0,AJ67-AJ68))</f>
        <v>14031.6615292046</v>
      </c>
      <c r="AK69" s="206" t="n">
        <f aca="false">IF(Sofort_Verrechnung=1,AK67,MAX(0,AK67-AK68))</f>
        <v>14410.0018984748</v>
      </c>
      <c r="AL69" s="348" t="n">
        <f aca="false">IF(Sofort_Verrechnung=1,AL67,MAX(0,AL67-AL68))</f>
        <v>14795.9090751304</v>
      </c>
      <c r="AM69" s="206" t="n">
        <f aca="false">IF(Sofort_Verrechnung=1,AM67,MAX(0,AM67-AM68))</f>
        <v>15189.5343953192</v>
      </c>
      <c r="AN69" s="206" t="n">
        <f aca="false">IF(Sofort_Verrechnung=1,AN67,MAX(0,AN67-AN68))</f>
        <v>15591.0322219117</v>
      </c>
      <c r="AO69" s="206" t="n">
        <f aca="false">IF(Sofort_Verrechnung=1,AO67,MAX(0,AO67-AO68))</f>
        <v>16000.5600050361</v>
      </c>
      <c r="AP69" s="206" t="n">
        <f aca="false">IF(Sofort_Verrechnung=1,AP67,MAX(0,AP67-AP68))</f>
        <v>16418.2783438229</v>
      </c>
      <c r="AQ69" s="206" t="n">
        <f aca="false">IF(Sofort_Verrechnung=1,AQ67,MAX(0,AQ67-AQ68))</f>
        <v>16844.3510493855</v>
      </c>
    </row>
    <row r="70" customFormat="false" ht="15.75" hidden="false" customHeight="true" outlineLevel="0" collapsed="false">
      <c r="B70" s="280" t="s">
        <v>1035</v>
      </c>
      <c r="C70" s="351" t="s">
        <v>753</v>
      </c>
      <c r="D70" s="281" t="n">
        <f aca="false">IF(Sofort_Verrechnung=1,0,MAX(0,D68-D67))</f>
        <v>0</v>
      </c>
      <c r="E70" s="281" t="n">
        <f aca="false">IF(Sofort_Verrechnung=1,0,MAX(0,E68-E67))</f>
        <v>0</v>
      </c>
      <c r="F70" s="281" t="n">
        <f aca="false">IF(Sofort_Verrechnung=1,0,MAX(0,F68-F67))</f>
        <v>0</v>
      </c>
      <c r="G70" s="281" t="n">
        <f aca="false">IF(Sofort_Verrechnung=1,0,MAX(0,G68-G67))</f>
        <v>0</v>
      </c>
      <c r="H70" s="352" t="n">
        <f aca="false">IF(Sofort_Verrechnung=1,0,MAX(0,H68-H67))</f>
        <v>0</v>
      </c>
      <c r="I70" s="281" t="n">
        <f aca="false">IF(Sofort_Verrechnung=1,0,MAX(0,I68-I67))</f>
        <v>0</v>
      </c>
      <c r="J70" s="281" t="n">
        <f aca="false">IF(Sofort_Verrechnung=1,0,MAX(0,J68-J67))</f>
        <v>0</v>
      </c>
      <c r="K70" s="281" t="n">
        <f aca="false">IF(Sofort_Verrechnung=1,0,MAX(0,K68-K67))</f>
        <v>0</v>
      </c>
      <c r="L70" s="281" t="n">
        <f aca="false">IF(Sofort_Verrechnung=1,0,MAX(0,L68-L67))</f>
        <v>0</v>
      </c>
      <c r="M70" s="352" t="n">
        <f aca="false">IF(Sofort_Verrechnung=1,0,MAX(0,M68-M67))</f>
        <v>0</v>
      </c>
      <c r="N70" s="281" t="n">
        <f aca="false">IF(Sofort_Verrechnung=1,0,MAX(0,N68-N67))</f>
        <v>0</v>
      </c>
      <c r="O70" s="281" t="n">
        <f aca="false">IF(Sofort_Verrechnung=1,0,MAX(0,O68-O67))</f>
        <v>0</v>
      </c>
      <c r="P70" s="281" t="n">
        <f aca="false">IF(Sofort_Verrechnung=1,0,MAX(0,P68-P67))</f>
        <v>0</v>
      </c>
      <c r="Q70" s="281" t="n">
        <f aca="false">IF(Sofort_Verrechnung=1,0,MAX(0,Q68-Q67))</f>
        <v>0</v>
      </c>
      <c r="R70" s="352" t="n">
        <f aca="false">IF(Sofort_Verrechnung=1,0,MAX(0,R68-R67))</f>
        <v>0</v>
      </c>
      <c r="S70" s="281" t="n">
        <f aca="false">IF(Sofort_Verrechnung=1,0,MAX(0,S68-S67))</f>
        <v>0</v>
      </c>
      <c r="T70" s="281" t="n">
        <f aca="false">IF(Sofort_Verrechnung=1,0,MAX(0,T68-T67))</f>
        <v>0</v>
      </c>
      <c r="U70" s="281" t="n">
        <f aca="false">IF(Sofort_Verrechnung=1,0,MAX(0,U68-U67))</f>
        <v>0</v>
      </c>
      <c r="V70" s="281" t="n">
        <f aca="false">IF(Sofort_Verrechnung=1,0,MAX(0,V68-V67))</f>
        <v>0</v>
      </c>
      <c r="W70" s="352" t="n">
        <f aca="false">IF(Sofort_Verrechnung=1,0,MAX(0,W68-W67))</f>
        <v>0</v>
      </c>
      <c r="X70" s="281" t="n">
        <f aca="false">IF(Sofort_Verrechnung=1,0,MAX(0,X68-X67))</f>
        <v>0</v>
      </c>
      <c r="Y70" s="281" t="n">
        <f aca="false">IF(Sofort_Verrechnung=1,0,MAX(0,Y68-Y67))</f>
        <v>0</v>
      </c>
      <c r="Z70" s="281" t="n">
        <f aca="false">IF(Sofort_Verrechnung=1,0,MAX(0,Z68-Z67))</f>
        <v>0</v>
      </c>
      <c r="AA70" s="281" t="n">
        <f aca="false">IF(Sofort_Verrechnung=1,0,MAX(0,AA68-AA67))</f>
        <v>0</v>
      </c>
      <c r="AB70" s="352" t="n">
        <f aca="false">IF(Sofort_Verrechnung=1,0,MAX(0,AB68-AB67))</f>
        <v>0</v>
      </c>
      <c r="AC70" s="281" t="n">
        <f aca="false">IF(Sofort_Verrechnung=1,0,MAX(0,AC68-AC67))</f>
        <v>0</v>
      </c>
      <c r="AD70" s="281" t="n">
        <f aca="false">IF(Sofort_Verrechnung=1,0,MAX(0,AD68-AD67))</f>
        <v>0</v>
      </c>
      <c r="AE70" s="281" t="n">
        <f aca="false">IF(Sofort_Verrechnung=1,0,MAX(0,AE68-AE67))</f>
        <v>0</v>
      </c>
      <c r="AF70" s="281" t="n">
        <f aca="false">IF(Sofort_Verrechnung=1,0,MAX(0,AF68-AF67))</f>
        <v>0</v>
      </c>
      <c r="AG70" s="352" t="n">
        <f aca="false">IF(Sofort_Verrechnung=1,0,MAX(0,AG68-AG67))</f>
        <v>0</v>
      </c>
      <c r="AH70" s="281" t="n">
        <f aca="false">IF(Sofort_Verrechnung=1,0,MAX(0,AH68-AH67))</f>
        <v>0</v>
      </c>
      <c r="AI70" s="281" t="n">
        <f aca="false">IF(Sofort_Verrechnung=1,0,MAX(0,AI68-AI67))</f>
        <v>0</v>
      </c>
      <c r="AJ70" s="281" t="n">
        <f aca="false">IF(Sofort_Verrechnung=1,0,MAX(0,AJ68-AJ67))</f>
        <v>0</v>
      </c>
      <c r="AK70" s="281" t="n">
        <f aca="false">IF(Sofort_Verrechnung=1,0,MAX(0,AK68-AK67))</f>
        <v>0</v>
      </c>
      <c r="AL70" s="352" t="n">
        <f aca="false">IF(Sofort_Verrechnung=1,0,MAX(0,AL68-AL67))</f>
        <v>0</v>
      </c>
      <c r="AM70" s="281" t="n">
        <f aca="false">IF(Sofort_Verrechnung=1,0,MAX(0,AM68-AM67))</f>
        <v>0</v>
      </c>
      <c r="AN70" s="281" t="n">
        <f aca="false">IF(Sofort_Verrechnung=1,0,MAX(0,AN68-AN67))</f>
        <v>0</v>
      </c>
      <c r="AO70" s="281" t="n">
        <f aca="false">IF(Sofort_Verrechnung=1,0,MAX(0,AO68-AO67))</f>
        <v>0</v>
      </c>
      <c r="AP70" s="281" t="n">
        <f aca="false">IF(Sofort_Verrechnung=1,0,MAX(0,AP68-AP67))</f>
        <v>0</v>
      </c>
      <c r="AQ70" s="281" t="n">
        <f aca="false">IF(Sofort_Verrechnung=1,0,MAX(0,AQ68-AQ67))</f>
        <v>0</v>
      </c>
    </row>
    <row r="71" customFormat="false" ht="15.75" hidden="false" customHeight="true" outlineLevel="0" collapsed="false">
      <c r="B71" s="72" t="s">
        <v>1036</v>
      </c>
      <c r="C71" s="347" t="s">
        <v>765</v>
      </c>
      <c r="D71" s="365" t="n">
        <f aca="false">IFERROR(VLOOKUP(MIN(D42,KSt_MaxJahr),KSt_Tab,2,TRUE()),0.15)</f>
        <v>0.15</v>
      </c>
      <c r="E71" s="365" t="n">
        <f aca="false">IFERROR(VLOOKUP(MIN(E42,KSt_MaxJahr),KSt_Tab,2,TRUE()),0.15)</f>
        <v>0.15</v>
      </c>
      <c r="F71" s="365" t="n">
        <f aca="false">IFERROR(VLOOKUP(MIN(F42,KSt_MaxJahr),KSt_Tab,2,TRUE()),0.15)</f>
        <v>0.14</v>
      </c>
      <c r="G71" s="365" t="n">
        <f aca="false">IFERROR(VLOOKUP(MIN(G42,KSt_MaxJahr),KSt_Tab,2,TRUE()),0.15)</f>
        <v>0.13</v>
      </c>
      <c r="H71" s="370" t="n">
        <f aca="false">IFERROR(VLOOKUP(MIN(H42,KSt_MaxJahr),KSt_Tab,2,TRUE()),0.15)</f>
        <v>0.12</v>
      </c>
      <c r="I71" s="365" t="n">
        <f aca="false">IFERROR(VLOOKUP(MIN(I42,KSt_MaxJahr),KSt_Tab,2,TRUE()),0.15)</f>
        <v>0.11</v>
      </c>
      <c r="J71" s="365" t="n">
        <f aca="false">IFERROR(VLOOKUP(MIN(J42,KSt_MaxJahr),KSt_Tab,2,TRUE()),0.15)</f>
        <v>0.1</v>
      </c>
      <c r="K71" s="365" t="n">
        <f aca="false">IFERROR(VLOOKUP(MIN(K42,KSt_MaxJahr),KSt_Tab,2,TRUE()),0.15)</f>
        <v>0.1</v>
      </c>
      <c r="L71" s="365" t="n">
        <f aca="false">IFERROR(VLOOKUP(MIN(L42,KSt_MaxJahr),KSt_Tab,2,TRUE()),0.15)</f>
        <v>0.1</v>
      </c>
      <c r="M71" s="370" t="n">
        <f aca="false">IFERROR(VLOOKUP(MIN(M42,KSt_MaxJahr),KSt_Tab,2,TRUE()),0.15)</f>
        <v>0.1</v>
      </c>
      <c r="N71" s="365" t="n">
        <f aca="false">IFERROR(VLOOKUP(MIN(N42,KSt_MaxJahr),KSt_Tab,2,TRUE()),0.15)</f>
        <v>0.1</v>
      </c>
      <c r="O71" s="365" t="n">
        <f aca="false">IFERROR(VLOOKUP(MIN(O42,KSt_MaxJahr),KSt_Tab,2,TRUE()),0.15)</f>
        <v>0.1</v>
      </c>
      <c r="P71" s="365" t="n">
        <f aca="false">IFERROR(VLOOKUP(MIN(P42,KSt_MaxJahr),KSt_Tab,2,TRUE()),0.15)</f>
        <v>0.1</v>
      </c>
      <c r="Q71" s="365" t="n">
        <f aca="false">IFERROR(VLOOKUP(MIN(Q42,KSt_MaxJahr),KSt_Tab,2,TRUE()),0.15)</f>
        <v>0.1</v>
      </c>
      <c r="R71" s="370" t="n">
        <f aca="false">IFERROR(VLOOKUP(MIN(R42,KSt_MaxJahr),KSt_Tab,2,TRUE()),0.15)</f>
        <v>0.1</v>
      </c>
      <c r="S71" s="365" t="n">
        <f aca="false">IFERROR(VLOOKUP(MIN(S42,KSt_MaxJahr),KSt_Tab,2,TRUE()),0.15)</f>
        <v>0.1</v>
      </c>
      <c r="T71" s="365" t="n">
        <f aca="false">IFERROR(VLOOKUP(MIN(T42,KSt_MaxJahr),KSt_Tab,2,TRUE()),0.15)</f>
        <v>0.1</v>
      </c>
      <c r="U71" s="365" t="n">
        <f aca="false">IFERROR(VLOOKUP(MIN(U42,KSt_MaxJahr),KSt_Tab,2,TRUE()),0.15)</f>
        <v>0.1</v>
      </c>
      <c r="V71" s="365" t="n">
        <f aca="false">IFERROR(VLOOKUP(MIN(V42,KSt_MaxJahr),KSt_Tab,2,TRUE()),0.15)</f>
        <v>0.1</v>
      </c>
      <c r="W71" s="370" t="n">
        <f aca="false">IFERROR(VLOOKUP(MIN(W42,KSt_MaxJahr),KSt_Tab,2,TRUE()),0.15)</f>
        <v>0.1</v>
      </c>
      <c r="X71" s="365" t="n">
        <f aca="false">IFERROR(VLOOKUP(MIN(X42,KSt_MaxJahr),KSt_Tab,2,TRUE()),0.15)</f>
        <v>0.1</v>
      </c>
      <c r="Y71" s="365" t="n">
        <f aca="false">IFERROR(VLOOKUP(MIN(Y42,KSt_MaxJahr),KSt_Tab,2,TRUE()),0.15)</f>
        <v>0.1</v>
      </c>
      <c r="Z71" s="365" t="n">
        <f aca="false">IFERROR(VLOOKUP(MIN(Z42,KSt_MaxJahr),KSt_Tab,2,TRUE()),0.15)</f>
        <v>0.1</v>
      </c>
      <c r="AA71" s="365" t="n">
        <f aca="false">IFERROR(VLOOKUP(MIN(AA42,KSt_MaxJahr),KSt_Tab,2,TRUE()),0.15)</f>
        <v>0.1</v>
      </c>
      <c r="AB71" s="370" t="n">
        <f aca="false">IFERROR(VLOOKUP(MIN(AB42,KSt_MaxJahr),KSt_Tab,2,TRUE()),0.15)</f>
        <v>0.1</v>
      </c>
      <c r="AC71" s="365" t="n">
        <f aca="false">IFERROR(VLOOKUP(MIN(AC42,KSt_MaxJahr),KSt_Tab,2,TRUE()),0.15)</f>
        <v>0.1</v>
      </c>
      <c r="AD71" s="365" t="n">
        <f aca="false">IFERROR(VLOOKUP(MIN(AD42,KSt_MaxJahr),KSt_Tab,2,TRUE()),0.15)</f>
        <v>0.1</v>
      </c>
      <c r="AE71" s="365" t="n">
        <f aca="false">IFERROR(VLOOKUP(MIN(AE42,KSt_MaxJahr),KSt_Tab,2,TRUE()),0.15)</f>
        <v>0.1</v>
      </c>
      <c r="AF71" s="365" t="n">
        <f aca="false">IFERROR(VLOOKUP(MIN(AF42,KSt_MaxJahr),KSt_Tab,2,TRUE()),0.15)</f>
        <v>0.1</v>
      </c>
      <c r="AG71" s="370" t="n">
        <f aca="false">IFERROR(VLOOKUP(MIN(AG42,KSt_MaxJahr),KSt_Tab,2,TRUE()),0.15)</f>
        <v>0.1</v>
      </c>
      <c r="AH71" s="365" t="n">
        <f aca="false">IFERROR(VLOOKUP(MIN(AH42,KSt_MaxJahr),KSt_Tab,2,TRUE()),0.15)</f>
        <v>0.1</v>
      </c>
      <c r="AI71" s="365" t="n">
        <f aca="false">IFERROR(VLOOKUP(MIN(AI42,KSt_MaxJahr),KSt_Tab,2,TRUE()),0.15)</f>
        <v>0.1</v>
      </c>
      <c r="AJ71" s="365" t="n">
        <f aca="false">IFERROR(VLOOKUP(MIN(AJ42,KSt_MaxJahr),KSt_Tab,2,TRUE()),0.15)</f>
        <v>0.1</v>
      </c>
      <c r="AK71" s="365" t="n">
        <f aca="false">IFERROR(VLOOKUP(MIN(AK42,KSt_MaxJahr),KSt_Tab,2,TRUE()),0.15)</f>
        <v>0.1</v>
      </c>
      <c r="AL71" s="370" t="n">
        <f aca="false">IFERROR(VLOOKUP(MIN(AL42,KSt_MaxJahr),KSt_Tab,2,TRUE()),0.15)</f>
        <v>0.1</v>
      </c>
      <c r="AM71" s="365" t="n">
        <f aca="false">IFERROR(VLOOKUP(MIN(AM42,KSt_MaxJahr),KSt_Tab,2,TRUE()),0.15)</f>
        <v>0.1</v>
      </c>
      <c r="AN71" s="365" t="n">
        <f aca="false">IFERROR(VLOOKUP(MIN(AN42,KSt_MaxJahr),KSt_Tab,2,TRUE()),0.15)</f>
        <v>0.1</v>
      </c>
      <c r="AO71" s="365" t="n">
        <f aca="false">IFERROR(VLOOKUP(MIN(AO42,KSt_MaxJahr),KSt_Tab,2,TRUE()),0.15)</f>
        <v>0.1</v>
      </c>
      <c r="AP71" s="365" t="n">
        <f aca="false">IFERROR(VLOOKUP(MIN(AP42,KSt_MaxJahr),KSt_Tab,2,TRUE()),0.15)</f>
        <v>0.1</v>
      </c>
      <c r="AQ71" s="365" t="n">
        <f aca="false">IFERROR(VLOOKUP(MIN(AQ42,KSt_MaxJahr),KSt_Tab,2,TRUE()),0.15)</f>
        <v>0.1</v>
      </c>
    </row>
    <row r="72" customFormat="false" ht="15.75" hidden="false" customHeight="true" outlineLevel="0" collapsed="false">
      <c r="B72" s="72" t="s">
        <v>1037</v>
      </c>
      <c r="C72" s="347" t="s">
        <v>765</v>
      </c>
      <c r="D72" s="114" t="n">
        <f aca="false">IF(Rechtsform_Idx=1,Steuersatz_Privat,D71*(1+Soli_Konst)+GewSt_Satz)</f>
        <v>0.462588</v>
      </c>
      <c r="E72" s="114" t="n">
        <f aca="false">IF(Rechtsform_Idx=1,Steuersatz_Privat,E71*(1+Soli_Konst)+GewSt_Satz)</f>
        <v>0.462588</v>
      </c>
      <c r="F72" s="114" t="n">
        <f aca="false">IF(Rechtsform_Idx=1,Steuersatz_Privat,F71*(1+Soli_Konst)+GewSt_Satz)</f>
        <v>0.462588</v>
      </c>
      <c r="G72" s="114" t="n">
        <f aca="false">IF(Rechtsform_Idx=1,Steuersatz_Privat,G71*(1+Soli_Konst)+GewSt_Satz)</f>
        <v>0.462588</v>
      </c>
      <c r="H72" s="371" t="n">
        <f aca="false">IF(Rechtsform_Idx=1,Steuersatz_Privat,H71*(1+Soli_Konst)+GewSt_Satz)</f>
        <v>0.462588</v>
      </c>
      <c r="I72" s="114" t="n">
        <f aca="false">IF(Rechtsform_Idx=1,Steuersatz_Privat,I71*(1+Soli_Konst)+GewSt_Satz)</f>
        <v>0.462588</v>
      </c>
      <c r="J72" s="114" t="n">
        <f aca="false">IF(Rechtsform_Idx=1,Steuersatz_Privat,J71*(1+Soli_Konst)+GewSt_Satz)</f>
        <v>0.462588</v>
      </c>
      <c r="K72" s="114" t="n">
        <f aca="false">IF(Rechtsform_Idx=1,Steuersatz_Privat,K71*(1+Soli_Konst)+GewSt_Satz)</f>
        <v>0.462588</v>
      </c>
      <c r="L72" s="114" t="n">
        <f aca="false">IF(Rechtsform_Idx=1,Steuersatz_Privat,L71*(1+Soli_Konst)+GewSt_Satz)</f>
        <v>0.462588</v>
      </c>
      <c r="M72" s="371" t="n">
        <f aca="false">IF(Rechtsform_Idx=1,Steuersatz_Privat,M71*(1+Soli_Konst)+GewSt_Satz)</f>
        <v>0.462588</v>
      </c>
      <c r="N72" s="114" t="n">
        <f aca="false">IF(Rechtsform_Idx=1,Steuersatz_Privat,N71*(1+Soli_Konst)+GewSt_Satz)</f>
        <v>0.462588</v>
      </c>
      <c r="O72" s="114" t="n">
        <f aca="false">IF(Rechtsform_Idx=1,Steuersatz_Privat,O71*(1+Soli_Konst)+GewSt_Satz)</f>
        <v>0.462588</v>
      </c>
      <c r="P72" s="114" t="n">
        <f aca="false">IF(Rechtsform_Idx=1,Steuersatz_Privat,P71*(1+Soli_Konst)+GewSt_Satz)</f>
        <v>0.462588</v>
      </c>
      <c r="Q72" s="114" t="n">
        <f aca="false">IF(Rechtsform_Idx=1,Steuersatz_Privat,Q71*(1+Soli_Konst)+GewSt_Satz)</f>
        <v>0.462588</v>
      </c>
      <c r="R72" s="371" t="n">
        <f aca="false">IF(Rechtsform_Idx=1,Steuersatz_Privat,R71*(1+Soli_Konst)+GewSt_Satz)</f>
        <v>0.462588</v>
      </c>
      <c r="S72" s="114" t="n">
        <f aca="false">IF(Rechtsform_Idx=1,Steuersatz_Privat,S71*(1+Soli_Konst)+GewSt_Satz)</f>
        <v>0.462588</v>
      </c>
      <c r="T72" s="114" t="n">
        <f aca="false">IF(Rechtsform_Idx=1,Steuersatz_Privat,T71*(1+Soli_Konst)+GewSt_Satz)</f>
        <v>0.462588</v>
      </c>
      <c r="U72" s="114" t="n">
        <f aca="false">IF(Rechtsform_Idx=1,Steuersatz_Privat,U71*(1+Soli_Konst)+GewSt_Satz)</f>
        <v>0.462588</v>
      </c>
      <c r="V72" s="114" t="n">
        <f aca="false">IF(Rechtsform_Idx=1,Steuersatz_Privat,V71*(1+Soli_Konst)+GewSt_Satz)</f>
        <v>0.462588</v>
      </c>
      <c r="W72" s="371" t="n">
        <f aca="false">IF(Rechtsform_Idx=1,Steuersatz_Privat,W71*(1+Soli_Konst)+GewSt_Satz)</f>
        <v>0.462588</v>
      </c>
      <c r="X72" s="114" t="n">
        <f aca="false">IF(Rechtsform_Idx=1,Steuersatz_Privat,X71*(1+Soli_Konst)+GewSt_Satz)</f>
        <v>0.462588</v>
      </c>
      <c r="Y72" s="114" t="n">
        <f aca="false">IF(Rechtsform_Idx=1,Steuersatz_Privat,Y71*(1+Soli_Konst)+GewSt_Satz)</f>
        <v>0.462588</v>
      </c>
      <c r="Z72" s="114" t="n">
        <f aca="false">IF(Rechtsform_Idx=1,Steuersatz_Privat,Z71*(1+Soli_Konst)+GewSt_Satz)</f>
        <v>0.462588</v>
      </c>
      <c r="AA72" s="114" t="n">
        <f aca="false">IF(Rechtsform_Idx=1,Steuersatz_Privat,AA71*(1+Soli_Konst)+GewSt_Satz)</f>
        <v>0.462588</v>
      </c>
      <c r="AB72" s="371" t="n">
        <f aca="false">IF(Rechtsform_Idx=1,Steuersatz_Privat,AB71*(1+Soli_Konst)+GewSt_Satz)</f>
        <v>0.462588</v>
      </c>
      <c r="AC72" s="114" t="n">
        <f aca="false">IF(Rechtsform_Idx=1,Steuersatz_Privat,AC71*(1+Soli_Konst)+GewSt_Satz)</f>
        <v>0.462588</v>
      </c>
      <c r="AD72" s="114" t="n">
        <f aca="false">IF(Rechtsform_Idx=1,Steuersatz_Privat,AD71*(1+Soli_Konst)+GewSt_Satz)</f>
        <v>0.462588</v>
      </c>
      <c r="AE72" s="114" t="n">
        <f aca="false">IF(Rechtsform_Idx=1,Steuersatz_Privat,AE71*(1+Soli_Konst)+GewSt_Satz)</f>
        <v>0.462588</v>
      </c>
      <c r="AF72" s="114" t="n">
        <f aca="false">IF(Rechtsform_Idx=1,Steuersatz_Privat,AF71*(1+Soli_Konst)+GewSt_Satz)</f>
        <v>0.462588</v>
      </c>
      <c r="AG72" s="371" t="n">
        <f aca="false">IF(Rechtsform_Idx=1,Steuersatz_Privat,AG71*(1+Soli_Konst)+GewSt_Satz)</f>
        <v>0.462588</v>
      </c>
      <c r="AH72" s="114" t="n">
        <f aca="false">IF(Rechtsform_Idx=1,Steuersatz_Privat,AH71*(1+Soli_Konst)+GewSt_Satz)</f>
        <v>0.462588</v>
      </c>
      <c r="AI72" s="114" t="n">
        <f aca="false">IF(Rechtsform_Idx=1,Steuersatz_Privat,AI71*(1+Soli_Konst)+GewSt_Satz)</f>
        <v>0.462588</v>
      </c>
      <c r="AJ72" s="114" t="n">
        <f aca="false">IF(Rechtsform_Idx=1,Steuersatz_Privat,AJ71*(1+Soli_Konst)+GewSt_Satz)</f>
        <v>0.462588</v>
      </c>
      <c r="AK72" s="114" t="n">
        <f aca="false">IF(Rechtsform_Idx=1,Steuersatz_Privat,AK71*(1+Soli_Konst)+GewSt_Satz)</f>
        <v>0.462588</v>
      </c>
      <c r="AL72" s="371" t="n">
        <f aca="false">IF(Rechtsform_Idx=1,Steuersatz_Privat,AL71*(1+Soli_Konst)+GewSt_Satz)</f>
        <v>0.462588</v>
      </c>
      <c r="AM72" s="114" t="n">
        <f aca="false">IF(Rechtsform_Idx=1,Steuersatz_Privat,AM71*(1+Soli_Konst)+GewSt_Satz)</f>
        <v>0.462588</v>
      </c>
      <c r="AN72" s="114" t="n">
        <f aca="false">IF(Rechtsform_Idx=1,Steuersatz_Privat,AN71*(1+Soli_Konst)+GewSt_Satz)</f>
        <v>0.462588</v>
      </c>
      <c r="AO72" s="114" t="n">
        <f aca="false">IF(Rechtsform_Idx=1,Steuersatz_Privat,AO71*(1+Soli_Konst)+GewSt_Satz)</f>
        <v>0.462588</v>
      </c>
      <c r="AP72" s="114" t="n">
        <f aca="false">IF(Rechtsform_Idx=1,Steuersatz_Privat,AP71*(1+Soli_Konst)+GewSt_Satz)</f>
        <v>0.462588</v>
      </c>
      <c r="AQ72" s="114" t="n">
        <f aca="false">IF(Rechtsform_Idx=1,Steuersatz_Privat,AQ71*(1+Soli_Konst)+GewSt_Satz)</f>
        <v>0.462588</v>
      </c>
    </row>
    <row r="73" customFormat="false" ht="18" hidden="false" customHeight="true" outlineLevel="0" collapsed="false">
      <c r="B73" s="73" t="s">
        <v>1038</v>
      </c>
      <c r="C73" s="353" t="s">
        <v>753</v>
      </c>
      <c r="D73" s="213" t="n">
        <f aca="false">D69*D72</f>
        <v>-8510.39654952701</v>
      </c>
      <c r="E73" s="213" t="n">
        <f aca="false">E69*E72</f>
        <v>-1973.67654264701</v>
      </c>
      <c r="F73" s="213" t="n">
        <f aca="false">F69*F72</f>
        <v>-1792.68658218941</v>
      </c>
      <c r="G73" s="213" t="n">
        <f aca="false">G69*G72</f>
        <v>-1606.69660795881</v>
      </c>
      <c r="H73" s="354" t="n">
        <f aca="false">H69*H72</f>
        <v>-1415.55693195547</v>
      </c>
      <c r="I73" s="213" t="n">
        <f aca="false">I69*I72</f>
        <v>-1219.11308366155</v>
      </c>
      <c r="J73" s="213" t="n">
        <f aca="false">J69*J72</f>
        <v>-1017.2056499955</v>
      </c>
      <c r="K73" s="213" t="n">
        <f aca="false">K69*K72</f>
        <v>-809.670109747261</v>
      </c>
      <c r="L73" s="213" t="n">
        <f aca="false">L69*L72</f>
        <v>-596.336662300458</v>
      </c>
      <c r="M73" s="354" t="n">
        <f aca="false">M69*M72</f>
        <v>-377.030050440955</v>
      </c>
      <c r="N73" s="213" t="n">
        <f aca="false">N69*N72</f>
        <v>-576.984300626527</v>
      </c>
      <c r="O73" s="213" t="n">
        <f aca="false">O69*O72</f>
        <v>-351.33106221636</v>
      </c>
      <c r="P73" s="213" t="n">
        <f aca="false">P69*P72</f>
        <v>-118.353602983139</v>
      </c>
      <c r="Q73" s="213" t="n">
        <f aca="false">Q69*Q72</f>
        <v>122.221063512061</v>
      </c>
      <c r="R73" s="354" t="n">
        <f aca="false">R69*R72</f>
        <v>370.677076027957</v>
      </c>
      <c r="S73" s="213" t="n">
        <f aca="false">S69*S72</f>
        <v>627.310204856056</v>
      </c>
      <c r="T73" s="213" t="n">
        <f aca="false">T69*T72</f>
        <v>892.428352145378</v>
      </c>
      <c r="U73" s="213" t="n">
        <f aca="false">U69*U72</f>
        <v>1166.35207427996</v>
      </c>
      <c r="V73" s="213" t="n">
        <f aca="false">V69*V72</f>
        <v>1449.41512729219</v>
      </c>
      <c r="W73" s="354" t="n">
        <f aca="false">W69*W72</f>
        <v>1741.96503633918</v>
      </c>
      <c r="X73" s="213" t="n">
        <f aca="false">X69*X72</f>
        <v>2044.3636903155</v>
      </c>
      <c r="Y73" s="213" t="n">
        <f aca="false">Y69*Y72</f>
        <v>2356.98796272339</v>
      </c>
      <c r="Z73" s="213" t="n">
        <f aca="false">Z69*Z72</f>
        <v>2680.23035997234</v>
      </c>
      <c r="AA73" s="213" t="n">
        <f aca="false">AA69*AA72</f>
        <v>3014.49969833184</v>
      </c>
      <c r="AB73" s="354" t="n">
        <f aca="false">AB69*AB72</f>
        <v>3360.22181081657</v>
      </c>
      <c r="AC73" s="213" t="n">
        <f aca="false">AC69*AC72</f>
        <v>3717.84028534012</v>
      </c>
      <c r="AD73" s="213" t="n">
        <f aca="false">AD69*AD72</f>
        <v>4087.8172355338</v>
      </c>
      <c r="AE73" s="213" t="n">
        <f aca="false">AE69*AE72</f>
        <v>4470.63410568909</v>
      </c>
      <c r="AF73" s="213" t="n">
        <f aca="false">AF69*AF72</f>
        <v>4866.79251134832</v>
      </c>
      <c r="AG73" s="354" t="n">
        <f aca="false">AG69*AG72</f>
        <v>5276.8151171361</v>
      </c>
      <c r="AH73" s="213" t="n">
        <f aca="false">AH69*AH72</f>
        <v>5701.2465534957</v>
      </c>
      <c r="AI73" s="213" t="n">
        <f aca="false">AI69*AI72</f>
        <v>6140.65437406908</v>
      </c>
      <c r="AJ73" s="213" t="n">
        <f aca="false">AJ69*AJ72</f>
        <v>6490.87824347169</v>
      </c>
      <c r="AK73" s="213" t="n">
        <f aca="false">AK69*AK72</f>
        <v>6665.89395821166</v>
      </c>
      <c r="AL73" s="354" t="n">
        <f aca="false">AL69*AL72</f>
        <v>6844.40998724643</v>
      </c>
      <c r="AM73" s="213" t="n">
        <f aca="false">AM69*AM72</f>
        <v>7026.4963368619</v>
      </c>
      <c r="AN73" s="213" t="n">
        <f aca="false">AN69*AN72</f>
        <v>7212.22441346968</v>
      </c>
      <c r="AO73" s="213" t="n">
        <f aca="false">AO69*AO72</f>
        <v>7401.66705160962</v>
      </c>
      <c r="AP73" s="213" t="n">
        <f aca="false">AP69*AP72</f>
        <v>7594.89854251235</v>
      </c>
      <c r="AQ73" s="213" t="n">
        <f aca="false">AQ69*AQ72</f>
        <v>7791.99466323314</v>
      </c>
    </row>
    <row r="74" customFormat="false" ht="15.75" hidden="false" customHeight="true" outlineLevel="0" collapsed="false">
      <c r="B74" s="280" t="s">
        <v>760</v>
      </c>
      <c r="C74" s="351" t="s">
        <v>753</v>
      </c>
      <c r="D74" s="281" t="n">
        <f aca="false">D73</f>
        <v>-8510.39654952701</v>
      </c>
      <c r="E74" s="281" t="n">
        <f aca="false">D74+E73</f>
        <v>-10484.073092174</v>
      </c>
      <c r="F74" s="281" t="n">
        <f aca="false">E74+F73</f>
        <v>-12276.7596743634</v>
      </c>
      <c r="G74" s="281" t="n">
        <f aca="false">F74+G73</f>
        <v>-13883.4562823222</v>
      </c>
      <c r="H74" s="352" t="n">
        <f aca="false">G74+H73</f>
        <v>-15299.0132142777</v>
      </c>
      <c r="I74" s="281" t="n">
        <f aca="false">H74+I73</f>
        <v>-16518.1262979393</v>
      </c>
      <c r="J74" s="281" t="n">
        <f aca="false">I74+J73</f>
        <v>-17535.3319479348</v>
      </c>
      <c r="K74" s="281" t="n">
        <f aca="false">J74+K73</f>
        <v>-18345.002057682</v>
      </c>
      <c r="L74" s="281" t="n">
        <f aca="false">K74+L73</f>
        <v>-18941.3387199825</v>
      </c>
      <c r="M74" s="352" t="n">
        <f aca="false">L74+M73</f>
        <v>-19318.3687704234</v>
      </c>
      <c r="N74" s="281" t="n">
        <f aca="false">M74+N73</f>
        <v>-19895.35307105</v>
      </c>
      <c r="O74" s="281" t="n">
        <f aca="false">N74+O73</f>
        <v>-20246.6841332663</v>
      </c>
      <c r="P74" s="281" t="n">
        <f aca="false">O74+P73</f>
        <v>-20365.0377362495</v>
      </c>
      <c r="Q74" s="281" t="n">
        <f aca="false">P74+Q73</f>
        <v>-20242.8166727374</v>
      </c>
      <c r="R74" s="352" t="n">
        <f aca="false">Q74+R73</f>
        <v>-19872.1395967094</v>
      </c>
      <c r="S74" s="281" t="n">
        <f aca="false">R74+S73</f>
        <v>-19244.8293918534</v>
      </c>
      <c r="T74" s="281" t="n">
        <f aca="false">S74+T73</f>
        <v>-18352.401039708</v>
      </c>
      <c r="U74" s="281" t="n">
        <f aca="false">T74+U73</f>
        <v>-17186.048965428</v>
      </c>
      <c r="V74" s="281" t="n">
        <f aca="false">U74+V73</f>
        <v>-15736.6338381359</v>
      </c>
      <c r="W74" s="352" t="n">
        <f aca="false">V74+W73</f>
        <v>-13994.6688017967</v>
      </c>
      <c r="X74" s="281" t="n">
        <f aca="false">W74+X73</f>
        <v>-11950.3051114812</v>
      </c>
      <c r="Y74" s="281" t="n">
        <f aca="false">X74+Y73</f>
        <v>-9593.31714875779</v>
      </c>
      <c r="Z74" s="281" t="n">
        <f aca="false">Y74+Z73</f>
        <v>-6913.08678878545</v>
      </c>
      <c r="AA74" s="281" t="n">
        <f aca="false">Z74+AA73</f>
        <v>-3898.58709045361</v>
      </c>
      <c r="AB74" s="352" t="n">
        <f aca="false">AA74+AB73</f>
        <v>-538.365279637037</v>
      </c>
      <c r="AC74" s="281" t="n">
        <f aca="false">AB74+AC73</f>
        <v>3179.47500570309</v>
      </c>
      <c r="AD74" s="281" t="n">
        <f aca="false">AC74+AD73</f>
        <v>7267.29224123689</v>
      </c>
      <c r="AE74" s="281" t="n">
        <f aca="false">AD74+AE73</f>
        <v>11737.926346926</v>
      </c>
      <c r="AF74" s="281" t="n">
        <f aca="false">AE74+AF73</f>
        <v>16604.7188582743</v>
      </c>
      <c r="AG74" s="352" t="n">
        <f aca="false">AF74+AG73</f>
        <v>21881.5339754104</v>
      </c>
      <c r="AH74" s="281" t="n">
        <f aca="false">AG74+AH73</f>
        <v>27582.7805289061</v>
      </c>
      <c r="AI74" s="281" t="n">
        <f aca="false">AH74+AI73</f>
        <v>33723.4349029752</v>
      </c>
      <c r="AJ74" s="281" t="n">
        <f aca="false">AI74+AJ73</f>
        <v>40214.3131464469</v>
      </c>
      <c r="AK74" s="281" t="n">
        <f aca="false">AJ74+AK73</f>
        <v>46880.2071046585</v>
      </c>
      <c r="AL74" s="352" t="n">
        <f aca="false">AK74+AL73</f>
        <v>53724.617091905</v>
      </c>
      <c r="AM74" s="281" t="n">
        <f aca="false">AL74+AM73</f>
        <v>60751.1134287669</v>
      </c>
      <c r="AN74" s="281" t="n">
        <f aca="false">AM74+AN73</f>
        <v>67963.3378422365</v>
      </c>
      <c r="AO74" s="281" t="n">
        <f aca="false">AN74+AO73</f>
        <v>75365.0048938462</v>
      </c>
      <c r="AP74" s="281" t="n">
        <f aca="false">AO74+AP73</f>
        <v>82959.9034363585</v>
      </c>
      <c r="AQ74" s="281" t="n">
        <f aca="false">AP74+AQ73</f>
        <v>90751.8980995917</v>
      </c>
    </row>
    <row r="75" customFormat="false" ht="12" hidden="false" customHeight="true" outlineLevel="0" collapsed="false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customFormat="false" ht="15" hidden="true" customHeight="false" outlineLevel="0" collapsed="false"/>
    <row r="77" customFormat="false" ht="24" hidden="false" customHeight="true" outlineLevel="0" collapsed="false">
      <c r="B77" s="33" t="s">
        <v>1039</v>
      </c>
      <c r="C77" s="35" t="s">
        <v>659</v>
      </c>
      <c r="D77" s="264"/>
      <c r="E77" s="264"/>
      <c r="F77" s="264"/>
      <c r="G77" s="264"/>
      <c r="H77" s="264"/>
      <c r="I77" s="264"/>
      <c r="J77" s="264"/>
      <c r="K77" s="264"/>
      <c r="L77" s="264"/>
      <c r="M77" s="264"/>
    </row>
    <row r="78" customFormat="false" ht="15.75" hidden="false" customHeight="true" outlineLevel="1" collapsed="false">
      <c r="B78" s="72" t="s">
        <v>1040</v>
      </c>
      <c r="C78" s="239" t="n">
        <f aca="false">Haltedauer</f>
        <v>12</v>
      </c>
      <c r="D78" s="364"/>
      <c r="E78" s="70"/>
      <c r="F78" s="70"/>
      <c r="G78" s="70"/>
      <c r="H78" s="70"/>
      <c r="I78" s="70"/>
      <c r="J78" s="70"/>
      <c r="K78" s="70"/>
      <c r="L78" s="70"/>
      <c r="M78" s="70"/>
    </row>
    <row r="79" customFormat="false" ht="15.75" hidden="false" customHeight="true" outlineLevel="1" collapsed="false">
      <c r="B79" s="72" t="s">
        <v>1041</v>
      </c>
      <c r="C79" s="129" t="n">
        <f aca="false">INDEX(Projektion!$D$41:$AQ$41,Haltedauer)</f>
        <v>376667.812985076</v>
      </c>
      <c r="D79" s="364"/>
      <c r="E79" s="70"/>
      <c r="F79" s="70"/>
      <c r="G79" s="70"/>
      <c r="H79" s="70"/>
      <c r="I79" s="70"/>
      <c r="J79" s="70"/>
      <c r="K79" s="70"/>
      <c r="L79" s="70"/>
      <c r="M79" s="70"/>
    </row>
    <row r="80" customFormat="false" ht="15.75" hidden="false" customHeight="true" outlineLevel="1" collapsed="false">
      <c r="B80" s="72" t="s">
        <v>1042</v>
      </c>
      <c r="C80" s="129" t="n">
        <f aca="false">IF(ISNUMBER(Verkaufspreis_Override),Verkaufspreis_Override,Exit_Wert)</f>
        <v>376667.812985076</v>
      </c>
      <c r="D80" s="364"/>
      <c r="E80" s="70"/>
      <c r="F80" s="70"/>
      <c r="G80" s="70"/>
      <c r="H80" s="70"/>
      <c r="I80" s="70"/>
      <c r="J80" s="70"/>
      <c r="K80" s="70"/>
      <c r="L80" s="70"/>
      <c r="M80" s="70"/>
    </row>
    <row r="81" customFormat="false" ht="15.75" hidden="false" customHeight="true" outlineLevel="1" collapsed="false">
      <c r="B81" s="72" t="s">
        <v>639</v>
      </c>
      <c r="C81" s="129" t="n">
        <f aca="false">Exit_VP*Verkaufskosten_Pct</f>
        <v>7533.35625970152</v>
      </c>
      <c r="D81" s="364"/>
      <c r="E81" s="70"/>
      <c r="F81" s="70"/>
      <c r="G81" s="70"/>
      <c r="H81" s="70"/>
      <c r="I81" s="70"/>
      <c r="J81" s="70"/>
      <c r="K81" s="70"/>
      <c r="L81" s="70"/>
      <c r="M81" s="70"/>
    </row>
    <row r="82" customFormat="false" ht="15.75" hidden="false" customHeight="true" outlineLevel="1" collapsed="false">
      <c r="B82" s="72" t="s">
        <v>1043</v>
      </c>
      <c r="C82" s="129" t="n">
        <f aca="false">INDEX(Steuern!$D$57:$AQ$57,Haltedauer)</f>
        <v>66624.2832116788</v>
      </c>
      <c r="D82" s="364"/>
      <c r="E82" s="70"/>
      <c r="F82" s="70"/>
      <c r="G82" s="70"/>
      <c r="H82" s="70"/>
      <c r="I82" s="70"/>
      <c r="J82" s="70"/>
      <c r="K82" s="70"/>
      <c r="L82" s="70"/>
      <c r="M82" s="70"/>
    </row>
    <row r="83" customFormat="false" ht="15.75" hidden="false" customHeight="true" outlineLevel="1" collapsed="false">
      <c r="B83" s="72" t="s">
        <v>1044</v>
      </c>
      <c r="C83" s="129" t="n">
        <f aca="false">INDEX(Steuern!$D$46:$AQ$46,Haltedauer)</f>
        <v>0</v>
      </c>
      <c r="D83" s="364"/>
      <c r="E83" s="70"/>
      <c r="F83" s="70"/>
      <c r="G83" s="70"/>
      <c r="H83" s="70"/>
      <c r="I83" s="70"/>
      <c r="J83" s="70"/>
      <c r="K83" s="70"/>
      <c r="L83" s="70"/>
      <c r="M83" s="70"/>
    </row>
    <row r="84" customFormat="false" ht="15.75" hidden="false" customHeight="true" outlineLevel="1" collapsed="false">
      <c r="B84" s="72" t="s">
        <v>1045</v>
      </c>
      <c r="C84" s="129" t="n">
        <f aca="false">AK_Gesamt+Exit_HK_kum-Exit_kumAfA</f>
        <v>248600.216788321</v>
      </c>
      <c r="D84" s="364"/>
      <c r="E84" s="70"/>
      <c r="F84" s="70"/>
      <c r="G84" s="70"/>
      <c r="H84" s="70"/>
      <c r="I84" s="70"/>
      <c r="J84" s="70"/>
      <c r="K84" s="70"/>
      <c r="L84" s="70"/>
      <c r="M84" s="70"/>
    </row>
    <row r="85" customFormat="false" ht="15.75" hidden="false" customHeight="true" outlineLevel="1" collapsed="false">
      <c r="B85" s="72" t="s">
        <v>1046</v>
      </c>
      <c r="C85" s="129" t="n">
        <f aca="false">Exit_VP-Exit_VK-Exit_Buchwert</f>
        <v>120534.239937053</v>
      </c>
      <c r="D85" s="364"/>
      <c r="E85" s="70" t="s">
        <v>1047</v>
      </c>
      <c r="F85" s="70"/>
      <c r="G85" s="70"/>
      <c r="H85" s="70"/>
      <c r="I85" s="70"/>
      <c r="J85" s="70"/>
      <c r="K85" s="70"/>
      <c r="L85" s="70"/>
      <c r="M85" s="70"/>
    </row>
    <row r="86" customFormat="false" ht="15.75" hidden="false" customHeight="true" outlineLevel="1" collapsed="false">
      <c r="B86" s="72" t="s">
        <v>1048</v>
      </c>
      <c r="C86" s="363" t="n">
        <f aca="false">IF(Rechtsform_Idx=1,IF(Haltedauer&lt;=Frist_23,1,0),1)</f>
        <v>0</v>
      </c>
      <c r="D86" s="364"/>
      <c r="E86" s="70" t="s">
        <v>1049</v>
      </c>
      <c r="F86" s="70"/>
      <c r="G86" s="70"/>
      <c r="H86" s="70"/>
      <c r="I86" s="70"/>
      <c r="J86" s="70"/>
      <c r="K86" s="70"/>
      <c r="L86" s="70"/>
      <c r="M86" s="70"/>
    </row>
    <row r="87" customFormat="false" ht="15.75" hidden="false" customHeight="true" outlineLevel="1" collapsed="false">
      <c r="B87" s="72" t="s">
        <v>1050</v>
      </c>
      <c r="C87" s="365" t="n">
        <f aca="false">INDEX(Steuern!$D$72:$AQ$72,Haltedauer)</f>
        <v>0.462588</v>
      </c>
      <c r="D87" s="364"/>
      <c r="E87" s="70"/>
      <c r="F87" s="70"/>
      <c r="G87" s="70"/>
      <c r="H87" s="70"/>
      <c r="I87" s="70"/>
      <c r="J87" s="70"/>
      <c r="K87" s="70"/>
      <c r="L87" s="70"/>
      <c r="M87" s="70"/>
    </row>
    <row r="88" customFormat="false" ht="15.75" hidden="false" customHeight="true" outlineLevel="1" collapsed="false">
      <c r="B88" s="72" t="s">
        <v>1051</v>
      </c>
      <c r="C88" s="129" t="n">
        <f aca="false">INDEX(Steuern!$D$70:$AQ$70,Haltedauer)</f>
        <v>0</v>
      </c>
      <c r="D88" s="364"/>
      <c r="E88" s="70" t="s">
        <v>1052</v>
      </c>
      <c r="F88" s="70"/>
      <c r="G88" s="70"/>
      <c r="H88" s="70"/>
      <c r="I88" s="70"/>
      <c r="J88" s="70"/>
      <c r="K88" s="70"/>
      <c r="L88" s="70"/>
      <c r="M88" s="70"/>
    </row>
    <row r="89" customFormat="false" ht="15.75" hidden="false" customHeight="true" outlineLevel="1" collapsed="false">
      <c r="B89" s="72" t="s">
        <v>473</v>
      </c>
      <c r="C89" s="129" t="n">
        <f aca="false">IF(Exit_steuerpflichtig=1,MAX(0,Exit_Gewinn-Exit_VV)*Exit_Steuersatz,0)</f>
        <v>0</v>
      </c>
      <c r="D89" s="364"/>
      <c r="E89" s="70" t="s">
        <v>1053</v>
      </c>
      <c r="F89" s="70"/>
      <c r="G89" s="70"/>
      <c r="H89" s="70"/>
      <c r="I89" s="70"/>
      <c r="J89" s="70"/>
      <c r="K89" s="70"/>
      <c r="L89" s="70"/>
      <c r="M89" s="70"/>
    </row>
    <row r="90" customFormat="false" ht="15.75" hidden="false" customHeight="true" outlineLevel="1" collapsed="false">
      <c r="B90" s="72" t="s">
        <v>1054</v>
      </c>
      <c r="C90" s="129" t="n">
        <f aca="false">INDEX(Projektion!$D$42:$AQ$42,Haltedauer)</f>
        <v>180024.560017751</v>
      </c>
      <c r="D90" s="364"/>
      <c r="E90" s="70" t="s">
        <v>1055</v>
      </c>
      <c r="F90" s="70"/>
      <c r="G90" s="70"/>
      <c r="H90" s="70"/>
      <c r="I90" s="70"/>
      <c r="J90" s="70"/>
      <c r="K90" s="70"/>
      <c r="L90" s="70"/>
      <c r="M90" s="70"/>
    </row>
    <row r="91" customFormat="false" ht="18" hidden="false" customHeight="true" outlineLevel="1" collapsed="false">
      <c r="B91" s="141" t="s">
        <v>1056</v>
      </c>
      <c r="C91" s="142" t="n">
        <f aca="false">Exit_VP-Exit_VK-Exit_Steuer-Exit_Restschuld</f>
        <v>189109.896707623</v>
      </c>
      <c r="D91" s="372"/>
      <c r="E91" s="317"/>
      <c r="F91" s="317"/>
      <c r="G91" s="317"/>
      <c r="H91" s="317"/>
      <c r="I91" s="317"/>
      <c r="J91" s="317"/>
      <c r="K91" s="317"/>
      <c r="L91" s="317"/>
      <c r="M91" s="317"/>
    </row>
    <row r="92" customFormat="false" ht="15.75" hidden="false" customHeight="true" outlineLevel="1" collapsed="false">
      <c r="B92" s="72" t="s">
        <v>1057</v>
      </c>
      <c r="C92" s="129" t="n">
        <f aca="false">INDEX(Projektion!$D$38:$AQ$38,Haltedauer)</f>
        <v>-32838.5310761392</v>
      </c>
      <c r="D92" s="364"/>
      <c r="E92" s="70"/>
      <c r="F92" s="70"/>
      <c r="G92" s="70"/>
      <c r="H92" s="70"/>
      <c r="I92" s="70"/>
      <c r="J92" s="70"/>
      <c r="K92" s="70"/>
      <c r="L92" s="70"/>
      <c r="M92" s="70"/>
    </row>
    <row r="93" customFormat="false" ht="15.75" hidden="false" customHeight="true" outlineLevel="1" collapsed="false">
      <c r="B93" s="72" t="s">
        <v>1058</v>
      </c>
      <c r="C93" s="129" t="n">
        <f aca="false">INDEX(Steuern!$D$74:$AQ$74,Haltedauer)</f>
        <v>-20246.6841332663</v>
      </c>
      <c r="D93" s="364"/>
      <c r="E93" s="70"/>
      <c r="F93" s="70"/>
      <c r="G93" s="70"/>
      <c r="H93" s="70"/>
      <c r="I93" s="70"/>
      <c r="J93" s="70"/>
      <c r="K93" s="70"/>
      <c r="L93" s="70"/>
      <c r="M93" s="70"/>
    </row>
    <row r="94" customFormat="false" ht="18" hidden="false" customHeight="true" outlineLevel="1" collapsed="false">
      <c r="B94" s="141" t="s">
        <v>654</v>
      </c>
      <c r="C94" s="142" t="n">
        <f aca="false">Exit_CF_kum+Exit_Netto-Eigenkapital</f>
        <v>77296.8656314841</v>
      </c>
      <c r="D94" s="372"/>
      <c r="E94" s="317" t="s">
        <v>1059</v>
      </c>
      <c r="F94" s="317"/>
      <c r="G94" s="317"/>
      <c r="H94" s="317"/>
      <c r="I94" s="317"/>
      <c r="J94" s="317"/>
      <c r="K94" s="317"/>
      <c r="L94" s="317"/>
      <c r="M94" s="317"/>
    </row>
    <row r="95" customFormat="false" ht="18" hidden="false" customHeight="true" outlineLevel="1" collapsed="false">
      <c r="B95" s="373" t="s">
        <v>1060</v>
      </c>
      <c r="C95" s="374" t="n">
        <f aca="false">IF(Eigenkapital&gt;0,(Exit_CF_kum+Exit_Netto)/Eigenkapital,0)</f>
        <v>1.97875726508536</v>
      </c>
      <c r="D95" s="375"/>
      <c r="E95" s="376" t="s">
        <v>1061</v>
      </c>
      <c r="F95" s="376"/>
      <c r="G95" s="376"/>
      <c r="H95" s="376"/>
      <c r="I95" s="376"/>
      <c r="J95" s="376"/>
      <c r="K95" s="376"/>
      <c r="L95" s="376"/>
      <c r="M95" s="376"/>
    </row>
    <row r="96" customFormat="false" ht="18" hidden="false" customHeight="true" outlineLevel="1" collapsed="false">
      <c r="B96" s="73" t="s">
        <v>1062</v>
      </c>
      <c r="C96" s="135" t="n">
        <f aca="false">IFERROR(IRR(Projektion!$C$49:$AQ$49),0)</f>
        <v>0.0532739559084637</v>
      </c>
      <c r="D96" s="377"/>
      <c r="E96" s="306" t="s">
        <v>1063</v>
      </c>
      <c r="F96" s="306"/>
      <c r="G96" s="306"/>
      <c r="H96" s="306"/>
      <c r="I96" s="306"/>
      <c r="J96" s="306"/>
      <c r="K96" s="306"/>
      <c r="L96" s="306"/>
      <c r="M96" s="306"/>
    </row>
    <row r="97" customFormat="false" ht="30" hidden="false" customHeight="true" outlineLevel="1" collapsed="false">
      <c r="B97" s="378" t="s">
        <v>1064</v>
      </c>
      <c r="C97" s="379" t="n">
        <f aca="false">SUM(Steuern!$D$51:$M$51)</f>
        <v>48853.5693430657</v>
      </c>
      <c r="D97" s="311"/>
      <c r="E97" s="380"/>
      <c r="F97" s="380"/>
      <c r="G97" s="380"/>
      <c r="H97" s="380"/>
      <c r="I97" s="380"/>
      <c r="J97" s="380"/>
      <c r="K97" s="380"/>
      <c r="L97" s="380"/>
      <c r="M97" s="380"/>
    </row>
    <row r="98" customFormat="false" ht="15.75" hidden="false" customHeight="true" outlineLevel="1" collapsed="false">
      <c r="B98" s="381" t="s">
        <v>1065</v>
      </c>
      <c r="C98" s="321" t="n">
        <f aca="false">MIN(BMG_Regel_Basis,10*AfA_Satz_auto*BMG_Regel_Basis)</f>
        <v>48853.5693430657</v>
      </c>
      <c r="D98" s="311"/>
      <c r="E98" s="280"/>
      <c r="F98" s="280"/>
      <c r="G98" s="280"/>
      <c r="H98" s="280"/>
      <c r="I98" s="280"/>
      <c r="J98" s="280"/>
      <c r="K98" s="280"/>
      <c r="L98" s="280"/>
      <c r="M98" s="280"/>
    </row>
    <row r="99" customFormat="false" ht="15.75" hidden="false" customHeight="true" outlineLevel="1" collapsed="false">
      <c r="B99" s="381" t="s">
        <v>1066</v>
      </c>
      <c r="C99" s="321" t="n">
        <f aca="false">(AfA_10J_gewaehlt-AfA_10J_Standard)*$D$72</f>
        <v>0</v>
      </c>
      <c r="D99" s="311"/>
      <c r="E99" s="280" t="s">
        <v>1067</v>
      </c>
      <c r="F99" s="280"/>
      <c r="G99" s="280"/>
      <c r="H99" s="280"/>
      <c r="I99" s="280"/>
      <c r="J99" s="280"/>
      <c r="K99" s="280"/>
      <c r="L99" s="280"/>
      <c r="M99" s="280"/>
    </row>
    <row r="100" customFormat="false" ht="12" hidden="false" customHeight="true" outlineLevel="0" collapsed="false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customFormat="false" ht="18" hidden="false" customHeight="true" outlineLevel="0" collapsed="false">
      <c r="B101" s="79" t="s">
        <v>91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</row>
    <row r="102" customFormat="false" ht="13.5" hidden="false" customHeight="true" outlineLevel="0" collapsed="false">
      <c r="B102" s="81" t="s">
        <v>92</v>
      </c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</row>
  </sheetData>
  <sheetProtection sheet="true" objects="1" formatColumns="false" formatRows="false"/>
  <mergeCells count="57">
    <mergeCell ref="D6:M6"/>
    <mergeCell ref="D7:M7"/>
    <mergeCell ref="I8:K8"/>
    <mergeCell ref="L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E35:M35"/>
    <mergeCell ref="E36:M36"/>
    <mergeCell ref="E37:M37"/>
    <mergeCell ref="E78:M78"/>
    <mergeCell ref="E79:M79"/>
    <mergeCell ref="E80:M80"/>
    <mergeCell ref="E81:M81"/>
    <mergeCell ref="E82:M82"/>
    <mergeCell ref="E83:M83"/>
    <mergeCell ref="E84:M84"/>
    <mergeCell ref="E85:M85"/>
    <mergeCell ref="E86:M86"/>
    <mergeCell ref="E87:M87"/>
    <mergeCell ref="E88:M88"/>
    <mergeCell ref="E89:M89"/>
    <mergeCell ref="E90:M90"/>
    <mergeCell ref="E91:M91"/>
    <mergeCell ref="E92:M92"/>
    <mergeCell ref="E93:M93"/>
    <mergeCell ref="E94:M94"/>
    <mergeCell ref="E95:M95"/>
    <mergeCell ref="E96:M96"/>
    <mergeCell ref="E97:M97"/>
    <mergeCell ref="E98:M98"/>
    <mergeCell ref="E99:M99"/>
    <mergeCell ref="B101:M101"/>
    <mergeCell ref="B102:M102"/>
  </mergeCells>
  <conditionalFormatting sqref="C91:M91">
    <cfRule type="expression" priority="2" aboveAverage="0" equalAverage="0" bottom="0" percent="0" rank="0" text="" dxfId="4">
      <formula>AND(ISNUMBER(C91),C91&lt;0)</formula>
    </cfRule>
    <cfRule type="expression" priority="3" aboveAverage="0" equalAverage="0" bottom="0" percent="0" rank="0" text="" dxfId="3">
      <formula>1</formula>
    </cfRule>
  </conditionalFormatting>
  <conditionalFormatting sqref="C94:M94">
    <cfRule type="expression" priority="4" aboveAverage="0" equalAverage="0" bottom="0" percent="0" rank="0" text="" dxfId="4">
      <formula>AND(ISNUMBER(C94),C94&lt;0)</formula>
    </cfRule>
    <cfRule type="expression" priority="5" aboveAverage="0" equalAverage="0" bottom="0" percent="0" rank="0" text="" dxfId="3">
      <formula>1</formula>
    </cfRule>
  </conditionalFormatting>
  <conditionalFormatting sqref="C95:M95">
    <cfRule type="expression" priority="6" aboveAverage="0" equalAverage="0" bottom="0" percent="0" rank="0" text="" dxfId="4">
      <formula>AND(ISNUMBER(C95),C95&lt;0)</formula>
    </cfRule>
    <cfRule type="expression" priority="7" aboveAverage="0" equalAverage="0" bottom="0" percent="0" rank="0" text="" dxfId="3">
      <formula>1</formula>
    </cfRule>
  </conditionalFormatting>
  <conditionalFormatting sqref="C96:M96">
    <cfRule type="expression" priority="8" aboveAverage="0" equalAverage="0" bottom="0" percent="0" rank="0" text="" dxfId="4">
      <formula>AND(ISNUMBER(C96),C96&lt;0)</formula>
    </cfRule>
    <cfRule type="expression" priority="9" aboveAverage="0" equalAverage="0" bottom="0" percent="0" rank="0" text="" dxfId="3">
      <formula>1</formula>
    </cfRule>
  </conditionalFormatting>
  <conditionalFormatting sqref="D40:AQ42">
    <cfRule type="expression" priority="10" aboveAverage="0" equalAverage="0" bottom="0" percent="0" rank="0" text="" dxfId="24">
      <formula>D$41=Haltedauer</formula>
    </cfRule>
    <cfRule type="expression" priority="11" aboveAverage="0" equalAverage="0" bottom="0" percent="0" rank="0" text="" dxfId="3">
      <formula>1</formula>
    </cfRule>
  </conditionalFormatting>
  <conditionalFormatting sqref="D44:AQ44">
    <cfRule type="expression" priority="12" aboveAverage="0" equalAverage="0" bottom="0" percent="0" rank="0" text="" dxfId="24">
      <formula>D$41=Haltedauer</formula>
    </cfRule>
    <cfRule type="expression" priority="13" aboveAverage="0" equalAverage="0" bottom="0" percent="0" rank="0" text="" dxfId="29">
      <formula>1</formula>
    </cfRule>
    <cfRule type="expression" priority="14" aboveAverage="0" equalAverage="0" bottom="0" percent="0" rank="0" text="" dxfId="3">
      <formula>1</formula>
    </cfRule>
  </conditionalFormatting>
  <conditionalFormatting sqref="D59:AQ59">
    <cfRule type="expression" priority="15" aboveAverage="0" equalAverage="0" bottom="0" percent="0" rank="0" text="" dxfId="24">
      <formula>D$41=Haltedauer</formula>
    </cfRule>
    <cfRule type="expression" priority="16" aboveAverage="0" equalAverage="0" bottom="0" percent="0" rank="0" text="" dxfId="29">
      <formula>1</formula>
    </cfRule>
    <cfRule type="expression" priority="17" aboveAverage="0" equalAverage="0" bottom="0" percent="0" rank="0" text="" dxfId="3">
      <formula>1</formula>
    </cfRule>
  </conditionalFormatting>
  <conditionalFormatting sqref="D71:AQ71">
    <cfRule type="expression" priority="18" aboveAverage="0" equalAverage="0" bottom="0" percent="0" rank="0" text="" dxfId="33">
      <formula>AND(Rechtsform_Idx=1,D$41=Haltedauer)</formula>
    </cfRule>
    <cfRule type="expression" priority="19" aboveAverage="0" equalAverage="0" bottom="0" percent="0" rank="0" text="" dxfId="34">
      <formula>Rechtsform_Idx=1</formula>
    </cfRule>
    <cfRule type="expression" priority="20" aboveAverage="0" equalAverage="0" bottom="0" percent="0" rank="0" text="" dxfId="35">
      <formula>D$41=Haltedauer</formula>
    </cfRule>
    <cfRule type="expression" priority="21" aboveAverage="0" equalAverage="0" bottom="0" percent="0" rank="0" text="" dxfId="36">
      <formula>1</formula>
    </cfRule>
    <cfRule type="expression" priority="22" aboveAverage="0" equalAverage="0" bottom="0" percent="0" rank="0" text="" dxfId="3">
      <formula>1</formula>
    </cfRule>
  </conditionalFormatting>
  <conditionalFormatting sqref="B71:C71">
    <cfRule type="expression" priority="23" aboveAverage="0" equalAverage="0" bottom="0" percent="0" rank="0" text="" dxfId="37">
      <formula>Rechtsform_Idx=1</formula>
    </cfRule>
    <cfRule type="expression" priority="24" aboveAverage="0" equalAverage="0" bottom="0" percent="0" rank="0" text="" dxfId="3">
      <formula>1</formula>
    </cfRule>
  </conditionalFormatting>
  <conditionalFormatting sqref="D67:AQ67">
    <cfRule type="expression" priority="25" aboveAverage="0" equalAverage="0" bottom="0" percent="0" rank="0" text="" dxfId="25">
      <formula>AND(D67&lt;0,D$41=Haltedauer)</formula>
    </cfRule>
    <cfRule type="expression" priority="26" aboveAverage="0" equalAverage="0" bottom="0" percent="0" rank="0" text="" dxfId="4">
      <formula>D67&lt;0</formula>
    </cfRule>
    <cfRule type="expression" priority="27" aboveAverage="0" equalAverage="0" bottom="0" percent="0" rank="0" text="" dxfId="26">
      <formula>D$41=Haltedauer</formula>
    </cfRule>
    <cfRule type="expression" priority="28" aboveAverage="0" equalAverage="0" bottom="0" percent="0" rank="0" text="" dxfId="27">
      <formula>1</formula>
    </cfRule>
    <cfRule type="expression" priority="29" aboveAverage="0" equalAverage="0" bottom="0" percent="0" rank="0" text="" dxfId="3">
      <formula>1</formula>
    </cfRule>
  </conditionalFormatting>
  <conditionalFormatting sqref="D69:AQ69">
    <cfRule type="expression" priority="30" aboveAverage="0" equalAverage="0" bottom="0" percent="0" rank="0" text="" dxfId="25">
      <formula>AND(D69&lt;0,D$41=Haltedauer)</formula>
    </cfRule>
    <cfRule type="expression" priority="31" aboveAverage="0" equalAverage="0" bottom="0" percent="0" rank="0" text="" dxfId="4">
      <formula>D69&lt;0</formula>
    </cfRule>
    <cfRule type="expression" priority="32" aboveAverage="0" equalAverage="0" bottom="0" percent="0" rank="0" text="" dxfId="35">
      <formula>D$41=Haltedauer</formula>
    </cfRule>
    <cfRule type="expression" priority="33" aboveAverage="0" equalAverage="0" bottom="0" percent="0" rank="0" text="" dxfId="36">
      <formula>1</formula>
    </cfRule>
    <cfRule type="expression" priority="34" aboveAverage="0" equalAverage="0" bottom="0" percent="0" rank="0" text="" dxfId="3">
      <formula>1</formula>
    </cfRule>
  </conditionalFormatting>
  <conditionalFormatting sqref="D73:AQ73">
    <cfRule type="expression" priority="35" aboveAverage="0" equalAverage="0" bottom="0" percent="0" rank="0" text="" dxfId="31">
      <formula>D$41=Haltedauer</formula>
    </cfRule>
    <cfRule type="expression" priority="36" aboveAverage="0" equalAverage="0" bottom="0" percent="0" rank="0" text="" dxfId="27">
      <formula>1</formula>
    </cfRule>
    <cfRule type="expression" priority="37" aboveAverage="0" equalAverage="0" bottom="0" percent="0" rank="0" text="" dxfId="3">
      <formula>1</formula>
    </cfRule>
  </conditionalFormatting>
  <conditionalFormatting sqref="D43:AQ74">
    <cfRule type="expression" priority="38" aboveAverage="0" equalAverage="0" bottom="0" percent="0" rank="0" text="" dxfId="32">
      <formula>D$41=Haltedauer</formula>
    </cfRule>
    <cfRule type="expression" priority="39" aboveAverage="0" equalAverage="0" bottom="0" percent="0" rank="0" text="" dxfId="3">
      <formula>1</formula>
    </cfRule>
  </conditionalFormatting>
  <conditionalFormatting sqref="C92">
    <cfRule type="expression" priority="40" aboveAverage="0" equalAverage="0" bottom="0" percent="0" rank="0" text="" dxfId="4">
      <formula>AND(ISNUMBER(C92),C92&lt;0)</formula>
    </cfRule>
    <cfRule type="expression" priority="41" aboveAverage="0" equalAverage="0" bottom="0" percent="0" rank="0" text="" dxfId="3">
      <formula>1</formula>
    </cfRule>
  </conditionalFormatting>
  <hyperlinks>
    <hyperlink ref="B5" location="'Start'!A4" display="STEUERN  ›  STEUER-TABELLE"/>
    <hyperlink ref="D6" location="'S09 Steuern'!A4" display="Eingaben dazu: S09 Steuern  ›"/>
    <hyperlink ref="I8" location="'Steuern'!D40" display="↓ Jahrestabelle"/>
    <hyperlink ref="L8" location="'Steuern'!D77" display="↓ Verkaufsszenario"/>
    <hyperlink ref="C44" location="'Steuern'!D4" display="↑ Übersicht"/>
    <hyperlink ref="C59" location="'Steuern'!D4" display="↑ Übersicht"/>
    <hyperlink ref="C77" location="'Steuern'!D4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39" man="true" max="16383" min="0"/>
    <brk id="76" man="true" max="16383" min="0"/>
  </rowBreaks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true"/>
  </sheetPr>
  <dimension ref="A1:AQ7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7"/>
    <col collapsed="false" customWidth="true" hidden="false" outlineLevel="0" max="3" min="3" style="1" width="34"/>
    <col collapsed="false" customWidth="true" hidden="false" outlineLevel="0" max="15" min="4" style="1" width="10.57"/>
    <col collapsed="false" customWidth="true" hidden="false" outlineLevel="0" max="17" min="16" style="1" width="15.85"/>
    <col collapsed="false" customWidth="true" hidden="true" outlineLevel="0" max="18" min="18" style="1" width="3"/>
    <col collapsed="false" customWidth="true" hidden="true" outlineLevel="0" max="19" min="19" style="1" width="20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9"/>
      <c r="U1" s="39"/>
      <c r="V1" s="39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82"/>
      <c r="R2" s="9"/>
      <c r="S2" s="9"/>
      <c r="T2" s="39"/>
      <c r="U2" s="39"/>
      <c r="V2" s="3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1"/>
      <c r="T3" s="39"/>
      <c r="U3" s="39"/>
      <c r="V3" s="39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customFormat="false" ht="18" hidden="false" customHeight="true" outlineLevel="0" collapsed="false">
      <c r="A5" s="12"/>
      <c r="B5" s="102" t="s">
        <v>1068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A6" s="12"/>
      <c r="B6" s="104" t="s">
        <v>1069</v>
      </c>
      <c r="C6" s="39"/>
      <c r="D6" s="332" t="s">
        <v>1070</v>
      </c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9"/>
      <c r="S6" s="39"/>
      <c r="T6" s="39"/>
      <c r="U6" s="39"/>
      <c r="V6" s="3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A7" s="12"/>
      <c r="B7" s="333" t="s">
        <v>1071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24" hidden="false" customHeight="true" outlineLevel="0" collapsed="false">
      <c r="A8" s="12"/>
      <c r="B8" s="33" t="s">
        <v>1072</v>
      </c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12"/>
      <c r="S8" s="12"/>
      <c r="T8" s="12"/>
      <c r="U8" s="12"/>
      <c r="V8" s="12"/>
    </row>
    <row r="9" customFormat="false" ht="18" hidden="false" customHeight="true" outlineLevel="0" collapsed="false">
      <c r="A9" s="12"/>
      <c r="B9" s="72" t="s">
        <v>1073</v>
      </c>
      <c r="C9" s="129" t="n">
        <f aca="false">BMG_Regel_Basis</f>
        <v>244267.846715328</v>
      </c>
      <c r="D9" s="39"/>
      <c r="E9" s="382" t="s">
        <v>1074</v>
      </c>
      <c r="F9" s="382"/>
      <c r="G9" s="382"/>
      <c r="H9" s="382"/>
      <c r="I9" s="39"/>
      <c r="J9" s="382" t="s">
        <v>1075</v>
      </c>
      <c r="K9" s="382"/>
      <c r="L9" s="382"/>
      <c r="M9" s="382"/>
      <c r="N9" s="39"/>
      <c r="O9" s="382" t="s">
        <v>1076</v>
      </c>
      <c r="P9" s="382"/>
      <c r="Q9" s="382"/>
      <c r="R9" s="12"/>
      <c r="S9" s="12"/>
      <c r="T9" s="12"/>
      <c r="U9" s="12"/>
      <c r="V9" s="12"/>
    </row>
    <row r="10" customFormat="false" ht="18" hidden="false" customHeight="true" outlineLevel="0" collapsed="false">
      <c r="A10" s="12"/>
      <c r="B10" s="72" t="s">
        <v>1077</v>
      </c>
      <c r="C10" s="129" t="n">
        <f aca="false">MIN(BMG_Regel_Basis,Grenze_7b_BMG*Wohnflaeche)</f>
        <v>244267.846715328</v>
      </c>
      <c r="D10" s="39"/>
      <c r="E10" s="383" t="str">
        <f aca="false">IF(Is_Degressiv=1,"Degressiv "&amp;FIXED(Degressiv_Satz*100,1)&amp;" %",IF(Methode_eff=6,"Gutachten ","Linear ")&amp;FIXED(AfA_Satz_linear*100,1)&amp;" %")&amp;IF(SonderAfA_aktiv=1," + § 7b","")</f>
        <v>Linear 2.0 %</v>
      </c>
      <c r="F10" s="383"/>
      <c r="G10" s="383"/>
      <c r="H10" s="383"/>
      <c r="I10" s="39"/>
      <c r="J10" s="92" t="n">
        <f aca="false">O26</f>
        <v>48853.5693430657</v>
      </c>
      <c r="K10" s="92"/>
      <c r="L10" s="92"/>
      <c r="M10" s="92"/>
      <c r="N10" s="39"/>
      <c r="O10" s="92" t="n">
        <f aca="false">Q26</f>
        <v>18329.874150981</v>
      </c>
      <c r="P10" s="92"/>
      <c r="Q10" s="92"/>
      <c r="R10" s="12"/>
      <c r="S10" s="12"/>
      <c r="T10" s="12"/>
      <c r="U10" s="12"/>
      <c r="V10" s="12"/>
    </row>
    <row r="11" customFormat="false" ht="18" hidden="false" customHeight="true" outlineLevel="0" collapsed="false">
      <c r="A11" s="12"/>
      <c r="B11" s="72" t="s">
        <v>1078</v>
      </c>
      <c r="C11" s="129" t="n">
        <f aca="false">AV_S_BMG*SonderAfA_Satz</f>
        <v>12213.3923357664</v>
      </c>
      <c r="D11" s="39"/>
      <c r="E11" s="383"/>
      <c r="F11" s="383"/>
      <c r="G11" s="383"/>
      <c r="H11" s="383"/>
      <c r="I11" s="39"/>
      <c r="J11" s="92"/>
      <c r="K11" s="92"/>
      <c r="L11" s="92"/>
      <c r="M11" s="92"/>
      <c r="N11" s="39"/>
      <c r="O11" s="92"/>
      <c r="P11" s="92"/>
      <c r="Q11" s="92"/>
      <c r="R11" s="12"/>
      <c r="S11" s="12"/>
      <c r="T11" s="12"/>
      <c r="U11" s="12"/>
      <c r="V11" s="12"/>
    </row>
    <row r="12" customFormat="false" ht="18" hidden="false" customHeight="true" outlineLevel="0" collapsed="false">
      <c r="A12" s="12"/>
      <c r="B12" s="72" t="s">
        <v>1079</v>
      </c>
      <c r="C12" s="114" t="n">
        <f aca="false">Steuern!$D$72</f>
        <v>0.462588</v>
      </c>
      <c r="D12" s="39"/>
      <c r="E12" s="383"/>
      <c r="F12" s="383"/>
      <c r="G12" s="383"/>
      <c r="H12" s="383"/>
      <c r="I12" s="39"/>
      <c r="J12" s="92"/>
      <c r="K12" s="92"/>
      <c r="L12" s="92"/>
      <c r="M12" s="92"/>
      <c r="N12" s="39"/>
      <c r="O12" s="92"/>
      <c r="P12" s="92"/>
      <c r="Q12" s="92"/>
      <c r="R12" s="12"/>
      <c r="S12" s="12"/>
      <c r="T12" s="12"/>
      <c r="U12" s="12"/>
      <c r="V12" s="12"/>
    </row>
    <row r="13" customFormat="false" ht="18" hidden="false" customHeight="true" outlineLevel="0" collapsed="false">
      <c r="A13" s="12"/>
      <c r="B13" s="72" t="s">
        <v>1080</v>
      </c>
      <c r="C13" s="114" t="n">
        <f aca="false">Kalkulationszins</f>
        <v>0.04</v>
      </c>
      <c r="D13" s="39"/>
      <c r="E13" s="383"/>
      <c r="F13" s="383"/>
      <c r="G13" s="383"/>
      <c r="H13" s="383"/>
      <c r="I13" s="39"/>
      <c r="J13" s="92"/>
      <c r="K13" s="92"/>
      <c r="L13" s="92"/>
      <c r="M13" s="92"/>
      <c r="N13" s="39"/>
      <c r="O13" s="92"/>
      <c r="P13" s="92"/>
      <c r="Q13" s="92"/>
      <c r="R13" s="12"/>
      <c r="S13" s="12"/>
      <c r="T13" s="12"/>
      <c r="U13" s="12"/>
      <c r="V13" s="12"/>
    </row>
    <row r="14" customFormat="false" ht="18" hidden="false" customHeight="true" outlineLevel="0" collapsed="false">
      <c r="A14" s="12"/>
      <c r="B14" s="72" t="s">
        <v>437</v>
      </c>
      <c r="C14" s="384" t="n">
        <f aca="false">N(RND_Gutachten)</f>
        <v>0</v>
      </c>
      <c r="D14" s="39"/>
      <c r="E14" s="383"/>
      <c r="F14" s="383"/>
      <c r="G14" s="383"/>
      <c r="H14" s="383"/>
      <c r="I14" s="39"/>
      <c r="J14" s="92"/>
      <c r="K14" s="92"/>
      <c r="L14" s="92"/>
      <c r="M14" s="92"/>
      <c r="N14" s="39"/>
      <c r="O14" s="92"/>
      <c r="P14" s="92"/>
      <c r="Q14" s="92"/>
      <c r="R14" s="12"/>
      <c r="S14" s="12"/>
      <c r="T14" s="12"/>
      <c r="U14" s="12"/>
      <c r="V14" s="12"/>
    </row>
    <row r="15" customFormat="false" ht="19.5" hidden="false" customHeight="true" outlineLevel="0" collapsed="false">
      <c r="A15" s="12"/>
      <c r="B15" s="72" t="s">
        <v>1081</v>
      </c>
      <c r="C15" s="116" t="str">
        <f aca="false">Baujahr&amp;" · "&amp;Objektart</f>
        <v>1996 · Eigentumswohnung</v>
      </c>
      <c r="D15" s="39"/>
      <c r="E15" s="50" t="str">
        <f aca="false">C26</f>
        <v>Automatisch nach Baujahr (§ 7 Abs. 4 EStG)</v>
      </c>
      <c r="F15" s="50"/>
      <c r="G15" s="50"/>
      <c r="H15" s="50"/>
      <c r="I15" s="39"/>
      <c r="J15" s="50" t="s">
        <v>1082</v>
      </c>
      <c r="K15" s="50"/>
      <c r="L15" s="50"/>
      <c r="M15" s="50"/>
      <c r="N15" s="39"/>
      <c r="O15" s="50" t="s">
        <v>1083</v>
      </c>
      <c r="P15" s="50"/>
      <c r="Q15" s="50"/>
      <c r="R15" s="12"/>
      <c r="S15" s="12"/>
      <c r="T15" s="12"/>
      <c r="U15" s="12"/>
      <c r="V15" s="12"/>
    </row>
    <row r="16" customFormat="false" ht="12" hidden="false" customHeight="true" outlineLevel="0" collapsed="false">
      <c r="A16" s="12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customFormat="false" ht="24" hidden="false" customHeight="true" outlineLevel="0" collapsed="false">
      <c r="A17" s="12"/>
      <c r="B17" s="33" t="s">
        <v>1084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35" t="s">
        <v>1085</v>
      </c>
      <c r="R17" s="12"/>
      <c r="S17" s="12"/>
      <c r="T17" s="12"/>
      <c r="U17" s="12"/>
      <c r="V17" s="12"/>
    </row>
    <row r="18" customFormat="false" ht="30" hidden="false" customHeight="true" outlineLevel="0" collapsed="false">
      <c r="A18" s="12"/>
      <c r="B18" s="96" t="s">
        <v>1086</v>
      </c>
      <c r="C18" s="96" t="s">
        <v>1087</v>
      </c>
      <c r="D18" s="109" t="s">
        <v>378</v>
      </c>
      <c r="E18" s="109" t="s">
        <v>1088</v>
      </c>
      <c r="F18" s="109" t="s">
        <v>1089</v>
      </c>
      <c r="G18" s="109" t="s">
        <v>1090</v>
      </c>
      <c r="H18" s="109" t="s">
        <v>1091</v>
      </c>
      <c r="I18" s="109" t="s">
        <v>1092</v>
      </c>
      <c r="J18" s="109" t="s">
        <v>1093</v>
      </c>
      <c r="K18" s="109" t="s">
        <v>1094</v>
      </c>
      <c r="L18" s="109" t="s">
        <v>1095</v>
      </c>
      <c r="M18" s="109" t="s">
        <v>1096</v>
      </c>
      <c r="N18" s="385" t="s">
        <v>1097</v>
      </c>
      <c r="O18" s="385" t="s">
        <v>1098</v>
      </c>
      <c r="P18" s="385" t="s">
        <v>1099</v>
      </c>
      <c r="Q18" s="385" t="s">
        <v>1100</v>
      </c>
      <c r="R18" s="12"/>
      <c r="S18" s="97" t="s">
        <v>1101</v>
      </c>
      <c r="T18" s="12"/>
      <c r="U18" s="12"/>
      <c r="V18" s="12"/>
    </row>
    <row r="19" customFormat="false" ht="30" hidden="false" customHeight="true" outlineLevel="0" collapsed="false">
      <c r="A19" s="12"/>
      <c r="B19" s="386" t="s">
        <v>1102</v>
      </c>
      <c r="C19" s="387" t="str">
        <f aca="false">IF(AND(Baujahr&gt;=1925,Baujahr&lt;=2022),"Ja","Nein")</f>
        <v>Ja</v>
      </c>
      <c r="D19" s="206" t="n">
        <f aca="false">MIN(AV_B,0.02*AV_B)</f>
        <v>4885.35693430657</v>
      </c>
      <c r="E19" s="206" t="n">
        <f aca="false">MIN(D29,0.02*AV_B)</f>
        <v>4885.35693430657</v>
      </c>
      <c r="F19" s="206" t="n">
        <f aca="false">MIN(E29,0.02*AV_B)</f>
        <v>4885.35693430657</v>
      </c>
      <c r="G19" s="206" t="n">
        <f aca="false">MIN(F29,0.02*AV_B)</f>
        <v>4885.35693430657</v>
      </c>
      <c r="H19" s="206" t="n">
        <f aca="false">MIN(G29,0.02*AV_B)</f>
        <v>4885.35693430657</v>
      </c>
      <c r="I19" s="206" t="n">
        <f aca="false">MIN(H29,0.02*AV_B)</f>
        <v>4885.35693430657</v>
      </c>
      <c r="J19" s="206" t="n">
        <f aca="false">MIN(I29,0.02*AV_B)</f>
        <v>4885.35693430657</v>
      </c>
      <c r="K19" s="206" t="n">
        <f aca="false">MIN(J29,0.02*AV_B)</f>
        <v>4885.35693430657</v>
      </c>
      <c r="L19" s="206" t="n">
        <f aca="false">MIN(K29,0.02*AV_B)</f>
        <v>4885.35693430657</v>
      </c>
      <c r="M19" s="206" t="n">
        <f aca="false">MIN(L29,0.02*AV_B)</f>
        <v>4885.35693430657</v>
      </c>
      <c r="N19" s="206" t="n">
        <f aca="false">SUM(D19:G19)</f>
        <v>19541.4277372263</v>
      </c>
      <c r="O19" s="388" t="n">
        <f aca="false">SUM(D19:M19)</f>
        <v>48853.5693430657</v>
      </c>
      <c r="P19" s="206" t="n">
        <f aca="false">O19*AV_Satz</f>
        <v>22599.0749352701</v>
      </c>
      <c r="Q19" s="388" t="n">
        <f aca="false">NPV(Kalkulationszins,D19:M19)*AV_Satz</f>
        <v>18329.874150981</v>
      </c>
      <c r="R19" s="12"/>
      <c r="S19" s="245" t="s">
        <v>1103</v>
      </c>
      <c r="T19" s="12"/>
      <c r="U19" s="12"/>
      <c r="V19" s="12"/>
    </row>
    <row r="20" customFormat="false" ht="30" hidden="false" customHeight="true" outlineLevel="0" collapsed="false">
      <c r="A20" s="12"/>
      <c r="B20" s="386" t="s">
        <v>1104</v>
      </c>
      <c r="C20" s="387" t="str">
        <f aca="false">IF(Baujahr&lt;1925,"Ja","Nein")</f>
        <v>Nein</v>
      </c>
      <c r="D20" s="206" t="n">
        <f aca="false">MIN(AV_B,0.025*AV_B)</f>
        <v>6106.69616788321</v>
      </c>
      <c r="E20" s="206" t="n">
        <f aca="false">MIN(D30,0.025*AV_B)</f>
        <v>6106.69616788321</v>
      </c>
      <c r="F20" s="206" t="n">
        <f aca="false">MIN(E30,0.025*AV_B)</f>
        <v>6106.69616788321</v>
      </c>
      <c r="G20" s="206" t="n">
        <f aca="false">MIN(F30,0.025*AV_B)</f>
        <v>6106.69616788321</v>
      </c>
      <c r="H20" s="206" t="n">
        <f aca="false">MIN(G30,0.025*AV_B)</f>
        <v>6106.69616788321</v>
      </c>
      <c r="I20" s="206" t="n">
        <f aca="false">MIN(H30,0.025*AV_B)</f>
        <v>6106.69616788321</v>
      </c>
      <c r="J20" s="206" t="n">
        <f aca="false">MIN(I30,0.025*AV_B)</f>
        <v>6106.69616788321</v>
      </c>
      <c r="K20" s="206" t="n">
        <f aca="false">MIN(J30,0.025*AV_B)</f>
        <v>6106.69616788321</v>
      </c>
      <c r="L20" s="206" t="n">
        <f aca="false">MIN(K30,0.025*AV_B)</f>
        <v>6106.69616788321</v>
      </c>
      <c r="M20" s="206" t="n">
        <f aca="false">MIN(L30,0.025*AV_B)</f>
        <v>6106.69616788321</v>
      </c>
      <c r="N20" s="206" t="n">
        <f aca="false">SUM(D20:G20)</f>
        <v>24426.7846715329</v>
      </c>
      <c r="O20" s="388" t="n">
        <f aca="false">SUM(D20:M20)</f>
        <v>61066.9616788321</v>
      </c>
      <c r="P20" s="206" t="n">
        <f aca="false">O20*AV_Satz</f>
        <v>28248.8436690876</v>
      </c>
      <c r="Q20" s="388" t="n">
        <f aca="false">NPV(Kalkulationszins,D20:M20)*AV_Satz</f>
        <v>22912.3426887263</v>
      </c>
      <c r="R20" s="12"/>
      <c r="S20" s="245" t="s">
        <v>1105</v>
      </c>
      <c r="T20" s="12"/>
      <c r="U20" s="12"/>
      <c r="V20" s="12"/>
    </row>
    <row r="21" customFormat="false" ht="30" hidden="false" customHeight="true" outlineLevel="0" collapsed="false">
      <c r="A21" s="12"/>
      <c r="B21" s="386" t="s">
        <v>1106</v>
      </c>
      <c r="C21" s="387" t="str">
        <f aca="false">IF(OR(Baujahr&gt;=2023,AND(Wohngebaeude=0,Rechtsform_Idx&gt;1)),"Ja","Nein")</f>
        <v>Nein</v>
      </c>
      <c r="D21" s="206" t="n">
        <f aca="false">MIN(AV_B,0.03*AV_B)</f>
        <v>7328.03540145985</v>
      </c>
      <c r="E21" s="206" t="n">
        <f aca="false">MIN(D31,0.03*AV_B)</f>
        <v>7328.03540145985</v>
      </c>
      <c r="F21" s="206" t="n">
        <f aca="false">MIN(E31,0.03*AV_B)</f>
        <v>7328.03540145985</v>
      </c>
      <c r="G21" s="206" t="n">
        <f aca="false">MIN(F31,0.03*AV_B)</f>
        <v>7328.03540145985</v>
      </c>
      <c r="H21" s="206" t="n">
        <f aca="false">MIN(G31,0.03*AV_B)</f>
        <v>7328.03540145985</v>
      </c>
      <c r="I21" s="206" t="n">
        <f aca="false">MIN(H31,0.03*AV_B)</f>
        <v>7328.03540145985</v>
      </c>
      <c r="J21" s="206" t="n">
        <f aca="false">MIN(I31,0.03*AV_B)</f>
        <v>7328.03540145985</v>
      </c>
      <c r="K21" s="206" t="n">
        <f aca="false">MIN(J31,0.03*AV_B)</f>
        <v>7328.03540145985</v>
      </c>
      <c r="L21" s="206" t="n">
        <f aca="false">MIN(K31,0.03*AV_B)</f>
        <v>7328.03540145985</v>
      </c>
      <c r="M21" s="206" t="n">
        <f aca="false">MIN(L31,0.03*AV_B)</f>
        <v>7328.03540145985</v>
      </c>
      <c r="N21" s="206" t="n">
        <f aca="false">SUM(D21:G21)</f>
        <v>29312.1416058394</v>
      </c>
      <c r="O21" s="388" t="n">
        <f aca="false">SUM(D21:M21)</f>
        <v>73280.3540145985</v>
      </c>
      <c r="P21" s="206" t="n">
        <f aca="false">O21*AV_Satz</f>
        <v>33898.6124029051</v>
      </c>
      <c r="Q21" s="388" t="n">
        <f aca="false">NPV(Kalkulationszins,D21:M21)*AV_Satz</f>
        <v>27494.8112264715</v>
      </c>
      <c r="R21" s="12"/>
      <c r="S21" s="245" t="s">
        <v>1107</v>
      </c>
      <c r="T21" s="12"/>
      <c r="U21" s="12"/>
      <c r="V21" s="12"/>
    </row>
    <row r="22" customFormat="false" ht="30" hidden="false" customHeight="true" outlineLevel="0" collapsed="false">
      <c r="A22" s="12"/>
      <c r="B22" s="386" t="s">
        <v>1108</v>
      </c>
      <c r="C22" s="387" t="str">
        <f aca="false">IF(N(RND_Gutachten)&gt;0,"Ja – Gutachten liegt vor","Nur mit Sachverständigengutachten")</f>
        <v>Nur mit Sachverständigengutachten</v>
      </c>
      <c r="D22" s="206" t="n">
        <f aca="false">IF(N(RND_Gutachten)&gt;0,MIN(AV_B,AV_B/RND_Gutachten),0)</f>
        <v>0</v>
      </c>
      <c r="E22" s="206" t="n">
        <f aca="false">IF(N(RND_Gutachten)&gt;0,MIN(D32,AV_B/RND_Gutachten),0)</f>
        <v>0</v>
      </c>
      <c r="F22" s="206" t="n">
        <f aca="false">IF(N(RND_Gutachten)&gt;0,MIN(E32,AV_B/RND_Gutachten),0)</f>
        <v>0</v>
      </c>
      <c r="G22" s="206" t="n">
        <f aca="false">IF(N(RND_Gutachten)&gt;0,MIN(F32,AV_B/RND_Gutachten),0)</f>
        <v>0</v>
      </c>
      <c r="H22" s="206" t="n">
        <f aca="false">IF(N(RND_Gutachten)&gt;0,MIN(G32,AV_B/RND_Gutachten),0)</f>
        <v>0</v>
      </c>
      <c r="I22" s="206" t="n">
        <f aca="false">IF(N(RND_Gutachten)&gt;0,MIN(H32,AV_B/RND_Gutachten),0)</f>
        <v>0</v>
      </c>
      <c r="J22" s="206" t="n">
        <f aca="false">IF(N(RND_Gutachten)&gt;0,MIN(I32,AV_B/RND_Gutachten),0)</f>
        <v>0</v>
      </c>
      <c r="K22" s="206" t="n">
        <f aca="false">IF(N(RND_Gutachten)&gt;0,MIN(J32,AV_B/RND_Gutachten),0)</f>
        <v>0</v>
      </c>
      <c r="L22" s="206" t="n">
        <f aca="false">IF(N(RND_Gutachten)&gt;0,MIN(K32,AV_B/RND_Gutachten),0)</f>
        <v>0</v>
      </c>
      <c r="M22" s="206" t="n">
        <f aca="false">IF(N(RND_Gutachten)&gt;0,MIN(L32,AV_B/RND_Gutachten),0)</f>
        <v>0</v>
      </c>
      <c r="N22" s="206" t="n">
        <f aca="false">SUM(D22:G22)</f>
        <v>0</v>
      </c>
      <c r="O22" s="388" t="n">
        <f aca="false">SUM(D22:M22)</f>
        <v>0</v>
      </c>
      <c r="P22" s="206" t="n">
        <f aca="false">O22*AV_Satz</f>
        <v>0</v>
      </c>
      <c r="Q22" s="388" t="n">
        <f aca="false">NPV(Kalkulationszins,D22:M22)*AV_Satz</f>
        <v>0</v>
      </c>
      <c r="R22" s="12"/>
      <c r="S22" s="245" t="s">
        <v>1109</v>
      </c>
      <c r="T22" s="12"/>
      <c r="U22" s="12"/>
      <c r="V22" s="12"/>
    </row>
    <row r="23" customFormat="false" ht="30" hidden="false" customHeight="true" outlineLevel="0" collapsed="false">
      <c r="A23" s="12"/>
      <c r="B23" s="386" t="s">
        <v>1110</v>
      </c>
      <c r="C23" s="387" t="str">
        <f aca="false">IF(AND(Baujahr&gt;=2023,Wohngebaeude=1),"Ja – Baubeginn im Zeitfenster prüfen","Nein")</f>
        <v>Nein</v>
      </c>
      <c r="D23" s="206" t="n">
        <f aca="false">MIN(AV_B,MAX(Degressiv_Satz*AV_B,AV_B/MAX((1/0.03)-(1-1),1)))</f>
        <v>12213.3923357664</v>
      </c>
      <c r="E23" s="206" t="n">
        <f aca="false">MIN(D33,MAX(Degressiv_Satz*D33,D33/MAX((1/0.03)-(2-1),1)))</f>
        <v>11602.7227189781</v>
      </c>
      <c r="F23" s="206" t="n">
        <f aca="false">MIN(E33,MAX(Degressiv_Satz*E33,E33/MAX((1/0.03)-(3-1),1)))</f>
        <v>11022.5865830292</v>
      </c>
      <c r="G23" s="206" t="n">
        <f aca="false">MIN(F33,MAX(Degressiv_Satz*F33,F33/MAX((1/0.03)-(4-1),1)))</f>
        <v>10471.4572538777</v>
      </c>
      <c r="H23" s="206" t="n">
        <f aca="false">MIN(G33,MAX(Degressiv_Satz*G33,G33/MAX((1/0.03)-(5-1),1)))</f>
        <v>9947.88439118385</v>
      </c>
      <c r="I23" s="206" t="n">
        <f aca="false">MIN(H33,MAX(Degressiv_Satz*H33,H33/MAX((1/0.03)-(6-1),1)))</f>
        <v>9450.49017162466</v>
      </c>
      <c r="J23" s="206" t="n">
        <f aca="false">MIN(I33,MAX(Degressiv_Satz*I33,I33/MAX((1/0.03)-(7-1),1)))</f>
        <v>8977.96566304342</v>
      </c>
      <c r="K23" s="206" t="n">
        <f aca="false">MIN(J33,MAX(Degressiv_Satz*J33,J33/MAX((1/0.03)-(8-1),1)))</f>
        <v>8529.06737989125</v>
      </c>
      <c r="L23" s="206" t="n">
        <f aca="false">MIN(K33,MAX(Degressiv_Satz*K33,K33/MAX((1/0.03)-(9-1),1)))</f>
        <v>8102.61401089669</v>
      </c>
      <c r="M23" s="206" t="n">
        <f aca="false">MIN(L33,MAX(Degressiv_Satz*L33,L33/MAX((1/0.03)-(10-1),1)))</f>
        <v>7697.48331035186</v>
      </c>
      <c r="N23" s="206" t="n">
        <f aca="false">SUM(D23:G23)</f>
        <v>45310.1588916515</v>
      </c>
      <c r="O23" s="388" t="n">
        <f aca="false">SUM(D23:M23)</f>
        <v>98015.6638186432</v>
      </c>
      <c r="P23" s="206" t="n">
        <f aca="false">O23*AV_Satz</f>
        <v>45340.8698945385</v>
      </c>
      <c r="Q23" s="388" t="n">
        <f aca="false">NPV(Kalkulationszins,D23:M23)*AV_Satz</f>
        <v>37383.5641033914</v>
      </c>
      <c r="R23" s="12"/>
      <c r="S23" s="245" t="s">
        <v>1111</v>
      </c>
      <c r="T23" s="12"/>
      <c r="U23" s="12"/>
      <c r="V23" s="12"/>
    </row>
    <row r="24" customFormat="false" ht="30" hidden="false" customHeight="true" outlineLevel="0" collapsed="false">
      <c r="A24" s="12"/>
      <c r="B24" s="386" t="s">
        <v>1112</v>
      </c>
      <c r="C24" s="387" t="str">
        <f aca="false">IF(AND(Baujahr&gt;=2023,Wohngebaeude=1,Baukosten_qm&lt;=Grenze_7b_Baukosten),"Ja – EH 40 / QNG erforderlich","Nein")</f>
        <v>Nein</v>
      </c>
      <c r="D24" s="206" t="n">
        <f aca="false">MIN(AV_B,IF(1&lt;=SonderAfA_Jahre,0.03*AV_B+AV_S,AV_B/MAX((1/0.03)-(1-1),1)))</f>
        <v>19541.4277372263</v>
      </c>
      <c r="E24" s="206" t="n">
        <f aca="false">MIN(D34,IF(2&lt;=SonderAfA_Jahre,0.03*AV_B+AV_S,D34/MAX((1/0.03)-(2-1),1)))</f>
        <v>19541.4277372263</v>
      </c>
      <c r="F24" s="206" t="n">
        <f aca="false">MIN(E34,IF(3&lt;=SonderAfA_Jahre,0.03*AV_B+AV_S,E34/MAX((1/0.03)-(3-1),1)))</f>
        <v>19541.4277372263</v>
      </c>
      <c r="G24" s="206" t="n">
        <f aca="false">MIN(F34,IF(4&lt;=SonderAfA_Jahre,0.03*AV_B+AV_S,F34/MAX((1/0.03)-(4-1),1)))</f>
        <v>19541.4277372263</v>
      </c>
      <c r="H24" s="206" t="n">
        <f aca="false">MIN(G34,IF(5&lt;=SonderAfA_Jahre,0.03*AV_B+AV_S,G34/MAX((1/0.03)-(5-1),1)))</f>
        <v>5662.57281021898</v>
      </c>
      <c r="I24" s="206" t="n">
        <f aca="false">MIN(H34,IF(6&lt;=SonderAfA_Jahre,0.03*AV_B+AV_S,H34/MAX((1/0.03)-(6-1),1)))</f>
        <v>5662.57281021898</v>
      </c>
      <c r="J24" s="206" t="n">
        <f aca="false">MIN(I34,IF(7&lt;=SonderAfA_Jahre,0.03*AV_B+AV_S,I34/MAX((1/0.03)-(7-1),1)))</f>
        <v>5662.57281021898</v>
      </c>
      <c r="K24" s="206" t="n">
        <f aca="false">MIN(J34,IF(8&lt;=SonderAfA_Jahre,0.03*AV_B+AV_S,J34/MAX((1/0.03)-(8-1),1)))</f>
        <v>5662.57281021898</v>
      </c>
      <c r="L24" s="206" t="n">
        <f aca="false">MIN(K34,IF(9&lt;=SonderAfA_Jahre,0.03*AV_B+AV_S,K34/MAX((1/0.03)-(9-1),1)))</f>
        <v>5662.57281021898</v>
      </c>
      <c r="M24" s="206" t="n">
        <f aca="false">MIN(L34,IF(10&lt;=SonderAfA_Jahre,0.03*AV_B+AV_S,L34/MAX((1/0.03)-(10-1),1)))</f>
        <v>5662.57281021898</v>
      </c>
      <c r="N24" s="206" t="n">
        <f aca="false">SUM(D24:G24)</f>
        <v>78165.7109489051</v>
      </c>
      <c r="O24" s="388" t="n">
        <f aca="false">SUM(D24:M24)</f>
        <v>112141.147810219</v>
      </c>
      <c r="P24" s="206" t="n">
        <f aca="false">O24*AV_Satz</f>
        <v>51875.1492832336</v>
      </c>
      <c r="Q24" s="388" t="n">
        <f aca="false">NPV(Kalkulationszins,D24:M24)*AV_Satz</f>
        <v>44550.6138398188</v>
      </c>
      <c r="R24" s="12"/>
      <c r="S24" s="245" t="s">
        <v>1113</v>
      </c>
      <c r="T24" s="12"/>
      <c r="U24" s="12"/>
      <c r="V24" s="12"/>
    </row>
    <row r="25" customFormat="false" ht="30" hidden="false" customHeight="true" outlineLevel="0" collapsed="false">
      <c r="A25" s="12"/>
      <c r="B25" s="386" t="s">
        <v>1114</v>
      </c>
      <c r="C25" s="387" t="str">
        <f aca="false">IF(AND(Baujahr&gt;=2023,Wohngebaeude=1,Baukosten_qm&lt;=Grenze_7b_Baukosten),"Ja – EH 40 / QNG erforderlich","Nein")</f>
        <v>Nein</v>
      </c>
      <c r="D25" s="206" t="n">
        <f aca="false">MIN(AV_B,MAX(Degressiv_Satz*AV_B,AV_B/MAX((1/0.03)-(1-1),1))+IF(1&lt;=SonderAfA_Jahre,AV_S,0))</f>
        <v>24426.7846715329</v>
      </c>
      <c r="E25" s="206" t="n">
        <f aca="false">MIN(D35,MAX(Degressiv_Satz*D35,D35/MAX((1/0.03)-(2-1),1))+IF(2&lt;=SonderAfA_Jahre,AV_S,0))</f>
        <v>23205.4454379562</v>
      </c>
      <c r="F25" s="206" t="n">
        <f aca="false">MIN(E35,MAX(Degressiv_Satz*E35,E35/MAX((1/0.03)-(3-1),1))+IF(3&lt;=SonderAfA_Jahre,AV_S,0))</f>
        <v>22045.1731660584</v>
      </c>
      <c r="G25" s="206" t="n">
        <f aca="false">MIN(F35,MAX(Degressiv_Satz*F35,F35/MAX((1/0.03)-(4-1),1))+IF(4&lt;=SonderAfA_Jahre,AV_S,0))</f>
        <v>20942.9145077555</v>
      </c>
      <c r="H25" s="206" t="n">
        <f aca="false">MIN(G35,MAX(Degressiv_Satz*G35,G35/MAX((1/0.03)-(5-1),1))+IF(5&lt;=SonderAfA_Jahre,AV_S,0))</f>
        <v>7682.37644660128</v>
      </c>
      <c r="I25" s="206" t="n">
        <f aca="false">MIN(H35,MAX(Degressiv_Satz*H35,H35/MAX((1/0.03)-(6-1),1))+IF(6&lt;=SonderAfA_Jahre,AV_S,0))</f>
        <v>7298.25762427121</v>
      </c>
      <c r="J25" s="206" t="n">
        <f aca="false">MIN(I35,MAX(Degressiv_Satz*I35,I35/MAX((1/0.03)-(7-1),1))+IF(7&lt;=SonderAfA_Jahre,AV_S,0))</f>
        <v>6933.34474305765</v>
      </c>
      <c r="K25" s="206" t="n">
        <f aca="false">MIN(J35,MAX(Degressiv_Satz*J35,J35/MAX((1/0.03)-(8-1),1))+IF(8&lt;=SonderAfA_Jahre,AV_S,0))</f>
        <v>6586.67750590477</v>
      </c>
      <c r="L25" s="206" t="n">
        <f aca="false">MIN(K35,MAX(Degressiv_Satz*K35,K35/MAX((1/0.03)-(9-1),1))+IF(9&lt;=SonderAfA_Jahre,AV_S,0))</f>
        <v>6257.34363060953</v>
      </c>
      <c r="M25" s="206" t="n">
        <f aca="false">MIN(L35,MAX(Degressiv_Satz*L35,L35/MAX((1/0.03)-(10-1),1))+IF(10&lt;=SonderAfA_Jahre,AV_S,0))</f>
        <v>5944.47644907906</v>
      </c>
      <c r="N25" s="206" t="n">
        <f aca="false">SUM(D25:G25)</f>
        <v>90620.3177833029</v>
      </c>
      <c r="O25" s="388" t="n">
        <f aca="false">SUM(D25:M25)</f>
        <v>131322.794182826</v>
      </c>
      <c r="P25" s="206" t="n">
        <f aca="false">O25*AV_Satz</f>
        <v>60748.3487154453</v>
      </c>
      <c r="Q25" s="388" t="n">
        <f aca="false">NPV(Kalkulationszins,D25:M25)*AV_Satz</f>
        <v>52280.8949141575</v>
      </c>
      <c r="R25" s="12"/>
      <c r="S25" s="245" t="s">
        <v>1115</v>
      </c>
      <c r="T25" s="12"/>
      <c r="U25" s="12"/>
      <c r="V25" s="12"/>
    </row>
    <row r="26" customFormat="false" ht="30" hidden="false" customHeight="true" outlineLevel="0" collapsed="false">
      <c r="A26" s="12"/>
      <c r="B26" s="305" t="s">
        <v>1116</v>
      </c>
      <c r="C26" s="389" t="str">
        <f aca="false">INDEX(L_AfA,Methode_eff)</f>
        <v>Automatisch nach Baujahr (§ 7 Abs. 4 EStG)</v>
      </c>
      <c r="D26" s="213" t="n">
        <f aca="false">Steuern!D51</f>
        <v>4885.35693430657</v>
      </c>
      <c r="E26" s="213" t="n">
        <f aca="false">Steuern!E51</f>
        <v>4885.35693430657</v>
      </c>
      <c r="F26" s="213" t="n">
        <f aca="false">Steuern!F51</f>
        <v>4885.35693430657</v>
      </c>
      <c r="G26" s="213" t="n">
        <f aca="false">Steuern!G51</f>
        <v>4885.35693430657</v>
      </c>
      <c r="H26" s="213" t="n">
        <f aca="false">Steuern!H51</f>
        <v>4885.35693430657</v>
      </c>
      <c r="I26" s="213" t="n">
        <f aca="false">Steuern!I51</f>
        <v>4885.35693430657</v>
      </c>
      <c r="J26" s="213" t="n">
        <f aca="false">Steuern!J51</f>
        <v>4885.35693430657</v>
      </c>
      <c r="K26" s="213" t="n">
        <f aca="false">Steuern!K51</f>
        <v>4885.35693430657</v>
      </c>
      <c r="L26" s="213" t="n">
        <f aca="false">Steuern!L51</f>
        <v>4885.35693430657</v>
      </c>
      <c r="M26" s="213" t="n">
        <f aca="false">Steuern!M51</f>
        <v>4885.35693430657</v>
      </c>
      <c r="N26" s="213" t="n">
        <f aca="false">SUM(D26:G26)</f>
        <v>19541.4277372263</v>
      </c>
      <c r="O26" s="213" t="n">
        <f aca="false">SUM(D26:M26)</f>
        <v>48853.5693430657</v>
      </c>
      <c r="P26" s="213" t="n">
        <f aca="false">O26*AV_Satz</f>
        <v>22599.0749352701</v>
      </c>
      <c r="Q26" s="213" t="n">
        <f aca="false">NPV(Kalkulationszins,D26:M26)*AV_Satz</f>
        <v>18329.874150981</v>
      </c>
      <c r="R26" s="12"/>
      <c r="S26" s="245" t="s">
        <v>1117</v>
      </c>
      <c r="T26" s="12"/>
      <c r="U26" s="12"/>
      <c r="V26" s="12"/>
    </row>
    <row r="27" customFormat="false" ht="21.75" hidden="false" customHeight="true" outlineLevel="0" collapsed="false">
      <c r="A27" s="12"/>
      <c r="B27" s="390" t="s">
        <v>1118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12"/>
      <c r="S27" s="12"/>
      <c r="T27" s="12"/>
      <c r="U27" s="12"/>
      <c r="V27" s="12"/>
    </row>
    <row r="28" customFormat="false" ht="19.5" hidden="false" customHeight="true" outlineLevel="0" collapsed="false">
      <c r="A28" s="12"/>
      <c r="B28" s="96" t="s">
        <v>1119</v>
      </c>
      <c r="C28" s="391"/>
      <c r="D28" s="109" t="s">
        <v>378</v>
      </c>
      <c r="E28" s="109" t="s">
        <v>1088</v>
      </c>
      <c r="F28" s="109" t="s">
        <v>1089</v>
      </c>
      <c r="G28" s="109" t="s">
        <v>1090</v>
      </c>
      <c r="H28" s="109" t="s">
        <v>1091</v>
      </c>
      <c r="I28" s="109" t="s">
        <v>1092</v>
      </c>
      <c r="J28" s="109" t="s">
        <v>1093</v>
      </c>
      <c r="K28" s="109" t="s">
        <v>1094</v>
      </c>
      <c r="L28" s="109" t="s">
        <v>1095</v>
      </c>
      <c r="M28" s="109" t="s">
        <v>1096</v>
      </c>
      <c r="N28" s="391"/>
      <c r="O28" s="391"/>
      <c r="P28" s="391"/>
      <c r="Q28" s="391"/>
      <c r="R28" s="12"/>
      <c r="S28" s="12"/>
      <c r="T28" s="12"/>
      <c r="U28" s="12"/>
      <c r="V28" s="12"/>
    </row>
    <row r="29" customFormat="false" ht="15.75" hidden="false" customHeight="true" outlineLevel="0" collapsed="false">
      <c r="A29" s="12"/>
      <c r="B29" s="70" t="s">
        <v>1103</v>
      </c>
      <c r="C29" s="293"/>
      <c r="D29" s="208" t="n">
        <f aca="false">AV_B-D19</f>
        <v>239382.489781022</v>
      </c>
      <c r="E29" s="208" t="n">
        <f aca="false">D29-E19</f>
        <v>234497.132846715</v>
      </c>
      <c r="F29" s="208" t="n">
        <f aca="false">E29-F19</f>
        <v>229611.775912409</v>
      </c>
      <c r="G29" s="208" t="n">
        <f aca="false">F29-G19</f>
        <v>224726.418978102</v>
      </c>
      <c r="H29" s="208" t="n">
        <f aca="false">G29-H19</f>
        <v>219841.062043796</v>
      </c>
      <c r="I29" s="208" t="n">
        <f aca="false">H29-I19</f>
        <v>214955.705109489</v>
      </c>
      <c r="J29" s="208" t="n">
        <f aca="false">I29-J19</f>
        <v>210070.348175183</v>
      </c>
      <c r="K29" s="208" t="n">
        <f aca="false">J29-K19</f>
        <v>205184.991240876</v>
      </c>
      <c r="L29" s="208" t="n">
        <f aca="false">K29-L19</f>
        <v>200299.634306569</v>
      </c>
      <c r="M29" s="208" t="n">
        <f aca="false">L29-M19</f>
        <v>195414.277372263</v>
      </c>
      <c r="N29" s="208"/>
      <c r="O29" s="208"/>
      <c r="P29" s="208"/>
      <c r="Q29" s="208"/>
      <c r="R29" s="12"/>
      <c r="S29" s="12"/>
      <c r="T29" s="12"/>
      <c r="U29" s="12"/>
      <c r="V29" s="12"/>
    </row>
    <row r="30" customFormat="false" ht="15.75" hidden="false" customHeight="true" outlineLevel="0" collapsed="false">
      <c r="A30" s="12"/>
      <c r="B30" s="70" t="s">
        <v>1105</v>
      </c>
      <c r="C30" s="293"/>
      <c r="D30" s="208" t="n">
        <f aca="false">AV_B-D20</f>
        <v>238161.150547445</v>
      </c>
      <c r="E30" s="208" t="n">
        <f aca="false">D30-E20</f>
        <v>232054.454379562</v>
      </c>
      <c r="F30" s="208" t="n">
        <f aca="false">E30-F20</f>
        <v>225947.758211679</v>
      </c>
      <c r="G30" s="208" t="n">
        <f aca="false">F30-G20</f>
        <v>219841.062043796</v>
      </c>
      <c r="H30" s="208" t="n">
        <f aca="false">G30-H20</f>
        <v>213734.365875912</v>
      </c>
      <c r="I30" s="208" t="n">
        <f aca="false">H30-I20</f>
        <v>207627.669708029</v>
      </c>
      <c r="J30" s="208" t="n">
        <f aca="false">I30-J20</f>
        <v>201520.973540146</v>
      </c>
      <c r="K30" s="208" t="n">
        <f aca="false">J30-K20</f>
        <v>195414.277372263</v>
      </c>
      <c r="L30" s="208" t="n">
        <f aca="false">K30-L20</f>
        <v>189307.58120438</v>
      </c>
      <c r="M30" s="208" t="n">
        <f aca="false">L30-M20</f>
        <v>183200.885036496</v>
      </c>
      <c r="N30" s="208"/>
      <c r="O30" s="208"/>
      <c r="P30" s="208"/>
      <c r="Q30" s="208"/>
      <c r="R30" s="12"/>
      <c r="S30" s="12"/>
      <c r="T30" s="12"/>
      <c r="U30" s="12"/>
      <c r="V30" s="12"/>
    </row>
    <row r="31" customFormat="false" ht="15.75" hidden="false" customHeight="true" outlineLevel="0" collapsed="false">
      <c r="A31" s="12"/>
      <c r="B31" s="70" t="s">
        <v>1107</v>
      </c>
      <c r="C31" s="293"/>
      <c r="D31" s="208" t="n">
        <f aca="false">AV_B-D21</f>
        <v>236939.811313869</v>
      </c>
      <c r="E31" s="208" t="n">
        <f aca="false">D31-E21</f>
        <v>229611.775912409</v>
      </c>
      <c r="F31" s="208" t="n">
        <f aca="false">E31-F21</f>
        <v>222283.740510949</v>
      </c>
      <c r="G31" s="208" t="n">
        <f aca="false">F31-G21</f>
        <v>214955.705109489</v>
      </c>
      <c r="H31" s="208" t="n">
        <f aca="false">G31-H21</f>
        <v>207627.669708029</v>
      </c>
      <c r="I31" s="208" t="n">
        <f aca="false">H31-I21</f>
        <v>200299.634306569</v>
      </c>
      <c r="J31" s="208" t="n">
        <f aca="false">I31-J21</f>
        <v>192971.59890511</v>
      </c>
      <c r="K31" s="208" t="n">
        <f aca="false">J31-K21</f>
        <v>185643.56350365</v>
      </c>
      <c r="L31" s="208" t="n">
        <f aca="false">K31-L21</f>
        <v>178315.52810219</v>
      </c>
      <c r="M31" s="208" t="n">
        <f aca="false">L31-M21</f>
        <v>170987.49270073</v>
      </c>
      <c r="N31" s="208"/>
      <c r="O31" s="208"/>
      <c r="P31" s="208"/>
      <c r="Q31" s="208"/>
      <c r="R31" s="12"/>
      <c r="S31" s="12"/>
      <c r="T31" s="12"/>
      <c r="U31" s="12"/>
      <c r="V31" s="12"/>
    </row>
    <row r="32" customFormat="false" ht="15.75" hidden="false" customHeight="true" outlineLevel="0" collapsed="false">
      <c r="A32" s="12"/>
      <c r="B32" s="70" t="s">
        <v>1109</v>
      </c>
      <c r="C32" s="293"/>
      <c r="D32" s="208" t="n">
        <f aca="false">AV_B-D22</f>
        <v>244267.846715328</v>
      </c>
      <c r="E32" s="208" t="n">
        <f aca="false">D32-E22</f>
        <v>244267.846715328</v>
      </c>
      <c r="F32" s="208" t="n">
        <f aca="false">E32-F22</f>
        <v>244267.846715328</v>
      </c>
      <c r="G32" s="208" t="n">
        <f aca="false">F32-G22</f>
        <v>244267.846715328</v>
      </c>
      <c r="H32" s="208" t="n">
        <f aca="false">G32-H22</f>
        <v>244267.846715328</v>
      </c>
      <c r="I32" s="208" t="n">
        <f aca="false">H32-I22</f>
        <v>244267.846715328</v>
      </c>
      <c r="J32" s="208" t="n">
        <f aca="false">I32-J22</f>
        <v>244267.846715328</v>
      </c>
      <c r="K32" s="208" t="n">
        <f aca="false">J32-K22</f>
        <v>244267.846715328</v>
      </c>
      <c r="L32" s="208" t="n">
        <f aca="false">K32-L22</f>
        <v>244267.846715328</v>
      </c>
      <c r="M32" s="208" t="n">
        <f aca="false">L32-M22</f>
        <v>244267.846715328</v>
      </c>
      <c r="N32" s="208"/>
      <c r="O32" s="208"/>
      <c r="P32" s="208"/>
      <c r="Q32" s="208"/>
      <c r="R32" s="12"/>
      <c r="S32" s="12"/>
      <c r="T32" s="12"/>
      <c r="U32" s="12"/>
      <c r="V32" s="12"/>
    </row>
    <row r="33" customFormat="false" ht="15.75" hidden="false" customHeight="true" outlineLevel="0" collapsed="false">
      <c r="A33" s="12"/>
      <c r="B33" s="70" t="s">
        <v>1111</v>
      </c>
      <c r="C33" s="293"/>
      <c r="D33" s="208" t="n">
        <f aca="false">AV_B-D23</f>
        <v>232054.454379562</v>
      </c>
      <c r="E33" s="208" t="n">
        <f aca="false">D33-E23</f>
        <v>220451.731660584</v>
      </c>
      <c r="F33" s="208" t="n">
        <f aca="false">E33-F23</f>
        <v>209429.145077555</v>
      </c>
      <c r="G33" s="208" t="n">
        <f aca="false">F33-G23</f>
        <v>198957.687823677</v>
      </c>
      <c r="H33" s="208" t="n">
        <f aca="false">G33-H23</f>
        <v>189009.803432493</v>
      </c>
      <c r="I33" s="208" t="n">
        <f aca="false">H33-I23</f>
        <v>179559.313260868</v>
      </c>
      <c r="J33" s="208" t="n">
        <f aca="false">I33-J23</f>
        <v>170581.347597825</v>
      </c>
      <c r="K33" s="208" t="n">
        <f aca="false">J33-K23</f>
        <v>162052.280217934</v>
      </c>
      <c r="L33" s="208" t="n">
        <f aca="false">K33-L23</f>
        <v>153949.666207037</v>
      </c>
      <c r="M33" s="208" t="n">
        <f aca="false">L33-M23</f>
        <v>146252.182896685</v>
      </c>
      <c r="N33" s="208"/>
      <c r="O33" s="208"/>
      <c r="P33" s="208"/>
      <c r="Q33" s="208"/>
      <c r="R33" s="12"/>
      <c r="S33" s="12"/>
      <c r="T33" s="12"/>
      <c r="U33" s="12"/>
      <c r="V33" s="12"/>
    </row>
    <row r="34" customFormat="false" ht="15.75" hidden="false" customHeight="true" outlineLevel="0" collapsed="false">
      <c r="A34" s="12"/>
      <c r="B34" s="70" t="s">
        <v>1113</v>
      </c>
      <c r="C34" s="293"/>
      <c r="D34" s="208" t="n">
        <f aca="false">AV_B-D24</f>
        <v>224726.418978102</v>
      </c>
      <c r="E34" s="208" t="n">
        <f aca="false">D34-E24</f>
        <v>205184.991240876</v>
      </c>
      <c r="F34" s="208" t="n">
        <f aca="false">E34-F24</f>
        <v>185643.56350365</v>
      </c>
      <c r="G34" s="208" t="n">
        <f aca="false">F34-G24</f>
        <v>166102.135766423</v>
      </c>
      <c r="H34" s="208" t="n">
        <f aca="false">G34-H24</f>
        <v>160439.562956204</v>
      </c>
      <c r="I34" s="208" t="n">
        <f aca="false">H34-I24</f>
        <v>154776.990145985</v>
      </c>
      <c r="J34" s="208" t="n">
        <f aca="false">I34-J24</f>
        <v>149114.417335766</v>
      </c>
      <c r="K34" s="208" t="n">
        <f aca="false">J34-K24</f>
        <v>143451.844525547</v>
      </c>
      <c r="L34" s="208" t="n">
        <f aca="false">K34-L24</f>
        <v>137789.271715328</v>
      </c>
      <c r="M34" s="208" t="n">
        <f aca="false">L34-M24</f>
        <v>132126.698905109</v>
      </c>
      <c r="N34" s="208"/>
      <c r="O34" s="208"/>
      <c r="P34" s="208"/>
      <c r="Q34" s="208"/>
      <c r="R34" s="12"/>
      <c r="S34" s="12"/>
      <c r="T34" s="12"/>
      <c r="U34" s="12"/>
      <c r="V34" s="12"/>
    </row>
    <row r="35" customFormat="false" ht="15.75" hidden="false" customHeight="true" outlineLevel="0" collapsed="false">
      <c r="A35" s="12"/>
      <c r="B35" s="70" t="s">
        <v>1115</v>
      </c>
      <c r="C35" s="293"/>
      <c r="D35" s="208" t="n">
        <f aca="false">AV_B-D25</f>
        <v>219841.062043796</v>
      </c>
      <c r="E35" s="208" t="n">
        <f aca="false">D35-E25</f>
        <v>196635.616605839</v>
      </c>
      <c r="F35" s="208" t="n">
        <f aca="false">E35-F25</f>
        <v>174590.443439781</v>
      </c>
      <c r="G35" s="208" t="n">
        <f aca="false">F35-G25</f>
        <v>153647.528932026</v>
      </c>
      <c r="H35" s="208" t="n">
        <f aca="false">G35-H25</f>
        <v>145965.152485424</v>
      </c>
      <c r="I35" s="208" t="n">
        <f aca="false">H35-I25</f>
        <v>138666.894861153</v>
      </c>
      <c r="J35" s="208" t="n">
        <f aca="false">I35-J25</f>
        <v>131733.550118095</v>
      </c>
      <c r="K35" s="208" t="n">
        <f aca="false">J35-K25</f>
        <v>125146.872612191</v>
      </c>
      <c r="L35" s="208" t="n">
        <f aca="false">K35-L25</f>
        <v>118889.528981581</v>
      </c>
      <c r="M35" s="208" t="n">
        <f aca="false">L35-M25</f>
        <v>112945.052532502</v>
      </c>
      <c r="N35" s="208"/>
      <c r="O35" s="208"/>
      <c r="P35" s="208"/>
      <c r="Q35" s="208"/>
      <c r="R35" s="12"/>
      <c r="S35" s="12"/>
      <c r="T35" s="12"/>
      <c r="U35" s="12"/>
      <c r="V35" s="12"/>
    </row>
    <row r="36" customFormat="false" ht="12" hidden="false" customHeight="true" outlineLevel="0" collapsed="false">
      <c r="A36" s="12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customFormat="false" ht="19.5" hidden="false" customHeight="true" outlineLevel="0" collapsed="false">
      <c r="A37" s="12"/>
      <c r="B37" s="96" t="s">
        <v>1120</v>
      </c>
      <c r="C37" s="391"/>
      <c r="D37" s="109" t="s">
        <v>378</v>
      </c>
      <c r="E37" s="109" t="s">
        <v>1088</v>
      </c>
      <c r="F37" s="109" t="s">
        <v>1089</v>
      </c>
      <c r="G37" s="109" t="s">
        <v>1090</v>
      </c>
      <c r="H37" s="109" t="s">
        <v>1091</v>
      </c>
      <c r="I37" s="109" t="s">
        <v>1092</v>
      </c>
      <c r="J37" s="109" t="s">
        <v>1093</v>
      </c>
      <c r="K37" s="109" t="s">
        <v>1094</v>
      </c>
      <c r="L37" s="109" t="s">
        <v>1095</v>
      </c>
      <c r="M37" s="109" t="s">
        <v>1096</v>
      </c>
      <c r="N37" s="391"/>
      <c r="O37" s="391"/>
      <c r="P37" s="391"/>
      <c r="Q37" s="391"/>
      <c r="R37" s="12"/>
      <c r="S37" s="12"/>
      <c r="T37" s="12"/>
      <c r="U37" s="12"/>
      <c r="V37" s="12"/>
    </row>
    <row r="38" customFormat="false" ht="15.75" hidden="false" customHeight="true" outlineLevel="0" collapsed="false">
      <c r="A38" s="12"/>
      <c r="B38" s="70" t="str">
        <f aca="false">$S19</f>
        <v>Linear 2,0 %</v>
      </c>
      <c r="C38" s="293"/>
      <c r="D38" s="208" t="n">
        <f aca="false">D19</f>
        <v>4885.35693430657</v>
      </c>
      <c r="E38" s="208" t="n">
        <f aca="false">D38+E19</f>
        <v>9770.71386861314</v>
      </c>
      <c r="F38" s="208" t="n">
        <f aca="false">E38+F19</f>
        <v>14656.0708029197</v>
      </c>
      <c r="G38" s="208" t="n">
        <f aca="false">F38+G19</f>
        <v>19541.4277372263</v>
      </c>
      <c r="H38" s="208" t="n">
        <f aca="false">G38+H19</f>
        <v>24426.7846715328</v>
      </c>
      <c r="I38" s="208" t="n">
        <f aca="false">H38+I19</f>
        <v>29312.1416058394</v>
      </c>
      <c r="J38" s="208" t="n">
        <f aca="false">I38+J19</f>
        <v>34197.498540146</v>
      </c>
      <c r="K38" s="208" t="n">
        <f aca="false">J38+K19</f>
        <v>39082.8554744526</v>
      </c>
      <c r="L38" s="208" t="n">
        <f aca="false">K38+L19</f>
        <v>43968.2124087591</v>
      </c>
      <c r="M38" s="208" t="n">
        <f aca="false">L38+M19</f>
        <v>48853.5693430657</v>
      </c>
      <c r="N38" s="208"/>
      <c r="O38" s="208"/>
      <c r="P38" s="208"/>
      <c r="Q38" s="208"/>
      <c r="R38" s="12"/>
      <c r="S38" s="12"/>
      <c r="T38" s="12"/>
      <c r="U38" s="12"/>
      <c r="V38" s="12"/>
    </row>
    <row r="39" customFormat="false" ht="15.75" hidden="false" customHeight="true" outlineLevel="0" collapsed="false">
      <c r="A39" s="12"/>
      <c r="B39" s="70" t="str">
        <f aca="false">$S20</f>
        <v>Linear 2,5 %</v>
      </c>
      <c r="C39" s="293"/>
      <c r="D39" s="208" t="n">
        <f aca="false">D20</f>
        <v>6106.69616788321</v>
      </c>
      <c r="E39" s="208" t="n">
        <f aca="false">D39+E20</f>
        <v>12213.3923357664</v>
      </c>
      <c r="F39" s="208" t="n">
        <f aca="false">E39+F20</f>
        <v>18320.0885036496</v>
      </c>
      <c r="G39" s="208" t="n">
        <f aca="false">F39+G20</f>
        <v>24426.7846715329</v>
      </c>
      <c r="H39" s="208" t="n">
        <f aca="false">G39+H20</f>
        <v>30533.4808394161</v>
      </c>
      <c r="I39" s="208" t="n">
        <f aca="false">H39+I20</f>
        <v>36640.1770072993</v>
      </c>
      <c r="J39" s="208" t="n">
        <f aca="false">I39+J20</f>
        <v>42746.8731751825</v>
      </c>
      <c r="K39" s="208" t="n">
        <f aca="false">J39+K20</f>
        <v>48853.5693430657</v>
      </c>
      <c r="L39" s="208" t="n">
        <f aca="false">K39+L20</f>
        <v>54960.2655109489</v>
      </c>
      <c r="M39" s="208" t="n">
        <f aca="false">L39+M20</f>
        <v>61066.9616788321</v>
      </c>
      <c r="N39" s="208"/>
      <c r="O39" s="208"/>
      <c r="P39" s="208"/>
      <c r="Q39" s="208"/>
      <c r="R39" s="12"/>
      <c r="S39" s="12"/>
      <c r="T39" s="12"/>
      <c r="U39" s="12"/>
      <c r="V39" s="12"/>
    </row>
    <row r="40" customFormat="false" ht="15.75" hidden="false" customHeight="true" outlineLevel="0" collapsed="false">
      <c r="A40" s="12"/>
      <c r="B40" s="70" t="str">
        <f aca="false">$S21</f>
        <v>Linear 3,0 %</v>
      </c>
      <c r="C40" s="293"/>
      <c r="D40" s="208" t="n">
        <f aca="false">D21</f>
        <v>7328.03540145985</v>
      </c>
      <c r="E40" s="208" t="n">
        <f aca="false">D40+E21</f>
        <v>14656.0708029197</v>
      </c>
      <c r="F40" s="208" t="n">
        <f aca="false">E40+F21</f>
        <v>21984.1062043796</v>
      </c>
      <c r="G40" s="208" t="n">
        <f aca="false">F40+G21</f>
        <v>29312.1416058394</v>
      </c>
      <c r="H40" s="208" t="n">
        <f aca="false">G40+H21</f>
        <v>36640.1770072993</v>
      </c>
      <c r="I40" s="208" t="n">
        <f aca="false">H40+I21</f>
        <v>43968.2124087591</v>
      </c>
      <c r="J40" s="208" t="n">
        <f aca="false">I40+J21</f>
        <v>51296.247810219</v>
      </c>
      <c r="K40" s="208" t="n">
        <f aca="false">J40+K21</f>
        <v>58624.2832116788</v>
      </c>
      <c r="L40" s="208" t="n">
        <f aca="false">K40+L21</f>
        <v>65952.3186131387</v>
      </c>
      <c r="M40" s="208" t="n">
        <f aca="false">L40+M21</f>
        <v>73280.3540145986</v>
      </c>
      <c r="N40" s="208"/>
      <c r="O40" s="208"/>
      <c r="P40" s="208"/>
      <c r="Q40" s="208"/>
      <c r="R40" s="12"/>
      <c r="S40" s="12"/>
      <c r="T40" s="12"/>
      <c r="U40" s="12"/>
      <c r="V40" s="12"/>
    </row>
    <row r="41" customFormat="false" ht="15.75" hidden="false" customHeight="true" outlineLevel="0" collapsed="false">
      <c r="A41" s="12"/>
      <c r="B41" s="70" t="str">
        <f aca="false">$S22</f>
        <v>Gutachten (RND)</v>
      </c>
      <c r="C41" s="293"/>
      <c r="D41" s="208" t="n">
        <f aca="false">D22</f>
        <v>0</v>
      </c>
      <c r="E41" s="208" t="n">
        <f aca="false">D41+E22</f>
        <v>0</v>
      </c>
      <c r="F41" s="208" t="n">
        <f aca="false">E41+F22</f>
        <v>0</v>
      </c>
      <c r="G41" s="208" t="n">
        <f aca="false">F41+G22</f>
        <v>0</v>
      </c>
      <c r="H41" s="208" t="n">
        <f aca="false">G41+H22</f>
        <v>0</v>
      </c>
      <c r="I41" s="208" t="n">
        <f aca="false">H41+I22</f>
        <v>0</v>
      </c>
      <c r="J41" s="208" t="n">
        <f aca="false">I41+J22</f>
        <v>0</v>
      </c>
      <c r="K41" s="208" t="n">
        <f aca="false">J41+K22</f>
        <v>0</v>
      </c>
      <c r="L41" s="208" t="n">
        <f aca="false">K41+L22</f>
        <v>0</v>
      </c>
      <c r="M41" s="208" t="n">
        <f aca="false">L41+M22</f>
        <v>0</v>
      </c>
      <c r="N41" s="208"/>
      <c r="O41" s="208"/>
      <c r="P41" s="208"/>
      <c r="Q41" s="208"/>
      <c r="R41" s="12"/>
      <c r="S41" s="12"/>
      <c r="T41" s="12"/>
      <c r="U41" s="12"/>
      <c r="V41" s="12"/>
    </row>
    <row r="42" customFormat="false" ht="15.75" hidden="false" customHeight="true" outlineLevel="0" collapsed="false">
      <c r="A42" s="12"/>
      <c r="B42" s="70" t="str">
        <f aca="false">$S23</f>
        <v>Degressiv 5 %</v>
      </c>
      <c r="C42" s="293"/>
      <c r="D42" s="208" t="n">
        <f aca="false">D23</f>
        <v>12213.3923357664</v>
      </c>
      <c r="E42" s="208" t="n">
        <f aca="false">D42+E23</f>
        <v>23816.1150547445</v>
      </c>
      <c r="F42" s="208" t="n">
        <f aca="false">E42+F23</f>
        <v>34838.7016377737</v>
      </c>
      <c r="G42" s="208" t="n">
        <f aca="false">F42+G23</f>
        <v>45310.1588916515</v>
      </c>
      <c r="H42" s="208" t="n">
        <f aca="false">G42+H23</f>
        <v>55258.0432828353</v>
      </c>
      <c r="I42" s="208" t="n">
        <f aca="false">H42+I23</f>
        <v>64708.53345446</v>
      </c>
      <c r="J42" s="208" t="n">
        <f aca="false">I42+J23</f>
        <v>73686.4991175034</v>
      </c>
      <c r="K42" s="208" t="n">
        <f aca="false">J42+K23</f>
        <v>82215.5664973946</v>
      </c>
      <c r="L42" s="208" t="n">
        <f aca="false">K42+L23</f>
        <v>90318.1805082913</v>
      </c>
      <c r="M42" s="208" t="n">
        <f aca="false">L42+M23</f>
        <v>98015.6638186432</v>
      </c>
      <c r="N42" s="208"/>
      <c r="O42" s="208"/>
      <c r="P42" s="208"/>
      <c r="Q42" s="208"/>
      <c r="R42" s="12"/>
      <c r="S42" s="12"/>
      <c r="T42" s="12"/>
      <c r="U42" s="12"/>
      <c r="V42" s="12"/>
    </row>
    <row r="43" customFormat="false" ht="15.75" hidden="false" customHeight="true" outlineLevel="0" collapsed="false">
      <c r="A43" s="12"/>
      <c r="B43" s="70" t="str">
        <f aca="false">$S24</f>
        <v>Linear 3 % + § 7b</v>
      </c>
      <c r="C43" s="293"/>
      <c r="D43" s="208" t="n">
        <f aca="false">D24</f>
        <v>19541.4277372263</v>
      </c>
      <c r="E43" s="208" t="n">
        <f aca="false">D43+E24</f>
        <v>39082.8554744526</v>
      </c>
      <c r="F43" s="208" t="n">
        <f aca="false">E43+F24</f>
        <v>58624.2832116788</v>
      </c>
      <c r="G43" s="208" t="n">
        <f aca="false">F43+G24</f>
        <v>78165.7109489051</v>
      </c>
      <c r="H43" s="208" t="n">
        <f aca="false">G43+H24</f>
        <v>83828.2837591241</v>
      </c>
      <c r="I43" s="208" t="n">
        <f aca="false">H43+I24</f>
        <v>89490.8565693431</v>
      </c>
      <c r="J43" s="208" t="n">
        <f aca="false">I43+J24</f>
        <v>95153.429379562</v>
      </c>
      <c r="K43" s="208" t="n">
        <f aca="false">J43+K24</f>
        <v>100816.002189781</v>
      </c>
      <c r="L43" s="208" t="n">
        <f aca="false">K43+L24</f>
        <v>106478.575</v>
      </c>
      <c r="M43" s="208" t="n">
        <f aca="false">L43+M24</f>
        <v>112141.147810219</v>
      </c>
      <c r="N43" s="208"/>
      <c r="O43" s="208"/>
      <c r="P43" s="208"/>
      <c r="Q43" s="208"/>
      <c r="R43" s="12"/>
      <c r="S43" s="12"/>
      <c r="T43" s="12"/>
      <c r="U43" s="12"/>
      <c r="V43" s="12"/>
    </row>
    <row r="44" customFormat="false" ht="15.75" hidden="false" customHeight="true" outlineLevel="0" collapsed="false">
      <c r="A44" s="12"/>
      <c r="B44" s="70" t="str">
        <f aca="false">$S25</f>
        <v>Degressiv + § 7b</v>
      </c>
      <c r="C44" s="293"/>
      <c r="D44" s="208" t="n">
        <f aca="false">D25</f>
        <v>24426.7846715329</v>
      </c>
      <c r="E44" s="208" t="n">
        <f aca="false">D44+E25</f>
        <v>47632.2301094891</v>
      </c>
      <c r="F44" s="208" t="n">
        <f aca="false">E44+F25</f>
        <v>69677.4032755475</v>
      </c>
      <c r="G44" s="208" t="n">
        <f aca="false">F44+G25</f>
        <v>90620.3177833029</v>
      </c>
      <c r="H44" s="208" t="n">
        <f aca="false">G44+H25</f>
        <v>98302.6942299042</v>
      </c>
      <c r="I44" s="208" t="n">
        <f aca="false">H44+I25</f>
        <v>105600.951854175</v>
      </c>
      <c r="J44" s="208" t="n">
        <f aca="false">I44+J25</f>
        <v>112534.296597233</v>
      </c>
      <c r="K44" s="208" t="n">
        <f aca="false">J44+K25</f>
        <v>119120.974103138</v>
      </c>
      <c r="L44" s="208" t="n">
        <f aca="false">K44+L25</f>
        <v>125378.317733747</v>
      </c>
      <c r="M44" s="208" t="n">
        <f aca="false">L44+M25</f>
        <v>131322.794182826</v>
      </c>
      <c r="N44" s="208"/>
      <c r="O44" s="208"/>
      <c r="P44" s="208"/>
      <c r="Q44" s="208"/>
      <c r="R44" s="12"/>
      <c r="S44" s="12"/>
      <c r="T44" s="12"/>
      <c r="U44" s="12"/>
      <c r="V44" s="12"/>
    </row>
    <row r="45" customFormat="false" ht="12" hidden="false" customHeight="true" outlineLevel="0" collapsed="false">
      <c r="A45" s="12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customFormat="false" ht="24" hidden="false" customHeight="true" outlineLevel="0" collapsed="false">
      <c r="A46" s="12"/>
      <c r="B46" s="33" t="s">
        <v>1121</v>
      </c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12"/>
      <c r="S46" s="12"/>
      <c r="T46" s="12"/>
      <c r="U46" s="12"/>
      <c r="V46" s="12"/>
    </row>
    <row r="47" customFormat="false" ht="45.75" hidden="false" customHeight="true" outlineLevel="0" collapsed="false">
      <c r="A47" s="12"/>
      <c r="B47" s="392" t="s">
        <v>1122</v>
      </c>
      <c r="C47" s="392"/>
      <c r="D47" s="392"/>
      <c r="E47" s="392"/>
      <c r="F47" s="392"/>
      <c r="G47" s="392"/>
      <c r="H47" s="9"/>
      <c r="I47" s="392" t="s">
        <v>1123</v>
      </c>
      <c r="J47" s="392"/>
      <c r="K47" s="392"/>
      <c r="L47" s="392"/>
      <c r="M47" s="392"/>
      <c r="N47" s="392"/>
      <c r="O47" s="392"/>
      <c r="P47" s="392"/>
      <c r="Q47" s="392"/>
      <c r="R47" s="12"/>
      <c r="S47" s="12"/>
      <c r="T47" s="12"/>
      <c r="U47" s="12"/>
      <c r="V47" s="12"/>
    </row>
    <row r="48" customFormat="false" ht="33" hidden="false" customHeight="true" outlineLevel="0" collapsed="false">
      <c r="A48" s="12"/>
      <c r="B48" s="392" t="s">
        <v>1124</v>
      </c>
      <c r="C48" s="392"/>
      <c r="D48" s="392"/>
      <c r="E48" s="392"/>
      <c r="F48" s="392"/>
      <c r="G48" s="392"/>
      <c r="H48" s="9"/>
      <c r="I48" s="392" t="s">
        <v>1125</v>
      </c>
      <c r="J48" s="392"/>
      <c r="K48" s="392"/>
      <c r="L48" s="392"/>
      <c r="M48" s="392"/>
      <c r="N48" s="392"/>
      <c r="O48" s="392"/>
      <c r="P48" s="392"/>
      <c r="Q48" s="392"/>
      <c r="R48" s="12"/>
      <c r="S48" s="12"/>
      <c r="T48" s="12"/>
      <c r="U48" s="12"/>
      <c r="V48" s="12"/>
    </row>
    <row r="49" customFormat="false" ht="12" hidden="false" customHeight="true" outlineLevel="0" collapsed="false">
      <c r="A49" s="12"/>
      <c r="B49" s="39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39"/>
      <c r="S49" s="39"/>
      <c r="T49" s="39"/>
      <c r="U49" s="39"/>
      <c r="V49" s="3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customFormat="false" ht="30" hidden="true" customHeight="true" outlineLevel="0" collapsed="false">
      <c r="A50" s="12"/>
      <c r="B50" s="39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2"/>
      <c r="S50" s="12"/>
      <c r="T50" s="12"/>
      <c r="U50" s="12"/>
      <c r="V50" s="12"/>
    </row>
    <row r="51" customFormat="false" ht="15" hidden="tru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customFormat="false" ht="24" hidden="false" customHeight="true" outlineLevel="0" collapsed="false">
      <c r="A52" s="12"/>
      <c r="B52" s="33" t="s">
        <v>1126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12"/>
      <c r="S52" s="12"/>
      <c r="T52" s="12"/>
      <c r="U52" s="12"/>
      <c r="V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customFormat="false" ht="18" hidden="false" customHeight="true" outlineLevel="0" collapsed="false">
      <c r="A70" s="12"/>
      <c r="B70" s="394" t="str">
        <f aca="false">IF(N(C14)=0,"Gutachten (RND): kein Restnutzungsdauer-Gutachten erfasst – Variante ohne Balken und Linie","")</f>
        <v>Gutachten (RND): kein Restnutzungsdauer-Gutachten erfasst – Variante ohne Balken und Linie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customFormat="false" ht="15" hidden="tru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customFormat="false" ht="15" hidden="tru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customFormat="false" ht="18" hidden="false" customHeight="true" outlineLevel="0" collapsed="false">
      <c r="A73" s="12"/>
      <c r="B73" s="79" t="s">
        <v>91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12"/>
      <c r="S73" s="12"/>
      <c r="T73" s="12"/>
      <c r="U73" s="12"/>
      <c r="V73" s="12"/>
    </row>
    <row r="74" customFormat="false" ht="13.5" hidden="false" customHeight="true" outlineLevel="0" collapsed="false">
      <c r="A74" s="12"/>
      <c r="B74" s="81" t="s">
        <v>92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12"/>
      <c r="S74" s="12"/>
      <c r="T74" s="12"/>
      <c r="U74" s="12"/>
      <c r="V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</sheetData>
  <sheetProtection sheet="true" objects="1" formatColumns="false" formatRows="false"/>
  <mergeCells count="17">
    <mergeCell ref="D6:Q6"/>
    <mergeCell ref="E9:H9"/>
    <mergeCell ref="J9:M9"/>
    <mergeCell ref="O9:Q9"/>
    <mergeCell ref="E10:H14"/>
    <mergeCell ref="J10:M14"/>
    <mergeCell ref="O10:Q14"/>
    <mergeCell ref="E15:H15"/>
    <mergeCell ref="J15:M15"/>
    <mergeCell ref="O15:Q15"/>
    <mergeCell ref="B47:G47"/>
    <mergeCell ref="I47:Q47"/>
    <mergeCell ref="B48:G48"/>
    <mergeCell ref="I48:Q48"/>
    <mergeCell ref="B52:Q52"/>
    <mergeCell ref="B73:Q73"/>
    <mergeCell ref="B74:Q74"/>
  </mergeCells>
  <conditionalFormatting sqref="C26:Q26">
    <cfRule type="expression" priority="2" aboveAverage="0" equalAverage="0" bottom="0" percent="0" rank="0" text="" dxfId="4">
      <formula>AND(ISNUMBER(C26),C26&lt;0)</formula>
    </cfRule>
    <cfRule type="expression" priority="3" aboveAverage="0" equalAverage="0" bottom="0" percent="0" rank="0" text="" dxfId="3">
      <formula>1</formula>
    </cfRule>
  </conditionalFormatting>
  <conditionalFormatting sqref="C19:C25">
    <cfRule type="expression" priority="4" aboveAverage="0" equalAverage="0" bottom="0" percent="0" rank="0" text="" dxfId="2">
      <formula>LEFT($C19,2)="Ja"</formula>
    </cfRule>
    <cfRule type="expression" priority="5" aboveAverage="0" equalAverage="0" bottom="0" percent="0" rank="0" text="" dxfId="1">
      <formula>LEFT($C19,4)="Nur "</formula>
    </cfRule>
    <cfRule type="expression" priority="6" aboveAverage="0" equalAverage="0" bottom="0" percent="0" rank="0" text="" dxfId="38">
      <formula>LEFT($C19,4)="Nein"</formula>
    </cfRule>
    <cfRule type="expression" priority="7" aboveAverage="0" equalAverage="0" bottom="0" percent="0" rank="0" text="" dxfId="29">
      <formula>1</formula>
    </cfRule>
    <cfRule type="expression" priority="8" aboveAverage="0" equalAverage="0" bottom="0" percent="0" rank="0" text="" dxfId="3">
      <formula>1</formula>
    </cfRule>
  </conditionalFormatting>
  <conditionalFormatting sqref="D19:Q25">
    <cfRule type="expression" priority="9" aboveAverage="0" equalAverage="0" bottom="0" percent="0" rank="0" text="" dxfId="38">
      <formula>LEFT($C19,4)="Nein"</formula>
    </cfRule>
    <cfRule type="expression" priority="10" aboveAverage="0" equalAverage="0" bottom="0" percent="0" rank="0" text="" dxfId="36">
      <formula>1</formula>
    </cfRule>
    <cfRule type="expression" priority="11" aboveAverage="0" equalAverage="0" bottom="0" percent="0" rank="0" text="" dxfId="3">
      <formula>1</formula>
    </cfRule>
  </conditionalFormatting>
  <hyperlinks>
    <hyperlink ref="B5" location="'Steuern'!D4" display="STEUERN  ›  AfA-VERGLEICH"/>
    <hyperlink ref="D6" location="'S10 Abschreibung'!A4" display="Eingaben dazu: S10 Abschreibung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36" man="true" max="16383" min="0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pageSetUpPr fitToPage="false"/>
  </sheetPr>
  <dimension ref="A1:AQ4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D11" activeCellId="0" sqref="D1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60"/>
    <col collapsed="false" customWidth="true" hidden="false" outlineLevel="0" max="43" min="3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33" hidden="false" customHeight="true" outlineLevel="0" collapsed="false">
      <c r="A2" s="2"/>
      <c r="B2" s="6"/>
      <c r="C2" s="6"/>
      <c r="D2" s="5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6"/>
      <c r="R2" s="82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customFormat="false" ht="12" hidden="false" customHeight="true" outlineLevel="0" collapsed="false"/>
    <row r="5" customFormat="false" ht="18" hidden="false" customHeight="true" outlineLevel="0" collapsed="false">
      <c r="B5" s="102" t="s">
        <v>1127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customFormat="false" ht="30" hidden="false" customHeight="true" outlineLevel="0" collapsed="false">
      <c r="B6" s="104" t="s">
        <v>1128</v>
      </c>
      <c r="C6" s="9"/>
      <c r="D6" s="332" t="s">
        <v>1129</v>
      </c>
      <c r="E6" s="332"/>
      <c r="F6" s="332"/>
      <c r="G6" s="332"/>
      <c r="H6" s="332"/>
      <c r="I6" s="332"/>
      <c r="J6" s="332"/>
      <c r="K6" s="332"/>
      <c r="L6" s="332"/>
      <c r="M6" s="33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customFormat="false" ht="21.75" hidden="false" customHeight="true" outlineLevel="0" collapsed="false">
      <c r="B7" s="333" t="s">
        <v>1130</v>
      </c>
      <c r="C7" s="9"/>
      <c r="D7" s="334" t="s">
        <v>1131</v>
      </c>
      <c r="E7" s="334"/>
      <c r="F7" s="334"/>
      <c r="G7" s="334"/>
      <c r="H7" s="334"/>
      <c r="I7" s="334"/>
      <c r="J7" s="334"/>
      <c r="K7" s="334"/>
      <c r="L7" s="334"/>
      <c r="M7" s="334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customFormat="false" ht="19.5" hidden="false" customHeight="true" outlineLevel="0" collapsed="false">
      <c r="B8" s="335" t="s">
        <v>928</v>
      </c>
      <c r="C8" s="2"/>
      <c r="D8" s="337" t="n">
        <v>1</v>
      </c>
      <c r="E8" s="337" t="n">
        <v>2</v>
      </c>
      <c r="F8" s="337" t="n">
        <v>3</v>
      </c>
      <c r="G8" s="337" t="n">
        <v>4</v>
      </c>
      <c r="H8" s="338" t="n">
        <v>5</v>
      </c>
      <c r="I8" s="337" t="n">
        <v>6</v>
      </c>
      <c r="J8" s="337" t="n">
        <v>7</v>
      </c>
      <c r="K8" s="337" t="n">
        <v>8</v>
      </c>
      <c r="L8" s="337" t="n">
        <v>9</v>
      </c>
      <c r="M8" s="338" t="n">
        <v>10</v>
      </c>
      <c r="N8" s="337" t="n">
        <v>11</v>
      </c>
      <c r="O8" s="337" t="n">
        <v>12</v>
      </c>
      <c r="P8" s="337" t="n">
        <v>13</v>
      </c>
      <c r="Q8" s="337" t="n">
        <v>14</v>
      </c>
      <c r="R8" s="338" t="n">
        <v>15</v>
      </c>
      <c r="S8" s="337" t="n">
        <v>16</v>
      </c>
      <c r="T8" s="337" t="n">
        <v>17</v>
      </c>
      <c r="U8" s="337" t="n">
        <v>18</v>
      </c>
      <c r="V8" s="337" t="n">
        <v>19</v>
      </c>
      <c r="W8" s="338" t="n">
        <v>20</v>
      </c>
      <c r="X8" s="337" t="n">
        <v>21</v>
      </c>
      <c r="Y8" s="337" t="n">
        <v>22</v>
      </c>
      <c r="Z8" s="337" t="n">
        <v>23</v>
      </c>
      <c r="AA8" s="337" t="n">
        <v>24</v>
      </c>
      <c r="AB8" s="338" t="n">
        <v>25</v>
      </c>
      <c r="AC8" s="337" t="n">
        <v>26</v>
      </c>
      <c r="AD8" s="337" t="n">
        <v>27</v>
      </c>
      <c r="AE8" s="337" t="n">
        <v>28</v>
      </c>
      <c r="AF8" s="337" t="n">
        <v>29</v>
      </c>
      <c r="AG8" s="338" t="n">
        <v>30</v>
      </c>
      <c r="AH8" s="337" t="n">
        <v>31</v>
      </c>
      <c r="AI8" s="337" t="n">
        <v>32</v>
      </c>
      <c r="AJ8" s="337" t="n">
        <v>33</v>
      </c>
      <c r="AK8" s="337" t="n">
        <v>34</v>
      </c>
      <c r="AL8" s="338" t="n">
        <v>35</v>
      </c>
      <c r="AM8" s="337" t="n">
        <v>36</v>
      </c>
      <c r="AN8" s="337" t="n">
        <v>37</v>
      </c>
      <c r="AO8" s="337" t="n">
        <v>38</v>
      </c>
      <c r="AP8" s="337" t="n">
        <v>39</v>
      </c>
      <c r="AQ8" s="337" t="n">
        <v>40</v>
      </c>
    </row>
    <row r="9" customFormat="false" ht="15" hidden="true" customHeight="true" outlineLevel="0" collapsed="false">
      <c r="B9" s="339" t="s">
        <v>928</v>
      </c>
      <c r="C9" s="340"/>
      <c r="D9" s="341" t="n">
        <v>1</v>
      </c>
      <c r="E9" s="341" t="n">
        <v>2</v>
      </c>
      <c r="F9" s="341" t="n">
        <v>3</v>
      </c>
      <c r="G9" s="341" t="n">
        <v>4</v>
      </c>
      <c r="H9" s="341" t="n">
        <v>5</v>
      </c>
      <c r="I9" s="341" t="n">
        <v>6</v>
      </c>
      <c r="J9" s="341" t="n">
        <v>7</v>
      </c>
      <c r="K9" s="341" t="n">
        <v>8</v>
      </c>
      <c r="L9" s="341" t="n">
        <v>9</v>
      </c>
      <c r="M9" s="341" t="n">
        <v>10</v>
      </c>
      <c r="N9" s="341" t="n">
        <v>11</v>
      </c>
      <c r="O9" s="341" t="n">
        <v>12</v>
      </c>
      <c r="P9" s="341" t="n">
        <v>13</v>
      </c>
      <c r="Q9" s="341" t="n">
        <v>14</v>
      </c>
      <c r="R9" s="341" t="n">
        <v>15</v>
      </c>
      <c r="S9" s="341" t="n">
        <v>16</v>
      </c>
      <c r="T9" s="341" t="n">
        <v>17</v>
      </c>
      <c r="U9" s="341" t="n">
        <v>18</v>
      </c>
      <c r="V9" s="341" t="n">
        <v>19</v>
      </c>
      <c r="W9" s="341" t="n">
        <v>20</v>
      </c>
      <c r="X9" s="341" t="n">
        <v>21</v>
      </c>
      <c r="Y9" s="341" t="n">
        <v>22</v>
      </c>
      <c r="Z9" s="341" t="n">
        <v>23</v>
      </c>
      <c r="AA9" s="341" t="n">
        <v>24</v>
      </c>
      <c r="AB9" s="341" t="n">
        <v>25</v>
      </c>
      <c r="AC9" s="341" t="n">
        <v>26</v>
      </c>
      <c r="AD9" s="341" t="n">
        <v>27</v>
      </c>
      <c r="AE9" s="341" t="n">
        <v>28</v>
      </c>
      <c r="AF9" s="341" t="n">
        <v>29</v>
      </c>
      <c r="AG9" s="341" t="n">
        <v>30</v>
      </c>
      <c r="AH9" s="341" t="n">
        <v>31</v>
      </c>
      <c r="AI9" s="341" t="n">
        <v>32</v>
      </c>
      <c r="AJ9" s="341" t="n">
        <v>33</v>
      </c>
      <c r="AK9" s="341" t="n">
        <v>34</v>
      </c>
      <c r="AL9" s="341" t="n">
        <v>35</v>
      </c>
      <c r="AM9" s="341" t="n">
        <v>36</v>
      </c>
      <c r="AN9" s="341" t="n">
        <v>37</v>
      </c>
      <c r="AO9" s="341" t="n">
        <v>38</v>
      </c>
      <c r="AP9" s="341" t="n">
        <v>39</v>
      </c>
      <c r="AQ9" s="341" t="n">
        <v>40</v>
      </c>
    </row>
    <row r="10" customFormat="false" ht="19.5" hidden="false" customHeight="true" outlineLevel="0" collapsed="false">
      <c r="B10" s="342" t="s">
        <v>547</v>
      </c>
      <c r="C10" s="367"/>
      <c r="D10" s="344" t="n">
        <f aca="false">YEAR(Kaufdatum)+D9-1</f>
        <v>2026</v>
      </c>
      <c r="E10" s="344" t="n">
        <f aca="false">YEAR(Kaufdatum)+E9-1</f>
        <v>2027</v>
      </c>
      <c r="F10" s="344" t="n">
        <f aca="false">YEAR(Kaufdatum)+F9-1</f>
        <v>2028</v>
      </c>
      <c r="G10" s="344" t="n">
        <f aca="false">YEAR(Kaufdatum)+G9-1</f>
        <v>2029</v>
      </c>
      <c r="H10" s="345" t="n">
        <f aca="false">YEAR(Kaufdatum)+H9-1</f>
        <v>2030</v>
      </c>
      <c r="I10" s="344" t="n">
        <f aca="false">YEAR(Kaufdatum)+I9-1</f>
        <v>2031</v>
      </c>
      <c r="J10" s="344" t="n">
        <f aca="false">YEAR(Kaufdatum)+J9-1</f>
        <v>2032</v>
      </c>
      <c r="K10" s="344" t="n">
        <f aca="false">YEAR(Kaufdatum)+K9-1</f>
        <v>2033</v>
      </c>
      <c r="L10" s="344" t="n">
        <f aca="false">YEAR(Kaufdatum)+L9-1</f>
        <v>2034</v>
      </c>
      <c r="M10" s="345" t="n">
        <f aca="false">YEAR(Kaufdatum)+M9-1</f>
        <v>2035</v>
      </c>
      <c r="N10" s="344" t="n">
        <f aca="false">YEAR(Kaufdatum)+N9-1</f>
        <v>2036</v>
      </c>
      <c r="O10" s="344" t="n">
        <f aca="false">YEAR(Kaufdatum)+O9-1</f>
        <v>2037</v>
      </c>
      <c r="P10" s="344" t="n">
        <f aca="false">YEAR(Kaufdatum)+P9-1</f>
        <v>2038</v>
      </c>
      <c r="Q10" s="344" t="n">
        <f aca="false">YEAR(Kaufdatum)+Q9-1</f>
        <v>2039</v>
      </c>
      <c r="R10" s="345" t="n">
        <f aca="false">YEAR(Kaufdatum)+R9-1</f>
        <v>2040</v>
      </c>
      <c r="S10" s="344" t="n">
        <f aca="false">YEAR(Kaufdatum)+S9-1</f>
        <v>2041</v>
      </c>
      <c r="T10" s="344" t="n">
        <f aca="false">YEAR(Kaufdatum)+T9-1</f>
        <v>2042</v>
      </c>
      <c r="U10" s="344" t="n">
        <f aca="false">YEAR(Kaufdatum)+U9-1</f>
        <v>2043</v>
      </c>
      <c r="V10" s="344" t="n">
        <f aca="false">YEAR(Kaufdatum)+V9-1</f>
        <v>2044</v>
      </c>
      <c r="W10" s="345" t="n">
        <f aca="false">YEAR(Kaufdatum)+W9-1</f>
        <v>2045</v>
      </c>
      <c r="X10" s="344" t="n">
        <f aca="false">YEAR(Kaufdatum)+X9-1</f>
        <v>2046</v>
      </c>
      <c r="Y10" s="344" t="n">
        <f aca="false">YEAR(Kaufdatum)+Y9-1</f>
        <v>2047</v>
      </c>
      <c r="Z10" s="344" t="n">
        <f aca="false">YEAR(Kaufdatum)+Z9-1</f>
        <v>2048</v>
      </c>
      <c r="AA10" s="344" t="n">
        <f aca="false">YEAR(Kaufdatum)+AA9-1</f>
        <v>2049</v>
      </c>
      <c r="AB10" s="345" t="n">
        <f aca="false">YEAR(Kaufdatum)+AB9-1</f>
        <v>2050</v>
      </c>
      <c r="AC10" s="344" t="n">
        <f aca="false">YEAR(Kaufdatum)+AC9-1</f>
        <v>2051</v>
      </c>
      <c r="AD10" s="344" t="n">
        <f aca="false">YEAR(Kaufdatum)+AD9-1</f>
        <v>2052</v>
      </c>
      <c r="AE10" s="344" t="n">
        <f aca="false">YEAR(Kaufdatum)+AE9-1</f>
        <v>2053</v>
      </c>
      <c r="AF10" s="344" t="n">
        <f aca="false">YEAR(Kaufdatum)+AF9-1</f>
        <v>2054</v>
      </c>
      <c r="AG10" s="345" t="n">
        <f aca="false">YEAR(Kaufdatum)+AG9-1</f>
        <v>2055</v>
      </c>
      <c r="AH10" s="344" t="n">
        <f aca="false">YEAR(Kaufdatum)+AH9-1</f>
        <v>2056</v>
      </c>
      <c r="AI10" s="344" t="n">
        <f aca="false">YEAR(Kaufdatum)+AI9-1</f>
        <v>2057</v>
      </c>
      <c r="AJ10" s="344" t="n">
        <f aca="false">YEAR(Kaufdatum)+AJ9-1</f>
        <v>2058</v>
      </c>
      <c r="AK10" s="344" t="n">
        <f aca="false">YEAR(Kaufdatum)+AK9-1</f>
        <v>2059</v>
      </c>
      <c r="AL10" s="345" t="n">
        <f aca="false">YEAR(Kaufdatum)+AL9-1</f>
        <v>2060</v>
      </c>
      <c r="AM10" s="344" t="n">
        <f aca="false">YEAR(Kaufdatum)+AM9-1</f>
        <v>2061</v>
      </c>
      <c r="AN10" s="344" t="n">
        <f aca="false">YEAR(Kaufdatum)+AN9-1</f>
        <v>2062</v>
      </c>
      <c r="AO10" s="344" t="n">
        <f aca="false">YEAR(Kaufdatum)+AO9-1</f>
        <v>2063</v>
      </c>
      <c r="AP10" s="344" t="n">
        <f aca="false">YEAR(Kaufdatum)+AP9-1</f>
        <v>2064</v>
      </c>
      <c r="AQ10" s="344" t="n">
        <f aca="false">YEAR(Kaufdatum)+AQ9-1</f>
        <v>2065</v>
      </c>
    </row>
    <row r="11" customFormat="false" ht="9" hidden="false" customHeight="true" outlineLevel="0" collapsed="false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customFormat="false" ht="24" hidden="false" customHeight="true" outlineLevel="0" collapsed="false">
      <c r="B12" s="33" t="s">
        <v>697</v>
      </c>
      <c r="C12" s="35" t="s">
        <v>659</v>
      </c>
      <c r="D12" s="264"/>
      <c r="E12" s="264"/>
      <c r="F12" s="264"/>
      <c r="G12" s="264"/>
      <c r="H12" s="346"/>
      <c r="I12" s="264"/>
      <c r="J12" s="264"/>
      <c r="K12" s="264"/>
      <c r="L12" s="264"/>
      <c r="M12" s="346"/>
      <c r="N12" s="264"/>
      <c r="O12" s="264"/>
      <c r="P12" s="264"/>
      <c r="Q12" s="264"/>
      <c r="R12" s="346"/>
      <c r="S12" s="264"/>
      <c r="T12" s="264"/>
      <c r="U12" s="264"/>
      <c r="V12" s="264"/>
      <c r="W12" s="346"/>
      <c r="X12" s="264"/>
      <c r="Y12" s="264"/>
      <c r="Z12" s="264"/>
      <c r="AA12" s="264"/>
      <c r="AB12" s="346"/>
      <c r="AC12" s="264"/>
      <c r="AD12" s="264"/>
      <c r="AE12" s="264"/>
      <c r="AF12" s="264"/>
      <c r="AG12" s="346"/>
      <c r="AH12" s="264"/>
      <c r="AI12" s="264"/>
      <c r="AJ12" s="264"/>
      <c r="AK12" s="264"/>
      <c r="AL12" s="346"/>
      <c r="AM12" s="264"/>
      <c r="AN12" s="264"/>
      <c r="AO12" s="264"/>
      <c r="AP12" s="264"/>
      <c r="AQ12" s="264"/>
    </row>
    <row r="13" customFormat="false" ht="15.75" hidden="false" customHeight="true" outlineLevel="0" collapsed="false">
      <c r="B13" s="72" t="s">
        <v>1132</v>
      </c>
      <c r="C13" s="347" t="s">
        <v>753</v>
      </c>
      <c r="D13" s="206" t="n">
        <f aca="false">Darlehen_I</f>
        <v>250000</v>
      </c>
      <c r="E13" s="206" t="n">
        <f aca="false">D19</f>
        <v>245000</v>
      </c>
      <c r="F13" s="206" t="n">
        <f aca="false">E19</f>
        <v>239820</v>
      </c>
      <c r="G13" s="206" t="n">
        <f aca="false">F19</f>
        <v>234453.52</v>
      </c>
      <c r="H13" s="348" t="n">
        <f aca="false">G19</f>
        <v>228893.84672</v>
      </c>
      <c r="I13" s="206" t="n">
        <f aca="false">H19</f>
        <v>223134.02520192</v>
      </c>
      <c r="J13" s="206" t="n">
        <f aca="false">I19</f>
        <v>217166.850109189</v>
      </c>
      <c r="K13" s="206" t="n">
        <f aca="false">J19</f>
        <v>210984.85671312</v>
      </c>
      <c r="L13" s="206" t="n">
        <f aca="false">K19</f>
        <v>204580.311554792</v>
      </c>
      <c r="M13" s="348" t="n">
        <f aca="false">L19</f>
        <v>197945.202770765</v>
      </c>
      <c r="N13" s="206" t="n">
        <f aca="false">M19</f>
        <v>191071.230070512</v>
      </c>
      <c r="O13" s="206" t="n">
        <f aca="false">N19</f>
        <v>185669.435423685</v>
      </c>
      <c r="P13" s="206" t="n">
        <f aca="false">O19</f>
        <v>180024.560017751</v>
      </c>
      <c r="Q13" s="206" t="n">
        <f aca="false">P19</f>
        <v>174125.66521855</v>
      </c>
      <c r="R13" s="348" t="n">
        <f aca="false">Q19</f>
        <v>167961.320153385</v>
      </c>
      <c r="S13" s="206" t="n">
        <f aca="false">R19</f>
        <v>161519.579560287</v>
      </c>
      <c r="T13" s="206" t="n">
        <f aca="false">S19</f>
        <v>154787.9606405</v>
      </c>
      <c r="U13" s="206" t="n">
        <f aca="false">T19</f>
        <v>147753.418869323</v>
      </c>
      <c r="V13" s="206" t="n">
        <f aca="false">U19</f>
        <v>140402.322718442</v>
      </c>
      <c r="W13" s="348" t="n">
        <f aca="false">V19</f>
        <v>132720.427240772</v>
      </c>
      <c r="X13" s="206" t="n">
        <f aca="false">W19</f>
        <v>124692.846466607</v>
      </c>
      <c r="Y13" s="206" t="n">
        <f aca="false">X19</f>
        <v>116304.024557604</v>
      </c>
      <c r="Z13" s="206" t="n">
        <f aca="false">Y19</f>
        <v>107537.705662696</v>
      </c>
      <c r="AA13" s="206" t="n">
        <f aca="false">Z19</f>
        <v>98376.9024175175</v>
      </c>
      <c r="AB13" s="348" t="n">
        <f aca="false">AA19</f>
        <v>88803.8630263058</v>
      </c>
      <c r="AC13" s="206" t="n">
        <f aca="false">AB19</f>
        <v>78800.0368624896</v>
      </c>
      <c r="AD13" s="206" t="n">
        <f aca="false">AC19</f>
        <v>68346.0385213016</v>
      </c>
      <c r="AE13" s="206" t="n">
        <f aca="false">AD19</f>
        <v>57421.6102547602</v>
      </c>
      <c r="AF13" s="206" t="n">
        <f aca="false">AE19</f>
        <v>46005.5827162244</v>
      </c>
      <c r="AG13" s="348" t="n">
        <f aca="false">AF19</f>
        <v>34075.8339384545</v>
      </c>
      <c r="AH13" s="206" t="n">
        <f aca="false">AG19</f>
        <v>21609.2464656849</v>
      </c>
      <c r="AI13" s="206" t="n">
        <f aca="false">AH19</f>
        <v>8581.66255664074</v>
      </c>
      <c r="AJ13" s="206" t="n">
        <f aca="false">AI19</f>
        <v>0</v>
      </c>
      <c r="AK13" s="206" t="n">
        <f aca="false">AJ19</f>
        <v>0</v>
      </c>
      <c r="AL13" s="348" t="n">
        <f aca="false">AK19</f>
        <v>0</v>
      </c>
      <c r="AM13" s="206" t="n">
        <f aca="false">AL19</f>
        <v>0</v>
      </c>
      <c r="AN13" s="206" t="n">
        <f aca="false">AM19</f>
        <v>0</v>
      </c>
      <c r="AO13" s="206" t="n">
        <f aca="false">AN19</f>
        <v>0</v>
      </c>
      <c r="AP13" s="206" t="n">
        <f aca="false">AO19</f>
        <v>0</v>
      </c>
      <c r="AQ13" s="206" t="n">
        <f aca="false">AP19</f>
        <v>0</v>
      </c>
    </row>
    <row r="14" customFormat="false" ht="15.75" hidden="false" customHeight="true" outlineLevel="0" collapsed="false">
      <c r="B14" s="72" t="s">
        <v>1133</v>
      </c>
      <c r="C14" s="347" t="s">
        <v>765</v>
      </c>
      <c r="D14" s="114" t="n">
        <f aca="false">IF(D9&lt;=Zinsbindung_I,Zins_I,Anschlusszins_I)</f>
        <v>0.036</v>
      </c>
      <c r="E14" s="114" t="n">
        <f aca="false">IF(E9&lt;=Zinsbindung_I,Zins_I,Anschlusszins_I)</f>
        <v>0.036</v>
      </c>
      <c r="F14" s="114" t="n">
        <f aca="false">IF(F9&lt;=Zinsbindung_I,Zins_I,Anschlusszins_I)</f>
        <v>0.036</v>
      </c>
      <c r="G14" s="114" t="n">
        <f aca="false">IF(G9&lt;=Zinsbindung_I,Zins_I,Anschlusszins_I)</f>
        <v>0.036</v>
      </c>
      <c r="H14" s="371" t="n">
        <f aca="false">IF(H9&lt;=Zinsbindung_I,Zins_I,Anschlusszins_I)</f>
        <v>0.036</v>
      </c>
      <c r="I14" s="114" t="n">
        <f aca="false">IF(I9&lt;=Zinsbindung_I,Zins_I,Anschlusszins_I)</f>
        <v>0.036</v>
      </c>
      <c r="J14" s="114" t="n">
        <f aca="false">IF(J9&lt;=Zinsbindung_I,Zins_I,Anschlusszins_I)</f>
        <v>0.036</v>
      </c>
      <c r="K14" s="114" t="n">
        <f aca="false">IF(K9&lt;=Zinsbindung_I,Zins_I,Anschlusszins_I)</f>
        <v>0.036</v>
      </c>
      <c r="L14" s="114" t="n">
        <f aca="false">IF(L9&lt;=Zinsbindung_I,Zins_I,Anschlusszins_I)</f>
        <v>0.036</v>
      </c>
      <c r="M14" s="371" t="n">
        <f aca="false">IF(M9&lt;=Zinsbindung_I,Zins_I,Anschlusszins_I)</f>
        <v>0.036</v>
      </c>
      <c r="N14" s="114" t="n">
        <f aca="false">IF(N9&lt;=Zinsbindung_I,Zins_I,Anschlusszins_I)</f>
        <v>0.045</v>
      </c>
      <c r="O14" s="114" t="n">
        <f aca="false">IF(O9&lt;=Zinsbindung_I,Zins_I,Anschlusszins_I)</f>
        <v>0.045</v>
      </c>
      <c r="P14" s="114" t="n">
        <f aca="false">IF(P9&lt;=Zinsbindung_I,Zins_I,Anschlusszins_I)</f>
        <v>0.045</v>
      </c>
      <c r="Q14" s="114" t="n">
        <f aca="false">IF(Q9&lt;=Zinsbindung_I,Zins_I,Anschlusszins_I)</f>
        <v>0.045</v>
      </c>
      <c r="R14" s="371" t="n">
        <f aca="false">IF(R9&lt;=Zinsbindung_I,Zins_I,Anschlusszins_I)</f>
        <v>0.045</v>
      </c>
      <c r="S14" s="114" t="n">
        <f aca="false">IF(S9&lt;=Zinsbindung_I,Zins_I,Anschlusszins_I)</f>
        <v>0.045</v>
      </c>
      <c r="T14" s="114" t="n">
        <f aca="false">IF(T9&lt;=Zinsbindung_I,Zins_I,Anschlusszins_I)</f>
        <v>0.045</v>
      </c>
      <c r="U14" s="114" t="n">
        <f aca="false">IF(U9&lt;=Zinsbindung_I,Zins_I,Anschlusszins_I)</f>
        <v>0.045</v>
      </c>
      <c r="V14" s="114" t="n">
        <f aca="false">IF(V9&lt;=Zinsbindung_I,Zins_I,Anschlusszins_I)</f>
        <v>0.045</v>
      </c>
      <c r="W14" s="371" t="n">
        <f aca="false">IF(W9&lt;=Zinsbindung_I,Zins_I,Anschlusszins_I)</f>
        <v>0.045</v>
      </c>
      <c r="X14" s="114" t="n">
        <f aca="false">IF(X9&lt;=Zinsbindung_I,Zins_I,Anschlusszins_I)</f>
        <v>0.045</v>
      </c>
      <c r="Y14" s="114" t="n">
        <f aca="false">IF(Y9&lt;=Zinsbindung_I,Zins_I,Anschlusszins_I)</f>
        <v>0.045</v>
      </c>
      <c r="Z14" s="114" t="n">
        <f aca="false">IF(Z9&lt;=Zinsbindung_I,Zins_I,Anschlusszins_I)</f>
        <v>0.045</v>
      </c>
      <c r="AA14" s="114" t="n">
        <f aca="false">IF(AA9&lt;=Zinsbindung_I,Zins_I,Anschlusszins_I)</f>
        <v>0.045</v>
      </c>
      <c r="AB14" s="371" t="n">
        <f aca="false">IF(AB9&lt;=Zinsbindung_I,Zins_I,Anschlusszins_I)</f>
        <v>0.045</v>
      </c>
      <c r="AC14" s="114" t="n">
        <f aca="false">IF(AC9&lt;=Zinsbindung_I,Zins_I,Anschlusszins_I)</f>
        <v>0.045</v>
      </c>
      <c r="AD14" s="114" t="n">
        <f aca="false">IF(AD9&lt;=Zinsbindung_I,Zins_I,Anschlusszins_I)</f>
        <v>0.045</v>
      </c>
      <c r="AE14" s="114" t="n">
        <f aca="false">IF(AE9&lt;=Zinsbindung_I,Zins_I,Anschlusszins_I)</f>
        <v>0.045</v>
      </c>
      <c r="AF14" s="114" t="n">
        <f aca="false">IF(AF9&lt;=Zinsbindung_I,Zins_I,Anschlusszins_I)</f>
        <v>0.045</v>
      </c>
      <c r="AG14" s="371" t="n">
        <f aca="false">IF(AG9&lt;=Zinsbindung_I,Zins_I,Anschlusszins_I)</f>
        <v>0.045</v>
      </c>
      <c r="AH14" s="114" t="n">
        <f aca="false">IF(AH9&lt;=Zinsbindung_I,Zins_I,Anschlusszins_I)</f>
        <v>0.045</v>
      </c>
      <c r="AI14" s="114" t="n">
        <f aca="false">IF(AI9&lt;=Zinsbindung_I,Zins_I,Anschlusszins_I)</f>
        <v>0.045</v>
      </c>
      <c r="AJ14" s="114" t="n">
        <f aca="false">IF(AJ9&lt;=Zinsbindung_I,Zins_I,Anschlusszins_I)</f>
        <v>0.045</v>
      </c>
      <c r="AK14" s="114" t="n">
        <f aca="false">IF(AK9&lt;=Zinsbindung_I,Zins_I,Anschlusszins_I)</f>
        <v>0.045</v>
      </c>
      <c r="AL14" s="371" t="n">
        <f aca="false">IF(AL9&lt;=Zinsbindung_I,Zins_I,Anschlusszins_I)</f>
        <v>0.045</v>
      </c>
      <c r="AM14" s="114" t="n">
        <f aca="false">IF(AM9&lt;=Zinsbindung_I,Zins_I,Anschlusszins_I)</f>
        <v>0.045</v>
      </c>
      <c r="AN14" s="114" t="n">
        <f aca="false">IF(AN9&lt;=Zinsbindung_I,Zins_I,Anschlusszins_I)</f>
        <v>0.045</v>
      </c>
      <c r="AO14" s="114" t="n">
        <f aca="false">IF(AO9&lt;=Zinsbindung_I,Zins_I,Anschlusszins_I)</f>
        <v>0.045</v>
      </c>
      <c r="AP14" s="114" t="n">
        <f aca="false">IF(AP9&lt;=Zinsbindung_I,Zins_I,Anschlusszins_I)</f>
        <v>0.045</v>
      </c>
      <c r="AQ14" s="114" t="n">
        <f aca="false">IF(AQ9&lt;=Zinsbindung_I,Zins_I,Anschlusszins_I)</f>
        <v>0.045</v>
      </c>
    </row>
    <row r="15" customFormat="false" ht="15.75" hidden="false" customHeight="true" outlineLevel="0" collapsed="false">
      <c r="B15" s="72" t="s">
        <v>533</v>
      </c>
      <c r="C15" s="347" t="s">
        <v>753</v>
      </c>
      <c r="D15" s="206" t="n">
        <f aca="false">D13*D14</f>
        <v>9000</v>
      </c>
      <c r="E15" s="206" t="n">
        <f aca="false">E13*E14</f>
        <v>8820</v>
      </c>
      <c r="F15" s="206" t="n">
        <f aca="false">F13*F14</f>
        <v>8633.52</v>
      </c>
      <c r="G15" s="206" t="n">
        <f aca="false">G13*G14</f>
        <v>8440.32672</v>
      </c>
      <c r="H15" s="348" t="n">
        <f aca="false">H13*H14</f>
        <v>8240.17848192</v>
      </c>
      <c r="I15" s="206" t="n">
        <f aca="false">I13*I14</f>
        <v>8032.82490726912</v>
      </c>
      <c r="J15" s="206" t="n">
        <f aca="false">J13*J14</f>
        <v>7818.00660393081</v>
      </c>
      <c r="K15" s="206" t="n">
        <f aca="false">K13*K14</f>
        <v>7595.45484167232</v>
      </c>
      <c r="L15" s="206" t="n">
        <f aca="false">L13*L14</f>
        <v>7364.89121597252</v>
      </c>
      <c r="M15" s="348" t="n">
        <f aca="false">M13*M14</f>
        <v>7126.02729974753</v>
      </c>
      <c r="N15" s="206" t="n">
        <f aca="false">N13*N14</f>
        <v>8598.20535317305</v>
      </c>
      <c r="O15" s="206" t="n">
        <f aca="false">O13*O14</f>
        <v>8355.12459406584</v>
      </c>
      <c r="P15" s="206" t="n">
        <f aca="false">P13*P14</f>
        <v>8101.10520079881</v>
      </c>
      <c r="Q15" s="206" t="n">
        <f aca="false">Q13*Q14</f>
        <v>7835.65493483475</v>
      </c>
      <c r="R15" s="348" t="n">
        <f aca="false">R13*R14</f>
        <v>7558.25940690232</v>
      </c>
      <c r="S15" s="206" t="n">
        <f aca="false">S13*S14</f>
        <v>7268.38108021292</v>
      </c>
      <c r="T15" s="206" t="n">
        <f aca="false">T13*T14</f>
        <v>6965.4582288225</v>
      </c>
      <c r="U15" s="206" t="n">
        <f aca="false">U13*U14</f>
        <v>6648.90384911951</v>
      </c>
      <c r="V15" s="206" t="n">
        <f aca="false">V13*V14</f>
        <v>6318.10452232989</v>
      </c>
      <c r="W15" s="348" t="n">
        <f aca="false">W13*W14</f>
        <v>5972.41922583474</v>
      </c>
      <c r="X15" s="206" t="n">
        <f aca="false">X13*X14</f>
        <v>5611.1780909973</v>
      </c>
      <c r="Y15" s="206" t="n">
        <f aca="false">Y13*Y14</f>
        <v>5233.68110509218</v>
      </c>
      <c r="Z15" s="206" t="n">
        <f aca="false">Z13*Z14</f>
        <v>4839.19675482133</v>
      </c>
      <c r="AA15" s="206" t="n">
        <f aca="false">AA13*AA14</f>
        <v>4426.96060878829</v>
      </c>
      <c r="AB15" s="348" t="n">
        <f aca="false">AB13*AB14</f>
        <v>3996.17383618376</v>
      </c>
      <c r="AC15" s="206" t="n">
        <f aca="false">AC13*AC14</f>
        <v>3546.00165881203</v>
      </c>
      <c r="AD15" s="206" t="n">
        <f aca="false">AD13*AD14</f>
        <v>3075.57173345857</v>
      </c>
      <c r="AE15" s="206" t="n">
        <f aca="false">AE13*AE14</f>
        <v>2583.97246146421</v>
      </c>
      <c r="AF15" s="206" t="n">
        <f aca="false">AF13*AF14</f>
        <v>2070.2512222301</v>
      </c>
      <c r="AG15" s="348" t="n">
        <f aca="false">AG13*AG14</f>
        <v>1533.41252723045</v>
      </c>
      <c r="AH15" s="206" t="n">
        <f aca="false">AH13*AH14</f>
        <v>972.416090955821</v>
      </c>
      <c r="AI15" s="206" t="n">
        <f aca="false">AI13*AI14</f>
        <v>386.174815048833</v>
      </c>
      <c r="AJ15" s="206" t="n">
        <f aca="false">AJ13*AJ14</f>
        <v>0</v>
      </c>
      <c r="AK15" s="206" t="n">
        <f aca="false">AK13*AK14</f>
        <v>0</v>
      </c>
      <c r="AL15" s="348" t="n">
        <f aca="false">AL13*AL14</f>
        <v>0</v>
      </c>
      <c r="AM15" s="206" t="n">
        <f aca="false">AM13*AM14</f>
        <v>0</v>
      </c>
      <c r="AN15" s="206" t="n">
        <f aca="false">AN13*AN14</f>
        <v>0</v>
      </c>
      <c r="AO15" s="206" t="n">
        <f aca="false">AO13*AO14</f>
        <v>0</v>
      </c>
      <c r="AP15" s="206" t="n">
        <f aca="false">AP13*AP14</f>
        <v>0</v>
      </c>
      <c r="AQ15" s="206" t="n">
        <f aca="false">AQ13*AQ14</f>
        <v>0</v>
      </c>
    </row>
    <row r="16" customFormat="false" ht="15.75" hidden="false" customHeight="true" outlineLevel="0" collapsed="false">
      <c r="B16" s="72" t="s">
        <v>1134</v>
      </c>
      <c r="C16" s="347" t="s">
        <v>753</v>
      </c>
      <c r="D16" s="206" t="n">
        <f aca="false">Darlehen_I*(Zins_I+Tilgung_I)</f>
        <v>14000</v>
      </c>
      <c r="E16" s="206" t="n">
        <f aca="false">Darlehen_I*(Zins_I+Tilgung_I)</f>
        <v>14000</v>
      </c>
      <c r="F16" s="206" t="n">
        <f aca="false">Darlehen_I*(Zins_I+Tilgung_I)</f>
        <v>14000</v>
      </c>
      <c r="G16" s="206" t="n">
        <f aca="false">Darlehen_I*(Zins_I+Tilgung_I)</f>
        <v>14000</v>
      </c>
      <c r="H16" s="348" t="n">
        <f aca="false">Darlehen_I*(Zins_I+Tilgung_I)</f>
        <v>14000</v>
      </c>
      <c r="I16" s="206" t="n">
        <f aca="false">Darlehen_I*(Zins_I+Tilgung_I)</f>
        <v>14000</v>
      </c>
      <c r="J16" s="206" t="n">
        <f aca="false">Darlehen_I*(Zins_I+Tilgung_I)</f>
        <v>14000</v>
      </c>
      <c r="K16" s="206" t="n">
        <f aca="false">Darlehen_I*(Zins_I+Tilgung_I)</f>
        <v>14000</v>
      </c>
      <c r="L16" s="206" t="n">
        <f aca="false">Darlehen_I*(Zins_I+Tilgung_I)</f>
        <v>14000</v>
      </c>
      <c r="M16" s="348" t="n">
        <f aca="false">Darlehen_I*(Zins_I+Tilgung_I)</f>
        <v>14000</v>
      </c>
      <c r="N16" s="206" t="n">
        <f aca="false">Darlehen_I*(Zins_I+Tilgung_I)</f>
        <v>14000</v>
      </c>
      <c r="O16" s="206" t="n">
        <f aca="false">Darlehen_I*(Zins_I+Tilgung_I)</f>
        <v>14000</v>
      </c>
      <c r="P16" s="206" t="n">
        <f aca="false">Darlehen_I*(Zins_I+Tilgung_I)</f>
        <v>14000</v>
      </c>
      <c r="Q16" s="206" t="n">
        <f aca="false">Darlehen_I*(Zins_I+Tilgung_I)</f>
        <v>14000</v>
      </c>
      <c r="R16" s="348" t="n">
        <f aca="false">Darlehen_I*(Zins_I+Tilgung_I)</f>
        <v>14000</v>
      </c>
      <c r="S16" s="206" t="n">
        <f aca="false">Darlehen_I*(Zins_I+Tilgung_I)</f>
        <v>14000</v>
      </c>
      <c r="T16" s="206" t="n">
        <f aca="false">Darlehen_I*(Zins_I+Tilgung_I)</f>
        <v>14000</v>
      </c>
      <c r="U16" s="206" t="n">
        <f aca="false">Darlehen_I*(Zins_I+Tilgung_I)</f>
        <v>14000</v>
      </c>
      <c r="V16" s="206" t="n">
        <f aca="false">Darlehen_I*(Zins_I+Tilgung_I)</f>
        <v>14000</v>
      </c>
      <c r="W16" s="348" t="n">
        <f aca="false">Darlehen_I*(Zins_I+Tilgung_I)</f>
        <v>14000</v>
      </c>
      <c r="X16" s="206" t="n">
        <f aca="false">Darlehen_I*(Zins_I+Tilgung_I)</f>
        <v>14000</v>
      </c>
      <c r="Y16" s="206" t="n">
        <f aca="false">Darlehen_I*(Zins_I+Tilgung_I)</f>
        <v>14000</v>
      </c>
      <c r="Z16" s="206" t="n">
        <f aca="false">Darlehen_I*(Zins_I+Tilgung_I)</f>
        <v>14000</v>
      </c>
      <c r="AA16" s="206" t="n">
        <f aca="false">Darlehen_I*(Zins_I+Tilgung_I)</f>
        <v>14000</v>
      </c>
      <c r="AB16" s="348" t="n">
        <f aca="false">Darlehen_I*(Zins_I+Tilgung_I)</f>
        <v>14000</v>
      </c>
      <c r="AC16" s="206" t="n">
        <f aca="false">Darlehen_I*(Zins_I+Tilgung_I)</f>
        <v>14000</v>
      </c>
      <c r="AD16" s="206" t="n">
        <f aca="false">Darlehen_I*(Zins_I+Tilgung_I)</f>
        <v>14000</v>
      </c>
      <c r="AE16" s="206" t="n">
        <f aca="false">Darlehen_I*(Zins_I+Tilgung_I)</f>
        <v>14000</v>
      </c>
      <c r="AF16" s="206" t="n">
        <f aca="false">Darlehen_I*(Zins_I+Tilgung_I)</f>
        <v>14000</v>
      </c>
      <c r="AG16" s="348" t="n">
        <f aca="false">Darlehen_I*(Zins_I+Tilgung_I)</f>
        <v>14000</v>
      </c>
      <c r="AH16" s="206" t="n">
        <f aca="false">Darlehen_I*(Zins_I+Tilgung_I)</f>
        <v>14000</v>
      </c>
      <c r="AI16" s="206" t="n">
        <f aca="false">Darlehen_I*(Zins_I+Tilgung_I)</f>
        <v>14000</v>
      </c>
      <c r="AJ16" s="206" t="n">
        <f aca="false">Darlehen_I*(Zins_I+Tilgung_I)</f>
        <v>14000</v>
      </c>
      <c r="AK16" s="206" t="n">
        <f aca="false">Darlehen_I*(Zins_I+Tilgung_I)</f>
        <v>14000</v>
      </c>
      <c r="AL16" s="348" t="n">
        <f aca="false">Darlehen_I*(Zins_I+Tilgung_I)</f>
        <v>14000</v>
      </c>
      <c r="AM16" s="206" t="n">
        <f aca="false">Darlehen_I*(Zins_I+Tilgung_I)</f>
        <v>14000</v>
      </c>
      <c r="AN16" s="206" t="n">
        <f aca="false">Darlehen_I*(Zins_I+Tilgung_I)</f>
        <v>14000</v>
      </c>
      <c r="AO16" s="206" t="n">
        <f aca="false">Darlehen_I*(Zins_I+Tilgung_I)</f>
        <v>14000</v>
      </c>
      <c r="AP16" s="206" t="n">
        <f aca="false">Darlehen_I*(Zins_I+Tilgung_I)</f>
        <v>14000</v>
      </c>
      <c r="AQ16" s="206" t="n">
        <f aca="false">Darlehen_I*(Zins_I+Tilgung_I)</f>
        <v>14000</v>
      </c>
    </row>
    <row r="17" customFormat="false" ht="15.75" hidden="false" customHeight="true" outlineLevel="0" collapsed="false">
      <c r="B17" s="72" t="s">
        <v>1135</v>
      </c>
      <c r="C17" s="347" t="s">
        <v>753</v>
      </c>
      <c r="D17" s="206" t="n">
        <f aca="false">IF(D9&lt;=Tilgungsfrei_I,0,MIN(D13,MAX(0,D16-D15)))</f>
        <v>5000</v>
      </c>
      <c r="E17" s="206" t="n">
        <f aca="false">IF(E9&lt;=Tilgungsfrei_I,0,MIN(E13,MAX(0,E16-E15)))</f>
        <v>5180</v>
      </c>
      <c r="F17" s="206" t="n">
        <f aca="false">IF(F9&lt;=Tilgungsfrei_I,0,MIN(F13,MAX(0,F16-F15)))</f>
        <v>5366.48</v>
      </c>
      <c r="G17" s="206" t="n">
        <f aca="false">IF(G9&lt;=Tilgungsfrei_I,0,MIN(G13,MAX(0,G16-G15)))</f>
        <v>5559.67328</v>
      </c>
      <c r="H17" s="348" t="n">
        <f aca="false">IF(H9&lt;=Tilgungsfrei_I,0,MIN(H13,MAX(0,H16-H15)))</f>
        <v>5759.82151808</v>
      </c>
      <c r="I17" s="206" t="n">
        <f aca="false">IF(I9&lt;=Tilgungsfrei_I,0,MIN(I13,MAX(0,I16-I15)))</f>
        <v>5967.17509273088</v>
      </c>
      <c r="J17" s="206" t="n">
        <f aca="false">IF(J9&lt;=Tilgungsfrei_I,0,MIN(J13,MAX(0,J16-J15)))</f>
        <v>6181.99339606919</v>
      </c>
      <c r="K17" s="206" t="n">
        <f aca="false">IF(K9&lt;=Tilgungsfrei_I,0,MIN(K13,MAX(0,K16-K15)))</f>
        <v>6404.54515832768</v>
      </c>
      <c r="L17" s="206" t="n">
        <f aca="false">IF(L9&lt;=Tilgungsfrei_I,0,MIN(L13,MAX(0,L16-L15)))</f>
        <v>6635.10878402748</v>
      </c>
      <c r="M17" s="348" t="n">
        <f aca="false">IF(M9&lt;=Tilgungsfrei_I,0,MIN(M13,MAX(0,M16-M15)))</f>
        <v>6873.97270025247</v>
      </c>
      <c r="N17" s="206" t="n">
        <f aca="false">IF(N9&lt;=Tilgungsfrei_I,0,MIN(N13,MAX(0,N16-N15)))</f>
        <v>5401.79464682694</v>
      </c>
      <c r="O17" s="206" t="n">
        <f aca="false">IF(O9&lt;=Tilgungsfrei_I,0,MIN(O13,MAX(0,O16-O15)))</f>
        <v>5644.87540593416</v>
      </c>
      <c r="P17" s="206" t="n">
        <f aca="false">IF(P9&lt;=Tilgungsfrei_I,0,MIN(P13,MAX(0,P16-P15)))</f>
        <v>5898.89479920119</v>
      </c>
      <c r="Q17" s="206" t="n">
        <f aca="false">IF(Q9&lt;=Tilgungsfrei_I,0,MIN(Q13,MAX(0,Q16-Q15)))</f>
        <v>6164.34506516525</v>
      </c>
      <c r="R17" s="348" t="n">
        <f aca="false">IF(R9&lt;=Tilgungsfrei_I,0,MIN(R13,MAX(0,R16-R15)))</f>
        <v>6441.74059309768</v>
      </c>
      <c r="S17" s="206" t="n">
        <f aca="false">IF(S9&lt;=Tilgungsfrei_I,0,MIN(S13,MAX(0,S16-S15)))</f>
        <v>6731.61891978708</v>
      </c>
      <c r="T17" s="206" t="n">
        <f aca="false">IF(T9&lt;=Tilgungsfrei_I,0,MIN(T13,MAX(0,T16-T15)))</f>
        <v>7034.5417711775</v>
      </c>
      <c r="U17" s="206" t="n">
        <f aca="false">IF(U9&lt;=Tilgungsfrei_I,0,MIN(U13,MAX(0,U16-U15)))</f>
        <v>7351.09615088049</v>
      </c>
      <c r="V17" s="206" t="n">
        <f aca="false">IF(V9&lt;=Tilgungsfrei_I,0,MIN(V13,MAX(0,V16-V15)))</f>
        <v>7681.89547767011</v>
      </c>
      <c r="W17" s="348" t="n">
        <f aca="false">IF(W9&lt;=Tilgungsfrei_I,0,MIN(W13,MAX(0,W16-W15)))</f>
        <v>8027.58077416526</v>
      </c>
      <c r="X17" s="206" t="n">
        <f aca="false">IF(X9&lt;=Tilgungsfrei_I,0,MIN(X13,MAX(0,X16-X15)))</f>
        <v>8388.8219090027</v>
      </c>
      <c r="Y17" s="206" t="n">
        <f aca="false">IF(Y9&lt;=Tilgungsfrei_I,0,MIN(Y13,MAX(0,Y16-Y15)))</f>
        <v>8766.31889490782</v>
      </c>
      <c r="Z17" s="206" t="n">
        <f aca="false">IF(Z9&lt;=Tilgungsfrei_I,0,MIN(Z13,MAX(0,Z16-Z15)))</f>
        <v>9160.80324517867</v>
      </c>
      <c r="AA17" s="206" t="n">
        <f aca="false">IF(AA9&lt;=Tilgungsfrei_I,0,MIN(AA13,MAX(0,AA16-AA15)))</f>
        <v>9573.03939121171</v>
      </c>
      <c r="AB17" s="348" t="n">
        <f aca="false">IF(AB9&lt;=Tilgungsfrei_I,0,MIN(AB13,MAX(0,AB16-AB15)))</f>
        <v>10003.8261638162</v>
      </c>
      <c r="AC17" s="206" t="n">
        <f aca="false">IF(AC9&lt;=Tilgungsfrei_I,0,MIN(AC13,MAX(0,AC16-AC15)))</f>
        <v>10453.998341188</v>
      </c>
      <c r="AD17" s="206" t="n">
        <f aca="false">IF(AD9&lt;=Tilgungsfrei_I,0,MIN(AD13,MAX(0,AD16-AD15)))</f>
        <v>10924.4282665414</v>
      </c>
      <c r="AE17" s="206" t="n">
        <f aca="false">IF(AE9&lt;=Tilgungsfrei_I,0,MIN(AE13,MAX(0,AE16-AE15)))</f>
        <v>11416.0275385358</v>
      </c>
      <c r="AF17" s="206" t="n">
        <f aca="false">IF(AF9&lt;=Tilgungsfrei_I,0,MIN(AF13,MAX(0,AF16-AF15)))</f>
        <v>11929.7487777699</v>
      </c>
      <c r="AG17" s="348" t="n">
        <f aca="false">IF(AG9&lt;=Tilgungsfrei_I,0,MIN(AG13,MAX(0,AG16-AG15)))</f>
        <v>12466.5874727695</v>
      </c>
      <c r="AH17" s="206" t="n">
        <f aca="false">IF(AH9&lt;=Tilgungsfrei_I,0,MIN(AH13,MAX(0,AH16-AH15)))</f>
        <v>13027.5839090442</v>
      </c>
      <c r="AI17" s="206" t="n">
        <f aca="false">IF(AI9&lt;=Tilgungsfrei_I,0,MIN(AI13,MAX(0,AI16-AI15)))</f>
        <v>8581.66255664074</v>
      </c>
      <c r="AJ17" s="206" t="n">
        <f aca="false">IF(AJ9&lt;=Tilgungsfrei_I,0,MIN(AJ13,MAX(0,AJ16-AJ15)))</f>
        <v>0</v>
      </c>
      <c r="AK17" s="206" t="n">
        <f aca="false">IF(AK9&lt;=Tilgungsfrei_I,0,MIN(AK13,MAX(0,AK16-AK15)))</f>
        <v>0</v>
      </c>
      <c r="AL17" s="348" t="n">
        <f aca="false">IF(AL9&lt;=Tilgungsfrei_I,0,MIN(AL13,MAX(0,AL16-AL15)))</f>
        <v>0</v>
      </c>
      <c r="AM17" s="206" t="n">
        <f aca="false">IF(AM9&lt;=Tilgungsfrei_I,0,MIN(AM13,MAX(0,AM16-AM15)))</f>
        <v>0</v>
      </c>
      <c r="AN17" s="206" t="n">
        <f aca="false">IF(AN9&lt;=Tilgungsfrei_I,0,MIN(AN13,MAX(0,AN16-AN15)))</f>
        <v>0</v>
      </c>
      <c r="AO17" s="206" t="n">
        <f aca="false">IF(AO9&lt;=Tilgungsfrei_I,0,MIN(AO13,MAX(0,AO16-AO15)))</f>
        <v>0</v>
      </c>
      <c r="AP17" s="206" t="n">
        <f aca="false">IF(AP9&lt;=Tilgungsfrei_I,0,MIN(AP13,MAX(0,AP16-AP15)))</f>
        <v>0</v>
      </c>
      <c r="AQ17" s="206" t="n">
        <f aca="false">IF(AQ9&lt;=Tilgungsfrei_I,0,MIN(AQ13,MAX(0,AQ16-AQ15)))</f>
        <v>0</v>
      </c>
    </row>
    <row r="18" customFormat="false" ht="15.75" hidden="false" customHeight="true" outlineLevel="0" collapsed="false">
      <c r="B18" s="72" t="s">
        <v>1136</v>
      </c>
      <c r="C18" s="347" t="s">
        <v>753</v>
      </c>
      <c r="D18" s="206" t="n">
        <f aca="false">MAX(0,MIN(D13-D17,Sondertilgung_I))</f>
        <v>0</v>
      </c>
      <c r="E18" s="206" t="n">
        <f aca="false">MAX(0,MIN(E13-E17,Sondertilgung_I))</f>
        <v>0</v>
      </c>
      <c r="F18" s="206" t="n">
        <f aca="false">MAX(0,MIN(F13-F17,Sondertilgung_I))</f>
        <v>0</v>
      </c>
      <c r="G18" s="206" t="n">
        <f aca="false">MAX(0,MIN(G13-G17,Sondertilgung_I))</f>
        <v>0</v>
      </c>
      <c r="H18" s="348" t="n">
        <f aca="false">MAX(0,MIN(H13-H17,Sondertilgung_I))</f>
        <v>0</v>
      </c>
      <c r="I18" s="206" t="n">
        <f aca="false">MAX(0,MIN(I13-I17,Sondertilgung_I))</f>
        <v>0</v>
      </c>
      <c r="J18" s="206" t="n">
        <f aca="false">MAX(0,MIN(J13-J17,Sondertilgung_I))</f>
        <v>0</v>
      </c>
      <c r="K18" s="206" t="n">
        <f aca="false">MAX(0,MIN(K13-K17,Sondertilgung_I))</f>
        <v>0</v>
      </c>
      <c r="L18" s="206" t="n">
        <f aca="false">MAX(0,MIN(L13-L17,Sondertilgung_I))</f>
        <v>0</v>
      </c>
      <c r="M18" s="348" t="n">
        <f aca="false">MAX(0,MIN(M13-M17,Sondertilgung_I))</f>
        <v>0</v>
      </c>
      <c r="N18" s="206" t="n">
        <f aca="false">MAX(0,MIN(N13-N17,Sondertilgung_I))</f>
        <v>0</v>
      </c>
      <c r="O18" s="206" t="n">
        <f aca="false">MAX(0,MIN(O13-O17,Sondertilgung_I))</f>
        <v>0</v>
      </c>
      <c r="P18" s="206" t="n">
        <f aca="false">MAX(0,MIN(P13-P17,Sondertilgung_I))</f>
        <v>0</v>
      </c>
      <c r="Q18" s="206" t="n">
        <f aca="false">MAX(0,MIN(Q13-Q17,Sondertilgung_I))</f>
        <v>0</v>
      </c>
      <c r="R18" s="348" t="n">
        <f aca="false">MAX(0,MIN(R13-R17,Sondertilgung_I))</f>
        <v>0</v>
      </c>
      <c r="S18" s="206" t="n">
        <f aca="false">MAX(0,MIN(S13-S17,Sondertilgung_I))</f>
        <v>0</v>
      </c>
      <c r="T18" s="206" t="n">
        <f aca="false">MAX(0,MIN(T13-T17,Sondertilgung_I))</f>
        <v>0</v>
      </c>
      <c r="U18" s="206" t="n">
        <f aca="false">MAX(0,MIN(U13-U17,Sondertilgung_I))</f>
        <v>0</v>
      </c>
      <c r="V18" s="206" t="n">
        <f aca="false">MAX(0,MIN(V13-V17,Sondertilgung_I))</f>
        <v>0</v>
      </c>
      <c r="W18" s="348" t="n">
        <f aca="false">MAX(0,MIN(W13-W17,Sondertilgung_I))</f>
        <v>0</v>
      </c>
      <c r="X18" s="206" t="n">
        <f aca="false">MAX(0,MIN(X13-X17,Sondertilgung_I))</f>
        <v>0</v>
      </c>
      <c r="Y18" s="206" t="n">
        <f aca="false">MAX(0,MIN(Y13-Y17,Sondertilgung_I))</f>
        <v>0</v>
      </c>
      <c r="Z18" s="206" t="n">
        <f aca="false">MAX(0,MIN(Z13-Z17,Sondertilgung_I))</f>
        <v>0</v>
      </c>
      <c r="AA18" s="206" t="n">
        <f aca="false">MAX(0,MIN(AA13-AA17,Sondertilgung_I))</f>
        <v>0</v>
      </c>
      <c r="AB18" s="348" t="n">
        <f aca="false">MAX(0,MIN(AB13-AB17,Sondertilgung_I))</f>
        <v>0</v>
      </c>
      <c r="AC18" s="206" t="n">
        <f aca="false">MAX(0,MIN(AC13-AC17,Sondertilgung_I))</f>
        <v>0</v>
      </c>
      <c r="AD18" s="206" t="n">
        <f aca="false">MAX(0,MIN(AD13-AD17,Sondertilgung_I))</f>
        <v>0</v>
      </c>
      <c r="AE18" s="206" t="n">
        <f aca="false">MAX(0,MIN(AE13-AE17,Sondertilgung_I))</f>
        <v>0</v>
      </c>
      <c r="AF18" s="206" t="n">
        <f aca="false">MAX(0,MIN(AF13-AF17,Sondertilgung_I))</f>
        <v>0</v>
      </c>
      <c r="AG18" s="348" t="n">
        <f aca="false">MAX(0,MIN(AG13-AG17,Sondertilgung_I))</f>
        <v>0</v>
      </c>
      <c r="AH18" s="206" t="n">
        <f aca="false">MAX(0,MIN(AH13-AH17,Sondertilgung_I))</f>
        <v>0</v>
      </c>
      <c r="AI18" s="206" t="n">
        <f aca="false">MAX(0,MIN(AI13-AI17,Sondertilgung_I))</f>
        <v>0</v>
      </c>
      <c r="AJ18" s="206" t="n">
        <f aca="false">MAX(0,MIN(AJ13-AJ17,Sondertilgung_I))</f>
        <v>0</v>
      </c>
      <c r="AK18" s="206" t="n">
        <f aca="false">MAX(0,MIN(AK13-AK17,Sondertilgung_I))</f>
        <v>0</v>
      </c>
      <c r="AL18" s="348" t="n">
        <f aca="false">MAX(0,MIN(AL13-AL17,Sondertilgung_I))</f>
        <v>0</v>
      </c>
      <c r="AM18" s="206" t="n">
        <f aca="false">MAX(0,MIN(AM13-AM17,Sondertilgung_I))</f>
        <v>0</v>
      </c>
      <c r="AN18" s="206" t="n">
        <f aca="false">MAX(0,MIN(AN13-AN17,Sondertilgung_I))</f>
        <v>0</v>
      </c>
      <c r="AO18" s="206" t="n">
        <f aca="false">MAX(0,MIN(AO13-AO17,Sondertilgung_I))</f>
        <v>0</v>
      </c>
      <c r="AP18" s="206" t="n">
        <f aca="false">MAX(0,MIN(AP13-AP17,Sondertilgung_I))</f>
        <v>0</v>
      </c>
      <c r="AQ18" s="206" t="n">
        <f aca="false">MAX(0,MIN(AQ13-AQ17,Sondertilgung_I))</f>
        <v>0</v>
      </c>
    </row>
    <row r="19" customFormat="false" ht="15.75" hidden="false" customHeight="true" outlineLevel="0" collapsed="false">
      <c r="B19" s="141" t="s">
        <v>1137</v>
      </c>
      <c r="C19" s="349" t="s">
        <v>753</v>
      </c>
      <c r="D19" s="210" t="n">
        <f aca="false">MAX(0,D13-D17-D18)</f>
        <v>245000</v>
      </c>
      <c r="E19" s="210" t="n">
        <f aca="false">MAX(0,E13-E17-E18)</f>
        <v>239820</v>
      </c>
      <c r="F19" s="210" t="n">
        <f aca="false">MAX(0,F13-F17-F18)</f>
        <v>234453.52</v>
      </c>
      <c r="G19" s="210" t="n">
        <f aca="false">MAX(0,G13-G17-G18)</f>
        <v>228893.84672</v>
      </c>
      <c r="H19" s="350" t="n">
        <f aca="false">MAX(0,H13-H17-H18)</f>
        <v>223134.02520192</v>
      </c>
      <c r="I19" s="210" t="n">
        <f aca="false">MAX(0,I13-I17-I18)</f>
        <v>217166.850109189</v>
      </c>
      <c r="J19" s="210" t="n">
        <f aca="false">MAX(0,J13-J17-J18)</f>
        <v>210984.85671312</v>
      </c>
      <c r="K19" s="210" t="n">
        <f aca="false">MAX(0,K13-K17-K18)</f>
        <v>204580.311554792</v>
      </c>
      <c r="L19" s="210" t="n">
        <f aca="false">MAX(0,L13-L17-L18)</f>
        <v>197945.202770765</v>
      </c>
      <c r="M19" s="350" t="n">
        <f aca="false">MAX(0,M13-M17-M18)</f>
        <v>191071.230070512</v>
      </c>
      <c r="N19" s="210" t="n">
        <f aca="false">MAX(0,N13-N17-N18)</f>
        <v>185669.435423685</v>
      </c>
      <c r="O19" s="210" t="n">
        <f aca="false">MAX(0,O13-O17-O18)</f>
        <v>180024.560017751</v>
      </c>
      <c r="P19" s="210" t="n">
        <f aca="false">MAX(0,P13-P17-P18)</f>
        <v>174125.66521855</v>
      </c>
      <c r="Q19" s="210" t="n">
        <f aca="false">MAX(0,Q13-Q17-Q18)</f>
        <v>167961.320153385</v>
      </c>
      <c r="R19" s="350" t="n">
        <f aca="false">MAX(0,R13-R17-R18)</f>
        <v>161519.579560287</v>
      </c>
      <c r="S19" s="210" t="n">
        <f aca="false">MAX(0,S13-S17-S18)</f>
        <v>154787.9606405</v>
      </c>
      <c r="T19" s="210" t="n">
        <f aca="false">MAX(0,T13-T17-T18)</f>
        <v>147753.418869323</v>
      </c>
      <c r="U19" s="210" t="n">
        <f aca="false">MAX(0,U13-U17-U18)</f>
        <v>140402.322718442</v>
      </c>
      <c r="V19" s="210" t="n">
        <f aca="false">MAX(0,V13-V17-V18)</f>
        <v>132720.427240772</v>
      </c>
      <c r="W19" s="350" t="n">
        <f aca="false">MAX(0,W13-W17-W18)</f>
        <v>124692.846466607</v>
      </c>
      <c r="X19" s="210" t="n">
        <f aca="false">MAX(0,X13-X17-X18)</f>
        <v>116304.024557604</v>
      </c>
      <c r="Y19" s="210" t="n">
        <f aca="false">MAX(0,Y13-Y17-Y18)</f>
        <v>107537.705662696</v>
      </c>
      <c r="Z19" s="210" t="n">
        <f aca="false">MAX(0,Z13-Z17-Z18)</f>
        <v>98376.9024175175</v>
      </c>
      <c r="AA19" s="210" t="n">
        <f aca="false">MAX(0,AA13-AA17-AA18)</f>
        <v>88803.8630263058</v>
      </c>
      <c r="AB19" s="350" t="n">
        <f aca="false">MAX(0,AB13-AB17-AB18)</f>
        <v>78800.0368624896</v>
      </c>
      <c r="AC19" s="210" t="n">
        <f aca="false">MAX(0,AC13-AC17-AC18)</f>
        <v>68346.0385213016</v>
      </c>
      <c r="AD19" s="210" t="n">
        <f aca="false">MAX(0,AD13-AD17-AD18)</f>
        <v>57421.6102547602</v>
      </c>
      <c r="AE19" s="210" t="n">
        <f aca="false">MAX(0,AE13-AE17-AE18)</f>
        <v>46005.5827162244</v>
      </c>
      <c r="AF19" s="210" t="n">
        <f aca="false">MAX(0,AF13-AF17-AF18)</f>
        <v>34075.8339384545</v>
      </c>
      <c r="AG19" s="350" t="n">
        <f aca="false">MAX(0,AG13-AG17-AG18)</f>
        <v>21609.2464656849</v>
      </c>
      <c r="AH19" s="210" t="n">
        <f aca="false">MAX(0,AH13-AH17-AH18)</f>
        <v>8581.66255664074</v>
      </c>
      <c r="AI19" s="210" t="n">
        <f aca="false">MAX(0,AI13-AI17-AI18)</f>
        <v>0</v>
      </c>
      <c r="AJ19" s="210" t="n">
        <f aca="false">MAX(0,AJ13-AJ17-AJ18)</f>
        <v>0</v>
      </c>
      <c r="AK19" s="210" t="n">
        <f aca="false">MAX(0,AK13-AK17-AK18)</f>
        <v>0</v>
      </c>
      <c r="AL19" s="350" t="n">
        <f aca="false">MAX(0,AL13-AL17-AL18)</f>
        <v>0</v>
      </c>
      <c r="AM19" s="210" t="n">
        <f aca="false">MAX(0,AM13-AM17-AM18)</f>
        <v>0</v>
      </c>
      <c r="AN19" s="210" t="n">
        <f aca="false">MAX(0,AN13-AN17-AN18)</f>
        <v>0</v>
      </c>
      <c r="AO19" s="210" t="n">
        <f aca="false">MAX(0,AO13-AO17-AO18)</f>
        <v>0</v>
      </c>
      <c r="AP19" s="210" t="n">
        <f aca="false">MAX(0,AP13-AP17-AP18)</f>
        <v>0</v>
      </c>
      <c r="AQ19" s="210" t="n">
        <f aca="false">MAX(0,AQ13-AQ17-AQ18)</f>
        <v>0</v>
      </c>
    </row>
    <row r="20" customFormat="false" ht="15.75" hidden="false" customHeight="true" outlineLevel="0" collapsed="false">
      <c r="B20" s="373" t="s">
        <v>1138</v>
      </c>
      <c r="C20" s="395" t="s">
        <v>753</v>
      </c>
      <c r="D20" s="396" t="n">
        <f aca="false">D15+D17+D18</f>
        <v>14000</v>
      </c>
      <c r="E20" s="396" t="n">
        <f aca="false">E15+E17+E18</f>
        <v>14000</v>
      </c>
      <c r="F20" s="396" t="n">
        <f aca="false">F15+F17+F18</f>
        <v>14000</v>
      </c>
      <c r="G20" s="396" t="n">
        <f aca="false">G15+G17+G18</f>
        <v>14000</v>
      </c>
      <c r="H20" s="397" t="n">
        <f aca="false">H15+H17+H18</f>
        <v>14000</v>
      </c>
      <c r="I20" s="396" t="n">
        <f aca="false">I15+I17+I18</f>
        <v>14000</v>
      </c>
      <c r="J20" s="396" t="n">
        <f aca="false">J15+J17+J18</f>
        <v>14000</v>
      </c>
      <c r="K20" s="396" t="n">
        <f aca="false">K15+K17+K18</f>
        <v>14000</v>
      </c>
      <c r="L20" s="396" t="n">
        <f aca="false">L15+L17+L18</f>
        <v>14000</v>
      </c>
      <c r="M20" s="397" t="n">
        <f aca="false">M15+M17+M18</f>
        <v>14000</v>
      </c>
      <c r="N20" s="396" t="n">
        <f aca="false">N15+N17+N18</f>
        <v>14000</v>
      </c>
      <c r="O20" s="396" t="n">
        <f aca="false">O15+O17+O18</f>
        <v>14000</v>
      </c>
      <c r="P20" s="396" t="n">
        <f aca="false">P15+P17+P18</f>
        <v>14000</v>
      </c>
      <c r="Q20" s="396" t="n">
        <f aca="false">Q15+Q17+Q18</f>
        <v>14000</v>
      </c>
      <c r="R20" s="397" t="n">
        <f aca="false">R15+R17+R18</f>
        <v>14000</v>
      </c>
      <c r="S20" s="396" t="n">
        <f aca="false">S15+S17+S18</f>
        <v>14000</v>
      </c>
      <c r="T20" s="396" t="n">
        <f aca="false">T15+T17+T18</f>
        <v>14000</v>
      </c>
      <c r="U20" s="396" t="n">
        <f aca="false">U15+U17+U18</f>
        <v>14000</v>
      </c>
      <c r="V20" s="396" t="n">
        <f aca="false">V15+V17+V18</f>
        <v>14000</v>
      </c>
      <c r="W20" s="397" t="n">
        <f aca="false">W15+W17+W18</f>
        <v>14000</v>
      </c>
      <c r="X20" s="396" t="n">
        <f aca="false">X15+X17+X18</f>
        <v>14000</v>
      </c>
      <c r="Y20" s="396" t="n">
        <f aca="false">Y15+Y17+Y18</f>
        <v>14000</v>
      </c>
      <c r="Z20" s="396" t="n">
        <f aca="false">Z15+Z17+Z18</f>
        <v>14000</v>
      </c>
      <c r="AA20" s="396" t="n">
        <f aca="false">AA15+AA17+AA18</f>
        <v>14000</v>
      </c>
      <c r="AB20" s="397" t="n">
        <f aca="false">AB15+AB17+AB18</f>
        <v>14000</v>
      </c>
      <c r="AC20" s="396" t="n">
        <f aca="false">AC15+AC17+AC18</f>
        <v>14000</v>
      </c>
      <c r="AD20" s="396" t="n">
        <f aca="false">AD15+AD17+AD18</f>
        <v>14000</v>
      </c>
      <c r="AE20" s="396" t="n">
        <f aca="false">AE15+AE17+AE18</f>
        <v>14000</v>
      </c>
      <c r="AF20" s="396" t="n">
        <f aca="false">AF15+AF17+AF18</f>
        <v>14000</v>
      </c>
      <c r="AG20" s="397" t="n">
        <f aca="false">AG15+AG17+AG18</f>
        <v>14000</v>
      </c>
      <c r="AH20" s="396" t="n">
        <f aca="false">AH15+AH17+AH18</f>
        <v>14000</v>
      </c>
      <c r="AI20" s="396" t="n">
        <f aca="false">AI15+AI17+AI18</f>
        <v>8967.83737168958</v>
      </c>
      <c r="AJ20" s="396" t="n">
        <f aca="false">AJ15+AJ17+AJ18</f>
        <v>0</v>
      </c>
      <c r="AK20" s="396" t="n">
        <f aca="false">AK15+AK17+AK18</f>
        <v>0</v>
      </c>
      <c r="AL20" s="397" t="n">
        <f aca="false">AL15+AL17+AL18</f>
        <v>0</v>
      </c>
      <c r="AM20" s="396" t="n">
        <f aca="false">AM15+AM17+AM18</f>
        <v>0</v>
      </c>
      <c r="AN20" s="396" t="n">
        <f aca="false">AN15+AN17+AN18</f>
        <v>0</v>
      </c>
      <c r="AO20" s="396" t="n">
        <f aca="false">AO15+AO17+AO18</f>
        <v>0</v>
      </c>
      <c r="AP20" s="396" t="n">
        <f aca="false">AP15+AP17+AP18</f>
        <v>0</v>
      </c>
      <c r="AQ20" s="396" t="n">
        <f aca="false">AQ15+AQ17+AQ18</f>
        <v>0</v>
      </c>
    </row>
    <row r="21" customFormat="false" ht="12" hidden="false" customHeight="tru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customFormat="false" ht="24" hidden="false" customHeight="true" outlineLevel="0" collapsed="false">
      <c r="B22" s="33" t="str">
        <f aca="false">"Darlehen II"&amp;IF(Darlehen_II=0,"  ·  nicht genutzt","")</f>
        <v>Darlehen II  ·  nicht genutzt</v>
      </c>
      <c r="C22" s="35" t="s">
        <v>659</v>
      </c>
      <c r="D22" s="264"/>
      <c r="E22" s="264"/>
      <c r="F22" s="264"/>
      <c r="G22" s="264"/>
      <c r="H22" s="346"/>
      <c r="I22" s="264"/>
      <c r="J22" s="264"/>
      <c r="K22" s="264"/>
      <c r="L22" s="264"/>
      <c r="M22" s="398" t="str">
        <f aca="false">IF(Darlehen_II=0,"▸ ausgeblendet  ·  über das „+“ der Gliederung links einblenden","▸ über die Gliederung links ein-/ausklappbar")</f>
        <v>▸ ausgeblendet  ·  über das „+“ der Gliederung links einblenden</v>
      </c>
      <c r="N22" s="264"/>
      <c r="O22" s="264"/>
      <c r="P22" s="264"/>
      <c r="Q22" s="264"/>
      <c r="R22" s="346"/>
      <c r="S22" s="264"/>
      <c r="T22" s="264"/>
      <c r="U22" s="264"/>
      <c r="V22" s="264"/>
      <c r="W22" s="346"/>
      <c r="X22" s="264"/>
      <c r="Y22" s="264"/>
      <c r="Z22" s="264"/>
      <c r="AA22" s="264"/>
      <c r="AB22" s="346"/>
      <c r="AC22" s="264"/>
      <c r="AD22" s="264"/>
      <c r="AE22" s="264"/>
      <c r="AF22" s="264"/>
      <c r="AG22" s="346"/>
      <c r="AH22" s="264"/>
      <c r="AI22" s="264"/>
      <c r="AJ22" s="264"/>
      <c r="AK22" s="264"/>
      <c r="AL22" s="346"/>
      <c r="AM22" s="264"/>
      <c r="AN22" s="264"/>
      <c r="AO22" s="264"/>
      <c r="AP22" s="264"/>
      <c r="AQ22" s="264"/>
    </row>
    <row r="23" customFormat="false" ht="15.75" hidden="true" customHeight="true" outlineLevel="1" collapsed="false">
      <c r="B23" s="72" t="s">
        <v>1132</v>
      </c>
      <c r="C23" s="347" t="s">
        <v>753</v>
      </c>
      <c r="D23" s="206" t="n">
        <f aca="false">Darlehen_II</f>
        <v>0</v>
      </c>
      <c r="E23" s="206" t="n">
        <f aca="false">D30</f>
        <v>0</v>
      </c>
      <c r="F23" s="206" t="n">
        <f aca="false">E30</f>
        <v>0</v>
      </c>
      <c r="G23" s="206" t="n">
        <f aca="false">F30</f>
        <v>0</v>
      </c>
      <c r="H23" s="348" t="n">
        <f aca="false">G30</f>
        <v>0</v>
      </c>
      <c r="I23" s="206" t="n">
        <f aca="false">H30</f>
        <v>0</v>
      </c>
      <c r="J23" s="206" t="n">
        <f aca="false">I30</f>
        <v>0</v>
      </c>
      <c r="K23" s="206" t="n">
        <f aca="false">J30</f>
        <v>0</v>
      </c>
      <c r="L23" s="206" t="n">
        <f aca="false">K30</f>
        <v>0</v>
      </c>
      <c r="M23" s="348" t="n">
        <f aca="false">L30</f>
        <v>0</v>
      </c>
      <c r="N23" s="206" t="n">
        <f aca="false">M30</f>
        <v>0</v>
      </c>
      <c r="O23" s="206" t="n">
        <f aca="false">N30</f>
        <v>0</v>
      </c>
      <c r="P23" s="206" t="n">
        <f aca="false">O30</f>
        <v>0</v>
      </c>
      <c r="Q23" s="206" t="n">
        <f aca="false">P30</f>
        <v>0</v>
      </c>
      <c r="R23" s="348" t="n">
        <f aca="false">Q30</f>
        <v>0</v>
      </c>
      <c r="S23" s="206" t="n">
        <f aca="false">R30</f>
        <v>0</v>
      </c>
      <c r="T23" s="206" t="n">
        <f aca="false">S30</f>
        <v>0</v>
      </c>
      <c r="U23" s="206" t="n">
        <f aca="false">T30</f>
        <v>0</v>
      </c>
      <c r="V23" s="206" t="n">
        <f aca="false">U30</f>
        <v>0</v>
      </c>
      <c r="W23" s="348" t="n">
        <f aca="false">V30</f>
        <v>0</v>
      </c>
      <c r="X23" s="206" t="n">
        <f aca="false">W30</f>
        <v>0</v>
      </c>
      <c r="Y23" s="206" t="n">
        <f aca="false">X30</f>
        <v>0</v>
      </c>
      <c r="Z23" s="206" t="n">
        <f aca="false">Y30</f>
        <v>0</v>
      </c>
      <c r="AA23" s="206" t="n">
        <f aca="false">Z30</f>
        <v>0</v>
      </c>
      <c r="AB23" s="348" t="n">
        <f aca="false">AA30</f>
        <v>0</v>
      </c>
      <c r="AC23" s="206" t="n">
        <f aca="false">AB30</f>
        <v>0</v>
      </c>
      <c r="AD23" s="206" t="n">
        <f aca="false">AC30</f>
        <v>0</v>
      </c>
      <c r="AE23" s="206" t="n">
        <f aca="false">AD30</f>
        <v>0</v>
      </c>
      <c r="AF23" s="206" t="n">
        <f aca="false">AE30</f>
        <v>0</v>
      </c>
      <c r="AG23" s="348" t="n">
        <f aca="false">AF30</f>
        <v>0</v>
      </c>
      <c r="AH23" s="206" t="n">
        <f aca="false">AG30</f>
        <v>0</v>
      </c>
      <c r="AI23" s="206" t="n">
        <f aca="false">AH30</f>
        <v>0</v>
      </c>
      <c r="AJ23" s="206" t="n">
        <f aca="false">AI30</f>
        <v>0</v>
      </c>
      <c r="AK23" s="206" t="n">
        <f aca="false">AJ30</f>
        <v>0</v>
      </c>
      <c r="AL23" s="348" t="n">
        <f aca="false">AK30</f>
        <v>0</v>
      </c>
      <c r="AM23" s="206" t="n">
        <f aca="false">AL30</f>
        <v>0</v>
      </c>
      <c r="AN23" s="206" t="n">
        <f aca="false">AM30</f>
        <v>0</v>
      </c>
      <c r="AO23" s="206" t="n">
        <f aca="false">AN30</f>
        <v>0</v>
      </c>
      <c r="AP23" s="206" t="n">
        <f aca="false">AO30</f>
        <v>0</v>
      </c>
      <c r="AQ23" s="206" t="n">
        <f aca="false">AP30</f>
        <v>0</v>
      </c>
    </row>
    <row r="24" customFormat="false" ht="15.75" hidden="true" customHeight="true" outlineLevel="1" collapsed="false">
      <c r="B24" s="72" t="s">
        <v>1133</v>
      </c>
      <c r="C24" s="347" t="s">
        <v>765</v>
      </c>
      <c r="D24" s="114" t="n">
        <f aca="false">IF(D9&lt;=Zinsbindung_II,Zins_II,Anschlusszins_II)</f>
        <v>0.025</v>
      </c>
      <c r="E24" s="114" t="n">
        <f aca="false">IF(E9&lt;=Zinsbindung_II,Zins_II,Anschlusszins_II)</f>
        <v>0.025</v>
      </c>
      <c r="F24" s="114" t="n">
        <f aca="false">IF(F9&lt;=Zinsbindung_II,Zins_II,Anschlusszins_II)</f>
        <v>0.025</v>
      </c>
      <c r="G24" s="114" t="n">
        <f aca="false">IF(G9&lt;=Zinsbindung_II,Zins_II,Anschlusszins_II)</f>
        <v>0.025</v>
      </c>
      <c r="H24" s="371" t="n">
        <f aca="false">IF(H9&lt;=Zinsbindung_II,Zins_II,Anschlusszins_II)</f>
        <v>0.025</v>
      </c>
      <c r="I24" s="114" t="n">
        <f aca="false">IF(I9&lt;=Zinsbindung_II,Zins_II,Anschlusszins_II)</f>
        <v>0.025</v>
      </c>
      <c r="J24" s="114" t="n">
        <f aca="false">IF(J9&lt;=Zinsbindung_II,Zins_II,Anschlusszins_II)</f>
        <v>0.025</v>
      </c>
      <c r="K24" s="114" t="n">
        <f aca="false">IF(K9&lt;=Zinsbindung_II,Zins_II,Anschlusszins_II)</f>
        <v>0.025</v>
      </c>
      <c r="L24" s="114" t="n">
        <f aca="false">IF(L9&lt;=Zinsbindung_II,Zins_II,Anschlusszins_II)</f>
        <v>0.025</v>
      </c>
      <c r="M24" s="371" t="n">
        <f aca="false">IF(M9&lt;=Zinsbindung_II,Zins_II,Anschlusszins_II)</f>
        <v>0.025</v>
      </c>
      <c r="N24" s="114" t="n">
        <f aca="false">IF(N9&lt;=Zinsbindung_II,Zins_II,Anschlusszins_II)</f>
        <v>0.04</v>
      </c>
      <c r="O24" s="114" t="n">
        <f aca="false">IF(O9&lt;=Zinsbindung_II,Zins_II,Anschlusszins_II)</f>
        <v>0.04</v>
      </c>
      <c r="P24" s="114" t="n">
        <f aca="false">IF(P9&lt;=Zinsbindung_II,Zins_II,Anschlusszins_II)</f>
        <v>0.04</v>
      </c>
      <c r="Q24" s="114" t="n">
        <f aca="false">IF(Q9&lt;=Zinsbindung_II,Zins_II,Anschlusszins_II)</f>
        <v>0.04</v>
      </c>
      <c r="R24" s="371" t="n">
        <f aca="false">IF(R9&lt;=Zinsbindung_II,Zins_II,Anschlusszins_II)</f>
        <v>0.04</v>
      </c>
      <c r="S24" s="114" t="n">
        <f aca="false">IF(S9&lt;=Zinsbindung_II,Zins_II,Anschlusszins_II)</f>
        <v>0.04</v>
      </c>
      <c r="T24" s="114" t="n">
        <f aca="false">IF(T9&lt;=Zinsbindung_II,Zins_II,Anschlusszins_II)</f>
        <v>0.04</v>
      </c>
      <c r="U24" s="114" t="n">
        <f aca="false">IF(U9&lt;=Zinsbindung_II,Zins_II,Anschlusszins_II)</f>
        <v>0.04</v>
      </c>
      <c r="V24" s="114" t="n">
        <f aca="false">IF(V9&lt;=Zinsbindung_II,Zins_II,Anschlusszins_II)</f>
        <v>0.04</v>
      </c>
      <c r="W24" s="371" t="n">
        <f aca="false">IF(W9&lt;=Zinsbindung_II,Zins_II,Anschlusszins_II)</f>
        <v>0.04</v>
      </c>
      <c r="X24" s="114" t="n">
        <f aca="false">IF(X9&lt;=Zinsbindung_II,Zins_II,Anschlusszins_II)</f>
        <v>0.04</v>
      </c>
      <c r="Y24" s="114" t="n">
        <f aca="false">IF(Y9&lt;=Zinsbindung_II,Zins_II,Anschlusszins_II)</f>
        <v>0.04</v>
      </c>
      <c r="Z24" s="114" t="n">
        <f aca="false">IF(Z9&lt;=Zinsbindung_II,Zins_II,Anschlusszins_II)</f>
        <v>0.04</v>
      </c>
      <c r="AA24" s="114" t="n">
        <f aca="false">IF(AA9&lt;=Zinsbindung_II,Zins_II,Anschlusszins_II)</f>
        <v>0.04</v>
      </c>
      <c r="AB24" s="371" t="n">
        <f aca="false">IF(AB9&lt;=Zinsbindung_II,Zins_II,Anschlusszins_II)</f>
        <v>0.04</v>
      </c>
      <c r="AC24" s="114" t="n">
        <f aca="false">IF(AC9&lt;=Zinsbindung_II,Zins_II,Anschlusszins_II)</f>
        <v>0.04</v>
      </c>
      <c r="AD24" s="114" t="n">
        <f aca="false">IF(AD9&lt;=Zinsbindung_II,Zins_II,Anschlusszins_II)</f>
        <v>0.04</v>
      </c>
      <c r="AE24" s="114" t="n">
        <f aca="false">IF(AE9&lt;=Zinsbindung_II,Zins_II,Anschlusszins_II)</f>
        <v>0.04</v>
      </c>
      <c r="AF24" s="114" t="n">
        <f aca="false">IF(AF9&lt;=Zinsbindung_II,Zins_II,Anschlusszins_II)</f>
        <v>0.04</v>
      </c>
      <c r="AG24" s="371" t="n">
        <f aca="false">IF(AG9&lt;=Zinsbindung_II,Zins_II,Anschlusszins_II)</f>
        <v>0.04</v>
      </c>
      <c r="AH24" s="114" t="n">
        <f aca="false">IF(AH9&lt;=Zinsbindung_II,Zins_II,Anschlusszins_II)</f>
        <v>0.04</v>
      </c>
      <c r="AI24" s="114" t="n">
        <f aca="false">IF(AI9&lt;=Zinsbindung_II,Zins_II,Anschlusszins_II)</f>
        <v>0.04</v>
      </c>
      <c r="AJ24" s="114" t="n">
        <f aca="false">IF(AJ9&lt;=Zinsbindung_II,Zins_II,Anschlusszins_II)</f>
        <v>0.04</v>
      </c>
      <c r="AK24" s="114" t="n">
        <f aca="false">IF(AK9&lt;=Zinsbindung_II,Zins_II,Anschlusszins_II)</f>
        <v>0.04</v>
      </c>
      <c r="AL24" s="371" t="n">
        <f aca="false">IF(AL9&lt;=Zinsbindung_II,Zins_II,Anschlusszins_II)</f>
        <v>0.04</v>
      </c>
      <c r="AM24" s="114" t="n">
        <f aca="false">IF(AM9&lt;=Zinsbindung_II,Zins_II,Anschlusszins_II)</f>
        <v>0.04</v>
      </c>
      <c r="AN24" s="114" t="n">
        <f aca="false">IF(AN9&lt;=Zinsbindung_II,Zins_II,Anschlusszins_II)</f>
        <v>0.04</v>
      </c>
      <c r="AO24" s="114" t="n">
        <f aca="false">IF(AO9&lt;=Zinsbindung_II,Zins_II,Anschlusszins_II)</f>
        <v>0.04</v>
      </c>
      <c r="AP24" s="114" t="n">
        <f aca="false">IF(AP9&lt;=Zinsbindung_II,Zins_II,Anschlusszins_II)</f>
        <v>0.04</v>
      </c>
      <c r="AQ24" s="114" t="n">
        <f aca="false">IF(AQ9&lt;=Zinsbindung_II,Zins_II,Anschlusszins_II)</f>
        <v>0.04</v>
      </c>
    </row>
    <row r="25" customFormat="false" ht="15.75" hidden="true" customHeight="true" outlineLevel="1" collapsed="false">
      <c r="B25" s="72" t="s">
        <v>533</v>
      </c>
      <c r="C25" s="347" t="s">
        <v>753</v>
      </c>
      <c r="D25" s="206" t="n">
        <f aca="false">D23*D24</f>
        <v>0</v>
      </c>
      <c r="E25" s="206" t="n">
        <f aca="false">E23*E24</f>
        <v>0</v>
      </c>
      <c r="F25" s="206" t="n">
        <f aca="false">F23*F24</f>
        <v>0</v>
      </c>
      <c r="G25" s="206" t="n">
        <f aca="false">G23*G24</f>
        <v>0</v>
      </c>
      <c r="H25" s="348" t="n">
        <f aca="false">H23*H24</f>
        <v>0</v>
      </c>
      <c r="I25" s="206" t="n">
        <f aca="false">I23*I24</f>
        <v>0</v>
      </c>
      <c r="J25" s="206" t="n">
        <f aca="false">J23*J24</f>
        <v>0</v>
      </c>
      <c r="K25" s="206" t="n">
        <f aca="false">K23*K24</f>
        <v>0</v>
      </c>
      <c r="L25" s="206" t="n">
        <f aca="false">L23*L24</f>
        <v>0</v>
      </c>
      <c r="M25" s="348" t="n">
        <f aca="false">M23*M24</f>
        <v>0</v>
      </c>
      <c r="N25" s="206" t="n">
        <f aca="false">N23*N24</f>
        <v>0</v>
      </c>
      <c r="O25" s="206" t="n">
        <f aca="false">O23*O24</f>
        <v>0</v>
      </c>
      <c r="P25" s="206" t="n">
        <f aca="false">P23*P24</f>
        <v>0</v>
      </c>
      <c r="Q25" s="206" t="n">
        <f aca="false">Q23*Q24</f>
        <v>0</v>
      </c>
      <c r="R25" s="348" t="n">
        <f aca="false">R23*R24</f>
        <v>0</v>
      </c>
      <c r="S25" s="206" t="n">
        <f aca="false">S23*S24</f>
        <v>0</v>
      </c>
      <c r="T25" s="206" t="n">
        <f aca="false">T23*T24</f>
        <v>0</v>
      </c>
      <c r="U25" s="206" t="n">
        <f aca="false">U23*U24</f>
        <v>0</v>
      </c>
      <c r="V25" s="206" t="n">
        <f aca="false">V23*V24</f>
        <v>0</v>
      </c>
      <c r="W25" s="348" t="n">
        <f aca="false">W23*W24</f>
        <v>0</v>
      </c>
      <c r="X25" s="206" t="n">
        <f aca="false">X23*X24</f>
        <v>0</v>
      </c>
      <c r="Y25" s="206" t="n">
        <f aca="false">Y23*Y24</f>
        <v>0</v>
      </c>
      <c r="Z25" s="206" t="n">
        <f aca="false">Z23*Z24</f>
        <v>0</v>
      </c>
      <c r="AA25" s="206" t="n">
        <f aca="false">AA23*AA24</f>
        <v>0</v>
      </c>
      <c r="AB25" s="348" t="n">
        <f aca="false">AB23*AB24</f>
        <v>0</v>
      </c>
      <c r="AC25" s="206" t="n">
        <f aca="false">AC23*AC24</f>
        <v>0</v>
      </c>
      <c r="AD25" s="206" t="n">
        <f aca="false">AD23*AD24</f>
        <v>0</v>
      </c>
      <c r="AE25" s="206" t="n">
        <f aca="false">AE23*AE24</f>
        <v>0</v>
      </c>
      <c r="AF25" s="206" t="n">
        <f aca="false">AF23*AF24</f>
        <v>0</v>
      </c>
      <c r="AG25" s="348" t="n">
        <f aca="false">AG23*AG24</f>
        <v>0</v>
      </c>
      <c r="AH25" s="206" t="n">
        <f aca="false">AH23*AH24</f>
        <v>0</v>
      </c>
      <c r="AI25" s="206" t="n">
        <f aca="false">AI23*AI24</f>
        <v>0</v>
      </c>
      <c r="AJ25" s="206" t="n">
        <f aca="false">AJ23*AJ24</f>
        <v>0</v>
      </c>
      <c r="AK25" s="206" t="n">
        <f aca="false">AK23*AK24</f>
        <v>0</v>
      </c>
      <c r="AL25" s="348" t="n">
        <f aca="false">AL23*AL24</f>
        <v>0</v>
      </c>
      <c r="AM25" s="206" t="n">
        <f aca="false">AM23*AM24</f>
        <v>0</v>
      </c>
      <c r="AN25" s="206" t="n">
        <f aca="false">AN23*AN24</f>
        <v>0</v>
      </c>
      <c r="AO25" s="206" t="n">
        <f aca="false">AO23*AO24</f>
        <v>0</v>
      </c>
      <c r="AP25" s="206" t="n">
        <f aca="false">AP23*AP24</f>
        <v>0</v>
      </c>
      <c r="AQ25" s="206" t="n">
        <f aca="false">AQ23*AQ24</f>
        <v>0</v>
      </c>
    </row>
    <row r="26" customFormat="false" ht="15.75" hidden="true" customHeight="true" outlineLevel="1" collapsed="false">
      <c r="B26" s="72" t="s">
        <v>1134</v>
      </c>
      <c r="C26" s="347" t="s">
        <v>753</v>
      </c>
      <c r="D26" s="206" t="n">
        <f aca="false">Darlehen_II*(Zins_II+Tilgung_II)</f>
        <v>0</v>
      </c>
      <c r="E26" s="206" t="n">
        <f aca="false">Darlehen_II*(Zins_II+Tilgung_II)</f>
        <v>0</v>
      </c>
      <c r="F26" s="206" t="n">
        <f aca="false">Darlehen_II*(Zins_II+Tilgung_II)</f>
        <v>0</v>
      </c>
      <c r="G26" s="206" t="n">
        <f aca="false">Darlehen_II*(Zins_II+Tilgung_II)</f>
        <v>0</v>
      </c>
      <c r="H26" s="348" t="n">
        <f aca="false">Darlehen_II*(Zins_II+Tilgung_II)</f>
        <v>0</v>
      </c>
      <c r="I26" s="206" t="n">
        <f aca="false">Darlehen_II*(Zins_II+Tilgung_II)</f>
        <v>0</v>
      </c>
      <c r="J26" s="206" t="n">
        <f aca="false">Darlehen_II*(Zins_II+Tilgung_II)</f>
        <v>0</v>
      </c>
      <c r="K26" s="206" t="n">
        <f aca="false">Darlehen_II*(Zins_II+Tilgung_II)</f>
        <v>0</v>
      </c>
      <c r="L26" s="206" t="n">
        <f aca="false">Darlehen_II*(Zins_II+Tilgung_II)</f>
        <v>0</v>
      </c>
      <c r="M26" s="348" t="n">
        <f aca="false">Darlehen_II*(Zins_II+Tilgung_II)</f>
        <v>0</v>
      </c>
      <c r="N26" s="206" t="n">
        <f aca="false">Darlehen_II*(Zins_II+Tilgung_II)</f>
        <v>0</v>
      </c>
      <c r="O26" s="206" t="n">
        <f aca="false">Darlehen_II*(Zins_II+Tilgung_II)</f>
        <v>0</v>
      </c>
      <c r="P26" s="206" t="n">
        <f aca="false">Darlehen_II*(Zins_II+Tilgung_II)</f>
        <v>0</v>
      </c>
      <c r="Q26" s="206" t="n">
        <f aca="false">Darlehen_II*(Zins_II+Tilgung_II)</f>
        <v>0</v>
      </c>
      <c r="R26" s="348" t="n">
        <f aca="false">Darlehen_II*(Zins_II+Tilgung_II)</f>
        <v>0</v>
      </c>
      <c r="S26" s="206" t="n">
        <f aca="false">Darlehen_II*(Zins_II+Tilgung_II)</f>
        <v>0</v>
      </c>
      <c r="T26" s="206" t="n">
        <f aca="false">Darlehen_II*(Zins_II+Tilgung_II)</f>
        <v>0</v>
      </c>
      <c r="U26" s="206" t="n">
        <f aca="false">Darlehen_II*(Zins_II+Tilgung_II)</f>
        <v>0</v>
      </c>
      <c r="V26" s="206" t="n">
        <f aca="false">Darlehen_II*(Zins_II+Tilgung_II)</f>
        <v>0</v>
      </c>
      <c r="W26" s="348" t="n">
        <f aca="false">Darlehen_II*(Zins_II+Tilgung_II)</f>
        <v>0</v>
      </c>
      <c r="X26" s="206" t="n">
        <f aca="false">Darlehen_II*(Zins_II+Tilgung_II)</f>
        <v>0</v>
      </c>
      <c r="Y26" s="206" t="n">
        <f aca="false">Darlehen_II*(Zins_II+Tilgung_II)</f>
        <v>0</v>
      </c>
      <c r="Z26" s="206" t="n">
        <f aca="false">Darlehen_II*(Zins_II+Tilgung_II)</f>
        <v>0</v>
      </c>
      <c r="AA26" s="206" t="n">
        <f aca="false">Darlehen_II*(Zins_II+Tilgung_II)</f>
        <v>0</v>
      </c>
      <c r="AB26" s="348" t="n">
        <f aca="false">Darlehen_II*(Zins_II+Tilgung_II)</f>
        <v>0</v>
      </c>
      <c r="AC26" s="206" t="n">
        <f aca="false">Darlehen_II*(Zins_II+Tilgung_II)</f>
        <v>0</v>
      </c>
      <c r="AD26" s="206" t="n">
        <f aca="false">Darlehen_II*(Zins_II+Tilgung_II)</f>
        <v>0</v>
      </c>
      <c r="AE26" s="206" t="n">
        <f aca="false">Darlehen_II*(Zins_II+Tilgung_II)</f>
        <v>0</v>
      </c>
      <c r="AF26" s="206" t="n">
        <f aca="false">Darlehen_II*(Zins_II+Tilgung_II)</f>
        <v>0</v>
      </c>
      <c r="AG26" s="348" t="n">
        <f aca="false">Darlehen_II*(Zins_II+Tilgung_II)</f>
        <v>0</v>
      </c>
      <c r="AH26" s="206" t="n">
        <f aca="false">Darlehen_II*(Zins_II+Tilgung_II)</f>
        <v>0</v>
      </c>
      <c r="AI26" s="206" t="n">
        <f aca="false">Darlehen_II*(Zins_II+Tilgung_II)</f>
        <v>0</v>
      </c>
      <c r="AJ26" s="206" t="n">
        <f aca="false">Darlehen_II*(Zins_II+Tilgung_II)</f>
        <v>0</v>
      </c>
      <c r="AK26" s="206" t="n">
        <f aca="false">Darlehen_II*(Zins_II+Tilgung_II)</f>
        <v>0</v>
      </c>
      <c r="AL26" s="348" t="n">
        <f aca="false">Darlehen_II*(Zins_II+Tilgung_II)</f>
        <v>0</v>
      </c>
      <c r="AM26" s="206" t="n">
        <f aca="false">Darlehen_II*(Zins_II+Tilgung_II)</f>
        <v>0</v>
      </c>
      <c r="AN26" s="206" t="n">
        <f aca="false">Darlehen_II*(Zins_II+Tilgung_II)</f>
        <v>0</v>
      </c>
      <c r="AO26" s="206" t="n">
        <f aca="false">Darlehen_II*(Zins_II+Tilgung_II)</f>
        <v>0</v>
      </c>
      <c r="AP26" s="206" t="n">
        <f aca="false">Darlehen_II*(Zins_II+Tilgung_II)</f>
        <v>0</v>
      </c>
      <c r="AQ26" s="206" t="n">
        <f aca="false">Darlehen_II*(Zins_II+Tilgung_II)</f>
        <v>0</v>
      </c>
    </row>
    <row r="27" customFormat="false" ht="15.75" hidden="true" customHeight="true" outlineLevel="1" collapsed="false">
      <c r="B27" s="72" t="s">
        <v>1135</v>
      </c>
      <c r="C27" s="347" t="s">
        <v>753</v>
      </c>
      <c r="D27" s="206" t="n">
        <f aca="false">IF(D9&lt;=Tilgungsfrei_II,0,MIN(D23,MAX(0,D26-D25)))</f>
        <v>0</v>
      </c>
      <c r="E27" s="206" t="n">
        <f aca="false">IF(E9&lt;=Tilgungsfrei_II,0,MIN(E23,MAX(0,E26-E25)))</f>
        <v>0</v>
      </c>
      <c r="F27" s="206" t="n">
        <f aca="false">IF(F9&lt;=Tilgungsfrei_II,0,MIN(F23,MAX(0,F26-F25)))</f>
        <v>0</v>
      </c>
      <c r="G27" s="206" t="n">
        <f aca="false">IF(G9&lt;=Tilgungsfrei_II,0,MIN(G23,MAX(0,G26-G25)))</f>
        <v>0</v>
      </c>
      <c r="H27" s="348" t="n">
        <f aca="false">IF(H9&lt;=Tilgungsfrei_II,0,MIN(H23,MAX(0,H26-H25)))</f>
        <v>0</v>
      </c>
      <c r="I27" s="206" t="n">
        <f aca="false">IF(I9&lt;=Tilgungsfrei_II,0,MIN(I23,MAX(0,I26-I25)))</f>
        <v>0</v>
      </c>
      <c r="J27" s="206" t="n">
        <f aca="false">IF(J9&lt;=Tilgungsfrei_II,0,MIN(J23,MAX(0,J26-J25)))</f>
        <v>0</v>
      </c>
      <c r="K27" s="206" t="n">
        <f aca="false">IF(K9&lt;=Tilgungsfrei_II,0,MIN(K23,MAX(0,K26-K25)))</f>
        <v>0</v>
      </c>
      <c r="L27" s="206" t="n">
        <f aca="false">IF(L9&lt;=Tilgungsfrei_II,0,MIN(L23,MAX(0,L26-L25)))</f>
        <v>0</v>
      </c>
      <c r="M27" s="348" t="n">
        <f aca="false">IF(M9&lt;=Tilgungsfrei_II,0,MIN(M23,MAX(0,M26-M25)))</f>
        <v>0</v>
      </c>
      <c r="N27" s="206" t="n">
        <f aca="false">IF(N9&lt;=Tilgungsfrei_II,0,MIN(N23,MAX(0,N26-N25)))</f>
        <v>0</v>
      </c>
      <c r="O27" s="206" t="n">
        <f aca="false">IF(O9&lt;=Tilgungsfrei_II,0,MIN(O23,MAX(0,O26-O25)))</f>
        <v>0</v>
      </c>
      <c r="P27" s="206" t="n">
        <f aca="false">IF(P9&lt;=Tilgungsfrei_II,0,MIN(P23,MAX(0,P26-P25)))</f>
        <v>0</v>
      </c>
      <c r="Q27" s="206" t="n">
        <f aca="false">IF(Q9&lt;=Tilgungsfrei_II,0,MIN(Q23,MAX(0,Q26-Q25)))</f>
        <v>0</v>
      </c>
      <c r="R27" s="348" t="n">
        <f aca="false">IF(R9&lt;=Tilgungsfrei_II,0,MIN(R23,MAX(0,R26-R25)))</f>
        <v>0</v>
      </c>
      <c r="S27" s="206" t="n">
        <f aca="false">IF(S9&lt;=Tilgungsfrei_II,0,MIN(S23,MAX(0,S26-S25)))</f>
        <v>0</v>
      </c>
      <c r="T27" s="206" t="n">
        <f aca="false">IF(T9&lt;=Tilgungsfrei_II,0,MIN(T23,MAX(0,T26-T25)))</f>
        <v>0</v>
      </c>
      <c r="U27" s="206" t="n">
        <f aca="false">IF(U9&lt;=Tilgungsfrei_II,0,MIN(U23,MAX(0,U26-U25)))</f>
        <v>0</v>
      </c>
      <c r="V27" s="206" t="n">
        <f aca="false">IF(V9&lt;=Tilgungsfrei_II,0,MIN(V23,MAX(0,V26-V25)))</f>
        <v>0</v>
      </c>
      <c r="W27" s="348" t="n">
        <f aca="false">IF(W9&lt;=Tilgungsfrei_II,0,MIN(W23,MAX(0,W26-W25)))</f>
        <v>0</v>
      </c>
      <c r="X27" s="206" t="n">
        <f aca="false">IF(X9&lt;=Tilgungsfrei_II,0,MIN(X23,MAX(0,X26-X25)))</f>
        <v>0</v>
      </c>
      <c r="Y27" s="206" t="n">
        <f aca="false">IF(Y9&lt;=Tilgungsfrei_II,0,MIN(Y23,MAX(0,Y26-Y25)))</f>
        <v>0</v>
      </c>
      <c r="Z27" s="206" t="n">
        <f aca="false">IF(Z9&lt;=Tilgungsfrei_II,0,MIN(Z23,MAX(0,Z26-Z25)))</f>
        <v>0</v>
      </c>
      <c r="AA27" s="206" t="n">
        <f aca="false">IF(AA9&lt;=Tilgungsfrei_II,0,MIN(AA23,MAX(0,AA26-AA25)))</f>
        <v>0</v>
      </c>
      <c r="AB27" s="348" t="n">
        <f aca="false">IF(AB9&lt;=Tilgungsfrei_II,0,MIN(AB23,MAX(0,AB26-AB25)))</f>
        <v>0</v>
      </c>
      <c r="AC27" s="206" t="n">
        <f aca="false">IF(AC9&lt;=Tilgungsfrei_II,0,MIN(AC23,MAX(0,AC26-AC25)))</f>
        <v>0</v>
      </c>
      <c r="AD27" s="206" t="n">
        <f aca="false">IF(AD9&lt;=Tilgungsfrei_II,0,MIN(AD23,MAX(0,AD26-AD25)))</f>
        <v>0</v>
      </c>
      <c r="AE27" s="206" t="n">
        <f aca="false">IF(AE9&lt;=Tilgungsfrei_II,0,MIN(AE23,MAX(0,AE26-AE25)))</f>
        <v>0</v>
      </c>
      <c r="AF27" s="206" t="n">
        <f aca="false">IF(AF9&lt;=Tilgungsfrei_II,0,MIN(AF23,MAX(0,AF26-AF25)))</f>
        <v>0</v>
      </c>
      <c r="AG27" s="348" t="n">
        <f aca="false">IF(AG9&lt;=Tilgungsfrei_II,0,MIN(AG23,MAX(0,AG26-AG25)))</f>
        <v>0</v>
      </c>
      <c r="AH27" s="206" t="n">
        <f aca="false">IF(AH9&lt;=Tilgungsfrei_II,0,MIN(AH23,MAX(0,AH26-AH25)))</f>
        <v>0</v>
      </c>
      <c r="AI27" s="206" t="n">
        <f aca="false">IF(AI9&lt;=Tilgungsfrei_II,0,MIN(AI23,MAX(0,AI26-AI25)))</f>
        <v>0</v>
      </c>
      <c r="AJ27" s="206" t="n">
        <f aca="false">IF(AJ9&lt;=Tilgungsfrei_II,0,MIN(AJ23,MAX(0,AJ26-AJ25)))</f>
        <v>0</v>
      </c>
      <c r="AK27" s="206" t="n">
        <f aca="false">IF(AK9&lt;=Tilgungsfrei_II,0,MIN(AK23,MAX(0,AK26-AK25)))</f>
        <v>0</v>
      </c>
      <c r="AL27" s="348" t="n">
        <f aca="false">IF(AL9&lt;=Tilgungsfrei_II,0,MIN(AL23,MAX(0,AL26-AL25)))</f>
        <v>0</v>
      </c>
      <c r="AM27" s="206" t="n">
        <f aca="false">IF(AM9&lt;=Tilgungsfrei_II,0,MIN(AM23,MAX(0,AM26-AM25)))</f>
        <v>0</v>
      </c>
      <c r="AN27" s="206" t="n">
        <f aca="false">IF(AN9&lt;=Tilgungsfrei_II,0,MIN(AN23,MAX(0,AN26-AN25)))</f>
        <v>0</v>
      </c>
      <c r="AO27" s="206" t="n">
        <f aca="false">IF(AO9&lt;=Tilgungsfrei_II,0,MIN(AO23,MAX(0,AO26-AO25)))</f>
        <v>0</v>
      </c>
      <c r="AP27" s="206" t="n">
        <f aca="false">IF(AP9&lt;=Tilgungsfrei_II,0,MIN(AP23,MAX(0,AP26-AP25)))</f>
        <v>0</v>
      </c>
      <c r="AQ27" s="206" t="n">
        <f aca="false">IF(AQ9&lt;=Tilgungsfrei_II,0,MIN(AQ23,MAX(0,AQ26-AQ25)))</f>
        <v>0</v>
      </c>
    </row>
    <row r="28" customFormat="false" ht="15.75" hidden="true" customHeight="true" outlineLevel="1" collapsed="false">
      <c r="B28" s="72" t="s">
        <v>1136</v>
      </c>
      <c r="C28" s="347" t="s">
        <v>753</v>
      </c>
      <c r="D28" s="206" t="n">
        <f aca="false">MAX(0,MIN(D23-D27,Sondertilgung_II))</f>
        <v>0</v>
      </c>
      <c r="E28" s="206" t="n">
        <f aca="false">MAX(0,MIN(E23-E27,Sondertilgung_II))</f>
        <v>0</v>
      </c>
      <c r="F28" s="206" t="n">
        <f aca="false">MAX(0,MIN(F23-F27,Sondertilgung_II))</f>
        <v>0</v>
      </c>
      <c r="G28" s="206" t="n">
        <f aca="false">MAX(0,MIN(G23-G27,Sondertilgung_II))</f>
        <v>0</v>
      </c>
      <c r="H28" s="348" t="n">
        <f aca="false">MAX(0,MIN(H23-H27,Sondertilgung_II))</f>
        <v>0</v>
      </c>
      <c r="I28" s="206" t="n">
        <f aca="false">MAX(0,MIN(I23-I27,Sondertilgung_II))</f>
        <v>0</v>
      </c>
      <c r="J28" s="206" t="n">
        <f aca="false">MAX(0,MIN(J23-J27,Sondertilgung_II))</f>
        <v>0</v>
      </c>
      <c r="K28" s="206" t="n">
        <f aca="false">MAX(0,MIN(K23-K27,Sondertilgung_II))</f>
        <v>0</v>
      </c>
      <c r="L28" s="206" t="n">
        <f aca="false">MAX(0,MIN(L23-L27,Sondertilgung_II))</f>
        <v>0</v>
      </c>
      <c r="M28" s="348" t="n">
        <f aca="false">MAX(0,MIN(M23-M27,Sondertilgung_II))</f>
        <v>0</v>
      </c>
      <c r="N28" s="206" t="n">
        <f aca="false">MAX(0,MIN(N23-N27,Sondertilgung_II))</f>
        <v>0</v>
      </c>
      <c r="O28" s="206" t="n">
        <f aca="false">MAX(0,MIN(O23-O27,Sondertilgung_II))</f>
        <v>0</v>
      </c>
      <c r="P28" s="206" t="n">
        <f aca="false">MAX(0,MIN(P23-P27,Sondertilgung_II))</f>
        <v>0</v>
      </c>
      <c r="Q28" s="206" t="n">
        <f aca="false">MAX(0,MIN(Q23-Q27,Sondertilgung_II))</f>
        <v>0</v>
      </c>
      <c r="R28" s="348" t="n">
        <f aca="false">MAX(0,MIN(R23-R27,Sondertilgung_II))</f>
        <v>0</v>
      </c>
      <c r="S28" s="206" t="n">
        <f aca="false">MAX(0,MIN(S23-S27,Sondertilgung_II))</f>
        <v>0</v>
      </c>
      <c r="T28" s="206" t="n">
        <f aca="false">MAX(0,MIN(T23-T27,Sondertilgung_II))</f>
        <v>0</v>
      </c>
      <c r="U28" s="206" t="n">
        <f aca="false">MAX(0,MIN(U23-U27,Sondertilgung_II))</f>
        <v>0</v>
      </c>
      <c r="V28" s="206" t="n">
        <f aca="false">MAX(0,MIN(V23-V27,Sondertilgung_II))</f>
        <v>0</v>
      </c>
      <c r="W28" s="348" t="n">
        <f aca="false">MAX(0,MIN(W23-W27,Sondertilgung_II))</f>
        <v>0</v>
      </c>
      <c r="X28" s="206" t="n">
        <f aca="false">MAX(0,MIN(X23-X27,Sondertilgung_II))</f>
        <v>0</v>
      </c>
      <c r="Y28" s="206" t="n">
        <f aca="false">MAX(0,MIN(Y23-Y27,Sondertilgung_II))</f>
        <v>0</v>
      </c>
      <c r="Z28" s="206" t="n">
        <f aca="false">MAX(0,MIN(Z23-Z27,Sondertilgung_II))</f>
        <v>0</v>
      </c>
      <c r="AA28" s="206" t="n">
        <f aca="false">MAX(0,MIN(AA23-AA27,Sondertilgung_II))</f>
        <v>0</v>
      </c>
      <c r="AB28" s="348" t="n">
        <f aca="false">MAX(0,MIN(AB23-AB27,Sondertilgung_II))</f>
        <v>0</v>
      </c>
      <c r="AC28" s="206" t="n">
        <f aca="false">MAX(0,MIN(AC23-AC27,Sondertilgung_II))</f>
        <v>0</v>
      </c>
      <c r="AD28" s="206" t="n">
        <f aca="false">MAX(0,MIN(AD23-AD27,Sondertilgung_II))</f>
        <v>0</v>
      </c>
      <c r="AE28" s="206" t="n">
        <f aca="false">MAX(0,MIN(AE23-AE27,Sondertilgung_II))</f>
        <v>0</v>
      </c>
      <c r="AF28" s="206" t="n">
        <f aca="false">MAX(0,MIN(AF23-AF27,Sondertilgung_II))</f>
        <v>0</v>
      </c>
      <c r="AG28" s="348" t="n">
        <f aca="false">MAX(0,MIN(AG23-AG27,Sondertilgung_II))</f>
        <v>0</v>
      </c>
      <c r="AH28" s="206" t="n">
        <f aca="false">MAX(0,MIN(AH23-AH27,Sondertilgung_II))</f>
        <v>0</v>
      </c>
      <c r="AI28" s="206" t="n">
        <f aca="false">MAX(0,MIN(AI23-AI27,Sondertilgung_II))</f>
        <v>0</v>
      </c>
      <c r="AJ28" s="206" t="n">
        <f aca="false">MAX(0,MIN(AJ23-AJ27,Sondertilgung_II))</f>
        <v>0</v>
      </c>
      <c r="AK28" s="206" t="n">
        <f aca="false">MAX(0,MIN(AK23-AK27,Sondertilgung_II))</f>
        <v>0</v>
      </c>
      <c r="AL28" s="348" t="n">
        <f aca="false">MAX(0,MIN(AL23-AL27,Sondertilgung_II))</f>
        <v>0</v>
      </c>
      <c r="AM28" s="206" t="n">
        <f aca="false">MAX(0,MIN(AM23-AM27,Sondertilgung_II))</f>
        <v>0</v>
      </c>
      <c r="AN28" s="206" t="n">
        <f aca="false">MAX(0,MIN(AN23-AN27,Sondertilgung_II))</f>
        <v>0</v>
      </c>
      <c r="AO28" s="206" t="n">
        <f aca="false">MAX(0,MIN(AO23-AO27,Sondertilgung_II))</f>
        <v>0</v>
      </c>
      <c r="AP28" s="206" t="n">
        <f aca="false">MAX(0,MIN(AP23-AP27,Sondertilgung_II))</f>
        <v>0</v>
      </c>
      <c r="AQ28" s="206" t="n">
        <f aca="false">MAX(0,MIN(AQ23-AQ27,Sondertilgung_II))</f>
        <v>0</v>
      </c>
    </row>
    <row r="29" customFormat="false" ht="15.75" hidden="true" customHeight="true" outlineLevel="1" collapsed="false">
      <c r="B29" s="72" t="s">
        <v>1139</v>
      </c>
      <c r="C29" s="347" t="s">
        <v>753</v>
      </c>
      <c r="D29" s="206" t="n">
        <f aca="false">IF(D9=1,MAX(0,MIN(Darlehen_II*Tilgungszuschuss_II,D23-D27-D28)),0)</f>
        <v>0</v>
      </c>
      <c r="E29" s="206" t="n">
        <f aca="false">IF(E9=1,MAX(0,MIN(Darlehen_II*Tilgungszuschuss_II,E23-E27-E28)),0)</f>
        <v>0</v>
      </c>
      <c r="F29" s="206" t="n">
        <f aca="false">IF(F9=1,MAX(0,MIN(Darlehen_II*Tilgungszuschuss_II,F23-F27-F28)),0)</f>
        <v>0</v>
      </c>
      <c r="G29" s="206" t="n">
        <f aca="false">IF(G9=1,MAX(0,MIN(Darlehen_II*Tilgungszuschuss_II,G23-G27-G28)),0)</f>
        <v>0</v>
      </c>
      <c r="H29" s="348" t="n">
        <f aca="false">IF(H9=1,MAX(0,MIN(Darlehen_II*Tilgungszuschuss_II,H23-H27-H28)),0)</f>
        <v>0</v>
      </c>
      <c r="I29" s="206" t="n">
        <f aca="false">IF(I9=1,MAX(0,MIN(Darlehen_II*Tilgungszuschuss_II,I23-I27-I28)),0)</f>
        <v>0</v>
      </c>
      <c r="J29" s="206" t="n">
        <f aca="false">IF(J9=1,MAX(0,MIN(Darlehen_II*Tilgungszuschuss_II,J23-J27-J28)),0)</f>
        <v>0</v>
      </c>
      <c r="K29" s="206" t="n">
        <f aca="false">IF(K9=1,MAX(0,MIN(Darlehen_II*Tilgungszuschuss_II,K23-K27-K28)),0)</f>
        <v>0</v>
      </c>
      <c r="L29" s="206" t="n">
        <f aca="false">IF(L9=1,MAX(0,MIN(Darlehen_II*Tilgungszuschuss_II,L23-L27-L28)),0)</f>
        <v>0</v>
      </c>
      <c r="M29" s="348" t="n">
        <f aca="false">IF(M9=1,MAX(0,MIN(Darlehen_II*Tilgungszuschuss_II,M23-M27-M28)),0)</f>
        <v>0</v>
      </c>
      <c r="N29" s="206" t="n">
        <f aca="false">IF(N9=1,MAX(0,MIN(Darlehen_II*Tilgungszuschuss_II,N23-N27-N28)),0)</f>
        <v>0</v>
      </c>
      <c r="O29" s="206" t="n">
        <f aca="false">IF(O9=1,MAX(0,MIN(Darlehen_II*Tilgungszuschuss_II,O23-O27-O28)),0)</f>
        <v>0</v>
      </c>
      <c r="P29" s="206" t="n">
        <f aca="false">IF(P9=1,MAX(0,MIN(Darlehen_II*Tilgungszuschuss_II,P23-P27-P28)),0)</f>
        <v>0</v>
      </c>
      <c r="Q29" s="206" t="n">
        <f aca="false">IF(Q9=1,MAX(0,MIN(Darlehen_II*Tilgungszuschuss_II,Q23-Q27-Q28)),0)</f>
        <v>0</v>
      </c>
      <c r="R29" s="348" t="n">
        <f aca="false">IF(R9=1,MAX(0,MIN(Darlehen_II*Tilgungszuschuss_II,R23-R27-R28)),0)</f>
        <v>0</v>
      </c>
      <c r="S29" s="206" t="n">
        <f aca="false">IF(S9=1,MAX(0,MIN(Darlehen_II*Tilgungszuschuss_II,S23-S27-S28)),0)</f>
        <v>0</v>
      </c>
      <c r="T29" s="206" t="n">
        <f aca="false">IF(T9=1,MAX(0,MIN(Darlehen_II*Tilgungszuschuss_II,T23-T27-T28)),0)</f>
        <v>0</v>
      </c>
      <c r="U29" s="206" t="n">
        <f aca="false">IF(U9=1,MAX(0,MIN(Darlehen_II*Tilgungszuschuss_II,U23-U27-U28)),0)</f>
        <v>0</v>
      </c>
      <c r="V29" s="206" t="n">
        <f aca="false">IF(V9=1,MAX(0,MIN(Darlehen_II*Tilgungszuschuss_II,V23-V27-V28)),0)</f>
        <v>0</v>
      </c>
      <c r="W29" s="348" t="n">
        <f aca="false">IF(W9=1,MAX(0,MIN(Darlehen_II*Tilgungszuschuss_II,W23-W27-W28)),0)</f>
        <v>0</v>
      </c>
      <c r="X29" s="206" t="n">
        <f aca="false">IF(X9=1,MAX(0,MIN(Darlehen_II*Tilgungszuschuss_II,X23-X27-X28)),0)</f>
        <v>0</v>
      </c>
      <c r="Y29" s="206" t="n">
        <f aca="false">IF(Y9=1,MAX(0,MIN(Darlehen_II*Tilgungszuschuss_II,Y23-Y27-Y28)),0)</f>
        <v>0</v>
      </c>
      <c r="Z29" s="206" t="n">
        <f aca="false">IF(Z9=1,MAX(0,MIN(Darlehen_II*Tilgungszuschuss_II,Z23-Z27-Z28)),0)</f>
        <v>0</v>
      </c>
      <c r="AA29" s="206" t="n">
        <f aca="false">IF(AA9=1,MAX(0,MIN(Darlehen_II*Tilgungszuschuss_II,AA23-AA27-AA28)),0)</f>
        <v>0</v>
      </c>
      <c r="AB29" s="348" t="n">
        <f aca="false">IF(AB9=1,MAX(0,MIN(Darlehen_II*Tilgungszuschuss_II,AB23-AB27-AB28)),0)</f>
        <v>0</v>
      </c>
      <c r="AC29" s="206" t="n">
        <f aca="false">IF(AC9=1,MAX(0,MIN(Darlehen_II*Tilgungszuschuss_II,AC23-AC27-AC28)),0)</f>
        <v>0</v>
      </c>
      <c r="AD29" s="206" t="n">
        <f aca="false">IF(AD9=1,MAX(0,MIN(Darlehen_II*Tilgungszuschuss_II,AD23-AD27-AD28)),0)</f>
        <v>0</v>
      </c>
      <c r="AE29" s="206" t="n">
        <f aca="false">IF(AE9=1,MAX(0,MIN(Darlehen_II*Tilgungszuschuss_II,AE23-AE27-AE28)),0)</f>
        <v>0</v>
      </c>
      <c r="AF29" s="206" t="n">
        <f aca="false">IF(AF9=1,MAX(0,MIN(Darlehen_II*Tilgungszuschuss_II,AF23-AF27-AF28)),0)</f>
        <v>0</v>
      </c>
      <c r="AG29" s="348" t="n">
        <f aca="false">IF(AG9=1,MAX(0,MIN(Darlehen_II*Tilgungszuschuss_II,AG23-AG27-AG28)),0)</f>
        <v>0</v>
      </c>
      <c r="AH29" s="206" t="n">
        <f aca="false">IF(AH9=1,MAX(0,MIN(Darlehen_II*Tilgungszuschuss_II,AH23-AH27-AH28)),0)</f>
        <v>0</v>
      </c>
      <c r="AI29" s="206" t="n">
        <f aca="false">IF(AI9=1,MAX(0,MIN(Darlehen_II*Tilgungszuschuss_II,AI23-AI27-AI28)),0)</f>
        <v>0</v>
      </c>
      <c r="AJ29" s="206" t="n">
        <f aca="false">IF(AJ9=1,MAX(0,MIN(Darlehen_II*Tilgungszuschuss_II,AJ23-AJ27-AJ28)),0)</f>
        <v>0</v>
      </c>
      <c r="AK29" s="206" t="n">
        <f aca="false">IF(AK9=1,MAX(0,MIN(Darlehen_II*Tilgungszuschuss_II,AK23-AK27-AK28)),0)</f>
        <v>0</v>
      </c>
      <c r="AL29" s="348" t="n">
        <f aca="false">IF(AL9=1,MAX(0,MIN(Darlehen_II*Tilgungszuschuss_II,AL23-AL27-AL28)),0)</f>
        <v>0</v>
      </c>
      <c r="AM29" s="206" t="n">
        <f aca="false">IF(AM9=1,MAX(0,MIN(Darlehen_II*Tilgungszuschuss_II,AM23-AM27-AM28)),0)</f>
        <v>0</v>
      </c>
      <c r="AN29" s="206" t="n">
        <f aca="false">IF(AN9=1,MAX(0,MIN(Darlehen_II*Tilgungszuschuss_II,AN23-AN27-AN28)),0)</f>
        <v>0</v>
      </c>
      <c r="AO29" s="206" t="n">
        <f aca="false">IF(AO9=1,MAX(0,MIN(Darlehen_II*Tilgungszuschuss_II,AO23-AO27-AO28)),0)</f>
        <v>0</v>
      </c>
      <c r="AP29" s="206" t="n">
        <f aca="false">IF(AP9=1,MAX(0,MIN(Darlehen_II*Tilgungszuschuss_II,AP23-AP27-AP28)),0)</f>
        <v>0</v>
      </c>
      <c r="AQ29" s="206" t="n">
        <f aca="false">IF(AQ9=1,MAX(0,MIN(Darlehen_II*Tilgungszuschuss_II,AQ23-AQ27-AQ28)),0)</f>
        <v>0</v>
      </c>
    </row>
    <row r="30" customFormat="false" ht="15.75" hidden="true" customHeight="true" outlineLevel="1" collapsed="false">
      <c r="B30" s="141" t="s">
        <v>1137</v>
      </c>
      <c r="C30" s="349" t="s">
        <v>753</v>
      </c>
      <c r="D30" s="210" t="n">
        <f aca="false">MAX(0,D23-D27-D28-D29)</f>
        <v>0</v>
      </c>
      <c r="E30" s="210" t="n">
        <f aca="false">MAX(0,E23-E27-E28-E29)</f>
        <v>0</v>
      </c>
      <c r="F30" s="210" t="n">
        <f aca="false">MAX(0,F23-F27-F28-F29)</f>
        <v>0</v>
      </c>
      <c r="G30" s="210" t="n">
        <f aca="false">MAX(0,G23-G27-G28-G29)</f>
        <v>0</v>
      </c>
      <c r="H30" s="350" t="n">
        <f aca="false">MAX(0,H23-H27-H28-H29)</f>
        <v>0</v>
      </c>
      <c r="I30" s="210" t="n">
        <f aca="false">MAX(0,I23-I27-I28-I29)</f>
        <v>0</v>
      </c>
      <c r="J30" s="210" t="n">
        <f aca="false">MAX(0,J23-J27-J28-J29)</f>
        <v>0</v>
      </c>
      <c r="K30" s="210" t="n">
        <f aca="false">MAX(0,K23-K27-K28-K29)</f>
        <v>0</v>
      </c>
      <c r="L30" s="210" t="n">
        <f aca="false">MAX(0,L23-L27-L28-L29)</f>
        <v>0</v>
      </c>
      <c r="M30" s="350" t="n">
        <f aca="false">MAX(0,M23-M27-M28-M29)</f>
        <v>0</v>
      </c>
      <c r="N30" s="210" t="n">
        <f aca="false">MAX(0,N23-N27-N28-N29)</f>
        <v>0</v>
      </c>
      <c r="O30" s="210" t="n">
        <f aca="false">MAX(0,O23-O27-O28-O29)</f>
        <v>0</v>
      </c>
      <c r="P30" s="210" t="n">
        <f aca="false">MAX(0,P23-P27-P28-P29)</f>
        <v>0</v>
      </c>
      <c r="Q30" s="210" t="n">
        <f aca="false">MAX(0,Q23-Q27-Q28-Q29)</f>
        <v>0</v>
      </c>
      <c r="R30" s="350" t="n">
        <f aca="false">MAX(0,R23-R27-R28-R29)</f>
        <v>0</v>
      </c>
      <c r="S30" s="210" t="n">
        <f aca="false">MAX(0,S23-S27-S28-S29)</f>
        <v>0</v>
      </c>
      <c r="T30" s="210" t="n">
        <f aca="false">MAX(0,T23-T27-T28-T29)</f>
        <v>0</v>
      </c>
      <c r="U30" s="210" t="n">
        <f aca="false">MAX(0,U23-U27-U28-U29)</f>
        <v>0</v>
      </c>
      <c r="V30" s="210" t="n">
        <f aca="false">MAX(0,V23-V27-V28-V29)</f>
        <v>0</v>
      </c>
      <c r="W30" s="350" t="n">
        <f aca="false">MAX(0,W23-W27-W28-W29)</f>
        <v>0</v>
      </c>
      <c r="X30" s="210" t="n">
        <f aca="false">MAX(0,X23-X27-X28-X29)</f>
        <v>0</v>
      </c>
      <c r="Y30" s="210" t="n">
        <f aca="false">MAX(0,Y23-Y27-Y28-Y29)</f>
        <v>0</v>
      </c>
      <c r="Z30" s="210" t="n">
        <f aca="false">MAX(0,Z23-Z27-Z28-Z29)</f>
        <v>0</v>
      </c>
      <c r="AA30" s="210" t="n">
        <f aca="false">MAX(0,AA23-AA27-AA28-AA29)</f>
        <v>0</v>
      </c>
      <c r="AB30" s="350" t="n">
        <f aca="false">MAX(0,AB23-AB27-AB28-AB29)</f>
        <v>0</v>
      </c>
      <c r="AC30" s="210" t="n">
        <f aca="false">MAX(0,AC23-AC27-AC28-AC29)</f>
        <v>0</v>
      </c>
      <c r="AD30" s="210" t="n">
        <f aca="false">MAX(0,AD23-AD27-AD28-AD29)</f>
        <v>0</v>
      </c>
      <c r="AE30" s="210" t="n">
        <f aca="false">MAX(0,AE23-AE27-AE28-AE29)</f>
        <v>0</v>
      </c>
      <c r="AF30" s="210" t="n">
        <f aca="false">MAX(0,AF23-AF27-AF28-AF29)</f>
        <v>0</v>
      </c>
      <c r="AG30" s="350" t="n">
        <f aca="false">MAX(0,AG23-AG27-AG28-AG29)</f>
        <v>0</v>
      </c>
      <c r="AH30" s="210" t="n">
        <f aca="false">MAX(0,AH23-AH27-AH28-AH29)</f>
        <v>0</v>
      </c>
      <c r="AI30" s="210" t="n">
        <f aca="false">MAX(0,AI23-AI27-AI28-AI29)</f>
        <v>0</v>
      </c>
      <c r="AJ30" s="210" t="n">
        <f aca="false">MAX(0,AJ23-AJ27-AJ28-AJ29)</f>
        <v>0</v>
      </c>
      <c r="AK30" s="210" t="n">
        <f aca="false">MAX(0,AK23-AK27-AK28-AK29)</f>
        <v>0</v>
      </c>
      <c r="AL30" s="350" t="n">
        <f aca="false">MAX(0,AL23-AL27-AL28-AL29)</f>
        <v>0</v>
      </c>
      <c r="AM30" s="210" t="n">
        <f aca="false">MAX(0,AM23-AM27-AM28-AM29)</f>
        <v>0</v>
      </c>
      <c r="AN30" s="210" t="n">
        <f aca="false">MAX(0,AN23-AN27-AN28-AN29)</f>
        <v>0</v>
      </c>
      <c r="AO30" s="210" t="n">
        <f aca="false">MAX(0,AO23-AO27-AO28-AO29)</f>
        <v>0</v>
      </c>
      <c r="AP30" s="210" t="n">
        <f aca="false">MAX(0,AP23-AP27-AP28-AP29)</f>
        <v>0</v>
      </c>
      <c r="AQ30" s="210" t="n">
        <f aca="false">MAX(0,AQ23-AQ27-AQ28-AQ29)</f>
        <v>0</v>
      </c>
    </row>
    <row r="31" customFormat="false" ht="15.75" hidden="true" customHeight="true" outlineLevel="1" collapsed="false">
      <c r="B31" s="373" t="s">
        <v>1138</v>
      </c>
      <c r="C31" s="395" t="s">
        <v>753</v>
      </c>
      <c r="D31" s="396" t="n">
        <f aca="false">D25+D27+D28</f>
        <v>0</v>
      </c>
      <c r="E31" s="396" t="n">
        <f aca="false">E25+E27+E28</f>
        <v>0</v>
      </c>
      <c r="F31" s="396" t="n">
        <f aca="false">F25+F27+F28</f>
        <v>0</v>
      </c>
      <c r="G31" s="396" t="n">
        <f aca="false">G25+G27+G28</f>
        <v>0</v>
      </c>
      <c r="H31" s="397" t="n">
        <f aca="false">H25+H27+H28</f>
        <v>0</v>
      </c>
      <c r="I31" s="396" t="n">
        <f aca="false">I25+I27+I28</f>
        <v>0</v>
      </c>
      <c r="J31" s="396" t="n">
        <f aca="false">J25+J27+J28</f>
        <v>0</v>
      </c>
      <c r="K31" s="396" t="n">
        <f aca="false">K25+K27+K28</f>
        <v>0</v>
      </c>
      <c r="L31" s="396" t="n">
        <f aca="false">L25+L27+L28</f>
        <v>0</v>
      </c>
      <c r="M31" s="397" t="n">
        <f aca="false">M25+M27+M28</f>
        <v>0</v>
      </c>
      <c r="N31" s="396" t="n">
        <f aca="false">N25+N27+N28</f>
        <v>0</v>
      </c>
      <c r="O31" s="396" t="n">
        <f aca="false">O25+O27+O28</f>
        <v>0</v>
      </c>
      <c r="P31" s="396" t="n">
        <f aca="false">P25+P27+P28</f>
        <v>0</v>
      </c>
      <c r="Q31" s="396" t="n">
        <f aca="false">Q25+Q27+Q28</f>
        <v>0</v>
      </c>
      <c r="R31" s="397" t="n">
        <f aca="false">R25+R27+R28</f>
        <v>0</v>
      </c>
      <c r="S31" s="396" t="n">
        <f aca="false">S25+S27+S28</f>
        <v>0</v>
      </c>
      <c r="T31" s="396" t="n">
        <f aca="false">T25+T27+T28</f>
        <v>0</v>
      </c>
      <c r="U31" s="396" t="n">
        <f aca="false">U25+U27+U28</f>
        <v>0</v>
      </c>
      <c r="V31" s="396" t="n">
        <f aca="false">V25+V27+V28</f>
        <v>0</v>
      </c>
      <c r="W31" s="397" t="n">
        <f aca="false">W25+W27+W28</f>
        <v>0</v>
      </c>
      <c r="X31" s="396" t="n">
        <f aca="false">X25+X27+X28</f>
        <v>0</v>
      </c>
      <c r="Y31" s="396" t="n">
        <f aca="false">Y25+Y27+Y28</f>
        <v>0</v>
      </c>
      <c r="Z31" s="396" t="n">
        <f aca="false">Z25+Z27+Z28</f>
        <v>0</v>
      </c>
      <c r="AA31" s="396" t="n">
        <f aca="false">AA25+AA27+AA28</f>
        <v>0</v>
      </c>
      <c r="AB31" s="397" t="n">
        <f aca="false">AB25+AB27+AB28</f>
        <v>0</v>
      </c>
      <c r="AC31" s="396" t="n">
        <f aca="false">AC25+AC27+AC28</f>
        <v>0</v>
      </c>
      <c r="AD31" s="396" t="n">
        <f aca="false">AD25+AD27+AD28</f>
        <v>0</v>
      </c>
      <c r="AE31" s="396" t="n">
        <f aca="false">AE25+AE27+AE28</f>
        <v>0</v>
      </c>
      <c r="AF31" s="396" t="n">
        <f aca="false">AF25+AF27+AF28</f>
        <v>0</v>
      </c>
      <c r="AG31" s="397" t="n">
        <f aca="false">AG25+AG27+AG28</f>
        <v>0</v>
      </c>
      <c r="AH31" s="396" t="n">
        <f aca="false">AH25+AH27+AH28</f>
        <v>0</v>
      </c>
      <c r="AI31" s="396" t="n">
        <f aca="false">AI25+AI27+AI28</f>
        <v>0</v>
      </c>
      <c r="AJ31" s="396" t="n">
        <f aca="false">AJ25+AJ27+AJ28</f>
        <v>0</v>
      </c>
      <c r="AK31" s="396" t="n">
        <f aca="false">AK25+AK27+AK28</f>
        <v>0</v>
      </c>
      <c r="AL31" s="397" t="n">
        <f aca="false">AL25+AL27+AL28</f>
        <v>0</v>
      </c>
      <c r="AM31" s="396" t="n">
        <f aca="false">AM25+AM27+AM28</f>
        <v>0</v>
      </c>
      <c r="AN31" s="396" t="n">
        <f aca="false">AN25+AN27+AN28</f>
        <v>0</v>
      </c>
      <c r="AO31" s="396" t="n">
        <f aca="false">AO25+AO27+AO28</f>
        <v>0</v>
      </c>
      <c r="AP31" s="396" t="n">
        <f aca="false">AP25+AP27+AP28</f>
        <v>0</v>
      </c>
      <c r="AQ31" s="396" t="n">
        <f aca="false">AQ25+AQ27+AQ28</f>
        <v>0</v>
      </c>
    </row>
    <row r="32" customFormat="false" ht="12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customFormat="false" ht="24" hidden="false" customHeight="true" outlineLevel="0" collapsed="false">
      <c r="B33" s="33" t="s">
        <v>885</v>
      </c>
      <c r="C33" s="35" t="s">
        <v>659</v>
      </c>
      <c r="D33" s="264"/>
      <c r="E33" s="264"/>
      <c r="F33" s="264"/>
      <c r="G33" s="264"/>
      <c r="H33" s="346"/>
      <c r="I33" s="264"/>
      <c r="J33" s="264"/>
      <c r="K33" s="264"/>
      <c r="L33" s="264"/>
      <c r="M33" s="346"/>
      <c r="N33" s="264"/>
      <c r="O33" s="264"/>
      <c r="P33" s="264"/>
      <c r="Q33" s="264"/>
      <c r="R33" s="346"/>
      <c r="S33" s="264"/>
      <c r="T33" s="264"/>
      <c r="U33" s="264"/>
      <c r="V33" s="264"/>
      <c r="W33" s="346"/>
      <c r="X33" s="264"/>
      <c r="Y33" s="264"/>
      <c r="Z33" s="264"/>
      <c r="AA33" s="264"/>
      <c r="AB33" s="346"/>
      <c r="AC33" s="264"/>
      <c r="AD33" s="264"/>
      <c r="AE33" s="264"/>
      <c r="AF33" s="264"/>
      <c r="AG33" s="346"/>
      <c r="AH33" s="264"/>
      <c r="AI33" s="264"/>
      <c r="AJ33" s="264"/>
      <c r="AK33" s="264"/>
      <c r="AL33" s="346"/>
      <c r="AM33" s="264"/>
      <c r="AN33" s="264"/>
      <c r="AO33" s="264"/>
      <c r="AP33" s="264"/>
      <c r="AQ33" s="264"/>
    </row>
    <row r="34" customFormat="false" ht="15.75" hidden="false" customHeight="true" outlineLevel="0" collapsed="false">
      <c r="B34" s="72" t="s">
        <v>1132</v>
      </c>
      <c r="C34" s="347" t="s">
        <v>753</v>
      </c>
      <c r="D34" s="206" t="n">
        <f aca="false">D13+D23</f>
        <v>250000</v>
      </c>
      <c r="E34" s="206" t="n">
        <f aca="false">E13+E23</f>
        <v>245000</v>
      </c>
      <c r="F34" s="206" t="n">
        <f aca="false">F13+F23</f>
        <v>239820</v>
      </c>
      <c r="G34" s="206" t="n">
        <f aca="false">G13+G23</f>
        <v>234453.52</v>
      </c>
      <c r="H34" s="348" t="n">
        <f aca="false">H13+H23</f>
        <v>228893.84672</v>
      </c>
      <c r="I34" s="206" t="n">
        <f aca="false">I13+I23</f>
        <v>223134.02520192</v>
      </c>
      <c r="J34" s="206" t="n">
        <f aca="false">J13+J23</f>
        <v>217166.850109189</v>
      </c>
      <c r="K34" s="206" t="n">
        <f aca="false">K13+K23</f>
        <v>210984.85671312</v>
      </c>
      <c r="L34" s="206" t="n">
        <f aca="false">L13+L23</f>
        <v>204580.311554792</v>
      </c>
      <c r="M34" s="348" t="n">
        <f aca="false">M13+M23</f>
        <v>197945.202770765</v>
      </c>
      <c r="N34" s="206" t="n">
        <f aca="false">N13+N23</f>
        <v>191071.230070512</v>
      </c>
      <c r="O34" s="206" t="n">
        <f aca="false">O13+O23</f>
        <v>185669.435423685</v>
      </c>
      <c r="P34" s="206" t="n">
        <f aca="false">P13+P23</f>
        <v>180024.560017751</v>
      </c>
      <c r="Q34" s="206" t="n">
        <f aca="false">Q13+Q23</f>
        <v>174125.66521855</v>
      </c>
      <c r="R34" s="348" t="n">
        <f aca="false">R13+R23</f>
        <v>167961.320153385</v>
      </c>
      <c r="S34" s="206" t="n">
        <f aca="false">S13+S23</f>
        <v>161519.579560287</v>
      </c>
      <c r="T34" s="206" t="n">
        <f aca="false">T13+T23</f>
        <v>154787.9606405</v>
      </c>
      <c r="U34" s="206" t="n">
        <f aca="false">U13+U23</f>
        <v>147753.418869323</v>
      </c>
      <c r="V34" s="206" t="n">
        <f aca="false">V13+V23</f>
        <v>140402.322718442</v>
      </c>
      <c r="W34" s="348" t="n">
        <f aca="false">W13+W23</f>
        <v>132720.427240772</v>
      </c>
      <c r="X34" s="206" t="n">
        <f aca="false">X13+X23</f>
        <v>124692.846466607</v>
      </c>
      <c r="Y34" s="206" t="n">
        <f aca="false">Y13+Y23</f>
        <v>116304.024557604</v>
      </c>
      <c r="Z34" s="206" t="n">
        <f aca="false">Z13+Z23</f>
        <v>107537.705662696</v>
      </c>
      <c r="AA34" s="206" t="n">
        <f aca="false">AA13+AA23</f>
        <v>98376.9024175175</v>
      </c>
      <c r="AB34" s="348" t="n">
        <f aca="false">AB13+AB23</f>
        <v>88803.8630263058</v>
      </c>
      <c r="AC34" s="206" t="n">
        <f aca="false">AC13+AC23</f>
        <v>78800.0368624896</v>
      </c>
      <c r="AD34" s="206" t="n">
        <f aca="false">AD13+AD23</f>
        <v>68346.0385213016</v>
      </c>
      <c r="AE34" s="206" t="n">
        <f aca="false">AE13+AE23</f>
        <v>57421.6102547602</v>
      </c>
      <c r="AF34" s="206" t="n">
        <f aca="false">AF13+AF23</f>
        <v>46005.5827162244</v>
      </c>
      <c r="AG34" s="348" t="n">
        <f aca="false">AG13+AG23</f>
        <v>34075.8339384545</v>
      </c>
      <c r="AH34" s="206" t="n">
        <f aca="false">AH13+AH23</f>
        <v>21609.2464656849</v>
      </c>
      <c r="AI34" s="206" t="n">
        <f aca="false">AI13+AI23</f>
        <v>8581.66255664074</v>
      </c>
      <c r="AJ34" s="206" t="n">
        <f aca="false">AJ13+AJ23</f>
        <v>0</v>
      </c>
      <c r="AK34" s="206" t="n">
        <f aca="false">AK13+AK23</f>
        <v>0</v>
      </c>
      <c r="AL34" s="348" t="n">
        <f aca="false">AL13+AL23</f>
        <v>0</v>
      </c>
      <c r="AM34" s="206" t="n">
        <f aca="false">AM13+AM23</f>
        <v>0</v>
      </c>
      <c r="AN34" s="206" t="n">
        <f aca="false">AN13+AN23</f>
        <v>0</v>
      </c>
      <c r="AO34" s="206" t="n">
        <f aca="false">AO13+AO23</f>
        <v>0</v>
      </c>
      <c r="AP34" s="206" t="n">
        <f aca="false">AP13+AP23</f>
        <v>0</v>
      </c>
      <c r="AQ34" s="206" t="n">
        <f aca="false">AQ13+AQ23</f>
        <v>0</v>
      </c>
    </row>
    <row r="35" customFormat="false" ht="15.75" hidden="false" customHeight="true" outlineLevel="0" collapsed="false">
      <c r="B35" s="72" t="s">
        <v>1140</v>
      </c>
      <c r="C35" s="347" t="s">
        <v>753</v>
      </c>
      <c r="D35" s="206" t="n">
        <f aca="false">D15+D25</f>
        <v>9000</v>
      </c>
      <c r="E35" s="206" t="n">
        <f aca="false">E15+E25</f>
        <v>8820</v>
      </c>
      <c r="F35" s="206" t="n">
        <f aca="false">F15+F25</f>
        <v>8633.52</v>
      </c>
      <c r="G35" s="206" t="n">
        <f aca="false">G15+G25</f>
        <v>8440.32672</v>
      </c>
      <c r="H35" s="348" t="n">
        <f aca="false">H15+H25</f>
        <v>8240.17848192</v>
      </c>
      <c r="I35" s="206" t="n">
        <f aca="false">I15+I25</f>
        <v>8032.82490726912</v>
      </c>
      <c r="J35" s="206" t="n">
        <f aca="false">J15+J25</f>
        <v>7818.00660393081</v>
      </c>
      <c r="K35" s="206" t="n">
        <f aca="false">K15+K25</f>
        <v>7595.45484167232</v>
      </c>
      <c r="L35" s="206" t="n">
        <f aca="false">L15+L25</f>
        <v>7364.89121597252</v>
      </c>
      <c r="M35" s="348" t="n">
        <f aca="false">M15+M25</f>
        <v>7126.02729974753</v>
      </c>
      <c r="N35" s="206" t="n">
        <f aca="false">N15+N25</f>
        <v>8598.20535317305</v>
      </c>
      <c r="O35" s="206" t="n">
        <f aca="false">O15+O25</f>
        <v>8355.12459406584</v>
      </c>
      <c r="P35" s="206" t="n">
        <f aca="false">P15+P25</f>
        <v>8101.10520079881</v>
      </c>
      <c r="Q35" s="206" t="n">
        <f aca="false">Q15+Q25</f>
        <v>7835.65493483475</v>
      </c>
      <c r="R35" s="348" t="n">
        <f aca="false">R15+R25</f>
        <v>7558.25940690232</v>
      </c>
      <c r="S35" s="206" t="n">
        <f aca="false">S15+S25</f>
        <v>7268.38108021292</v>
      </c>
      <c r="T35" s="206" t="n">
        <f aca="false">T15+T25</f>
        <v>6965.4582288225</v>
      </c>
      <c r="U35" s="206" t="n">
        <f aca="false">U15+U25</f>
        <v>6648.90384911951</v>
      </c>
      <c r="V35" s="206" t="n">
        <f aca="false">V15+V25</f>
        <v>6318.10452232989</v>
      </c>
      <c r="W35" s="348" t="n">
        <f aca="false">W15+W25</f>
        <v>5972.41922583474</v>
      </c>
      <c r="X35" s="206" t="n">
        <f aca="false">X15+X25</f>
        <v>5611.1780909973</v>
      </c>
      <c r="Y35" s="206" t="n">
        <f aca="false">Y15+Y25</f>
        <v>5233.68110509218</v>
      </c>
      <c r="Z35" s="206" t="n">
        <f aca="false">Z15+Z25</f>
        <v>4839.19675482133</v>
      </c>
      <c r="AA35" s="206" t="n">
        <f aca="false">AA15+AA25</f>
        <v>4426.96060878829</v>
      </c>
      <c r="AB35" s="348" t="n">
        <f aca="false">AB15+AB25</f>
        <v>3996.17383618376</v>
      </c>
      <c r="AC35" s="206" t="n">
        <f aca="false">AC15+AC25</f>
        <v>3546.00165881203</v>
      </c>
      <c r="AD35" s="206" t="n">
        <f aca="false">AD15+AD25</f>
        <v>3075.57173345857</v>
      </c>
      <c r="AE35" s="206" t="n">
        <f aca="false">AE15+AE25</f>
        <v>2583.97246146421</v>
      </c>
      <c r="AF35" s="206" t="n">
        <f aca="false">AF15+AF25</f>
        <v>2070.2512222301</v>
      </c>
      <c r="AG35" s="348" t="n">
        <f aca="false">AG15+AG25</f>
        <v>1533.41252723045</v>
      </c>
      <c r="AH35" s="206" t="n">
        <f aca="false">AH15+AH25</f>
        <v>972.416090955821</v>
      </c>
      <c r="AI35" s="206" t="n">
        <f aca="false">AI15+AI25</f>
        <v>386.174815048833</v>
      </c>
      <c r="AJ35" s="206" t="n">
        <f aca="false">AJ15+AJ25</f>
        <v>0</v>
      </c>
      <c r="AK35" s="206" t="n">
        <f aca="false">AK15+AK25</f>
        <v>0</v>
      </c>
      <c r="AL35" s="348" t="n">
        <f aca="false">AL15+AL25</f>
        <v>0</v>
      </c>
      <c r="AM35" s="206" t="n">
        <f aca="false">AM15+AM25</f>
        <v>0</v>
      </c>
      <c r="AN35" s="206" t="n">
        <f aca="false">AN15+AN25</f>
        <v>0</v>
      </c>
      <c r="AO35" s="206" t="n">
        <f aca="false">AO15+AO25</f>
        <v>0</v>
      </c>
      <c r="AP35" s="206" t="n">
        <f aca="false">AP15+AP25</f>
        <v>0</v>
      </c>
      <c r="AQ35" s="206" t="n">
        <f aca="false">AQ15+AQ25</f>
        <v>0</v>
      </c>
    </row>
    <row r="36" customFormat="false" ht="15.75" hidden="false" customHeight="true" outlineLevel="0" collapsed="false">
      <c r="B36" s="72" t="s">
        <v>1141</v>
      </c>
      <c r="C36" s="347" t="s">
        <v>753</v>
      </c>
      <c r="D36" s="206" t="n">
        <f aca="false">D17+D18+D27+D28</f>
        <v>5000</v>
      </c>
      <c r="E36" s="206" t="n">
        <f aca="false">E17+E18+E27+E28</f>
        <v>5180</v>
      </c>
      <c r="F36" s="206" t="n">
        <f aca="false">F17+F18+F27+F28</f>
        <v>5366.48</v>
      </c>
      <c r="G36" s="206" t="n">
        <f aca="false">G17+G18+G27+G28</f>
        <v>5559.67328</v>
      </c>
      <c r="H36" s="348" t="n">
        <f aca="false">H17+H18+H27+H28</f>
        <v>5759.82151808</v>
      </c>
      <c r="I36" s="206" t="n">
        <f aca="false">I17+I18+I27+I28</f>
        <v>5967.17509273088</v>
      </c>
      <c r="J36" s="206" t="n">
        <f aca="false">J17+J18+J27+J28</f>
        <v>6181.99339606919</v>
      </c>
      <c r="K36" s="206" t="n">
        <f aca="false">K17+K18+K27+K28</f>
        <v>6404.54515832768</v>
      </c>
      <c r="L36" s="206" t="n">
        <f aca="false">L17+L18+L27+L28</f>
        <v>6635.10878402748</v>
      </c>
      <c r="M36" s="348" t="n">
        <f aca="false">M17+M18+M27+M28</f>
        <v>6873.97270025247</v>
      </c>
      <c r="N36" s="206" t="n">
        <f aca="false">N17+N18+N27+N28</f>
        <v>5401.79464682694</v>
      </c>
      <c r="O36" s="206" t="n">
        <f aca="false">O17+O18+O27+O28</f>
        <v>5644.87540593416</v>
      </c>
      <c r="P36" s="206" t="n">
        <f aca="false">P17+P18+P27+P28</f>
        <v>5898.89479920119</v>
      </c>
      <c r="Q36" s="206" t="n">
        <f aca="false">Q17+Q18+Q27+Q28</f>
        <v>6164.34506516525</v>
      </c>
      <c r="R36" s="348" t="n">
        <f aca="false">R17+R18+R27+R28</f>
        <v>6441.74059309768</v>
      </c>
      <c r="S36" s="206" t="n">
        <f aca="false">S17+S18+S27+S28</f>
        <v>6731.61891978708</v>
      </c>
      <c r="T36" s="206" t="n">
        <f aca="false">T17+T18+T27+T28</f>
        <v>7034.5417711775</v>
      </c>
      <c r="U36" s="206" t="n">
        <f aca="false">U17+U18+U27+U28</f>
        <v>7351.09615088049</v>
      </c>
      <c r="V36" s="206" t="n">
        <f aca="false">V17+V18+V27+V28</f>
        <v>7681.89547767011</v>
      </c>
      <c r="W36" s="348" t="n">
        <f aca="false">W17+W18+W27+W28</f>
        <v>8027.58077416526</v>
      </c>
      <c r="X36" s="206" t="n">
        <f aca="false">X17+X18+X27+X28</f>
        <v>8388.8219090027</v>
      </c>
      <c r="Y36" s="206" t="n">
        <f aca="false">Y17+Y18+Y27+Y28</f>
        <v>8766.31889490782</v>
      </c>
      <c r="Z36" s="206" t="n">
        <f aca="false">Z17+Z18+Z27+Z28</f>
        <v>9160.80324517867</v>
      </c>
      <c r="AA36" s="206" t="n">
        <f aca="false">AA17+AA18+AA27+AA28</f>
        <v>9573.03939121171</v>
      </c>
      <c r="AB36" s="348" t="n">
        <f aca="false">AB17+AB18+AB27+AB28</f>
        <v>10003.8261638162</v>
      </c>
      <c r="AC36" s="206" t="n">
        <f aca="false">AC17+AC18+AC27+AC28</f>
        <v>10453.998341188</v>
      </c>
      <c r="AD36" s="206" t="n">
        <f aca="false">AD17+AD18+AD27+AD28</f>
        <v>10924.4282665414</v>
      </c>
      <c r="AE36" s="206" t="n">
        <f aca="false">AE17+AE18+AE27+AE28</f>
        <v>11416.0275385358</v>
      </c>
      <c r="AF36" s="206" t="n">
        <f aca="false">AF17+AF18+AF27+AF28</f>
        <v>11929.7487777699</v>
      </c>
      <c r="AG36" s="348" t="n">
        <f aca="false">AG17+AG18+AG27+AG28</f>
        <v>12466.5874727695</v>
      </c>
      <c r="AH36" s="206" t="n">
        <f aca="false">AH17+AH18+AH27+AH28</f>
        <v>13027.5839090442</v>
      </c>
      <c r="AI36" s="206" t="n">
        <f aca="false">AI17+AI18+AI27+AI28</f>
        <v>8581.66255664074</v>
      </c>
      <c r="AJ36" s="206" t="n">
        <f aca="false">AJ17+AJ18+AJ27+AJ28</f>
        <v>0</v>
      </c>
      <c r="AK36" s="206" t="n">
        <f aca="false">AK17+AK18+AK27+AK28</f>
        <v>0</v>
      </c>
      <c r="AL36" s="348" t="n">
        <f aca="false">AL17+AL18+AL27+AL28</f>
        <v>0</v>
      </c>
      <c r="AM36" s="206" t="n">
        <f aca="false">AM17+AM18+AM27+AM28</f>
        <v>0</v>
      </c>
      <c r="AN36" s="206" t="n">
        <f aca="false">AN17+AN18+AN27+AN28</f>
        <v>0</v>
      </c>
      <c r="AO36" s="206" t="n">
        <f aca="false">AO17+AO18+AO27+AO28</f>
        <v>0</v>
      </c>
      <c r="AP36" s="206" t="n">
        <f aca="false">AP17+AP18+AP27+AP28</f>
        <v>0</v>
      </c>
      <c r="AQ36" s="206" t="n">
        <f aca="false">AQ17+AQ18+AQ27+AQ28</f>
        <v>0</v>
      </c>
    </row>
    <row r="37" customFormat="false" ht="15.75" hidden="false" customHeight="true" outlineLevel="0" collapsed="false">
      <c r="B37" s="141" t="s">
        <v>1142</v>
      </c>
      <c r="C37" s="349" t="s">
        <v>753</v>
      </c>
      <c r="D37" s="210" t="n">
        <f aca="false">D35+D36</f>
        <v>14000</v>
      </c>
      <c r="E37" s="210" t="n">
        <f aca="false">E35+E36</f>
        <v>14000</v>
      </c>
      <c r="F37" s="210" t="n">
        <f aca="false">F35+F36</f>
        <v>14000</v>
      </c>
      <c r="G37" s="210" t="n">
        <f aca="false">G35+G36</f>
        <v>14000</v>
      </c>
      <c r="H37" s="350" t="n">
        <f aca="false">H35+H36</f>
        <v>14000</v>
      </c>
      <c r="I37" s="210" t="n">
        <f aca="false">I35+I36</f>
        <v>14000</v>
      </c>
      <c r="J37" s="210" t="n">
        <f aca="false">J35+J36</f>
        <v>14000</v>
      </c>
      <c r="K37" s="210" t="n">
        <f aca="false">K35+K36</f>
        <v>14000</v>
      </c>
      <c r="L37" s="210" t="n">
        <f aca="false">L35+L36</f>
        <v>14000</v>
      </c>
      <c r="M37" s="350" t="n">
        <f aca="false">M35+M36</f>
        <v>14000</v>
      </c>
      <c r="N37" s="210" t="n">
        <f aca="false">N35+N36</f>
        <v>14000</v>
      </c>
      <c r="O37" s="210" t="n">
        <f aca="false">O35+O36</f>
        <v>14000</v>
      </c>
      <c r="P37" s="210" t="n">
        <f aca="false">P35+P36</f>
        <v>14000</v>
      </c>
      <c r="Q37" s="210" t="n">
        <f aca="false">Q35+Q36</f>
        <v>14000</v>
      </c>
      <c r="R37" s="350" t="n">
        <f aca="false">R35+R36</f>
        <v>14000</v>
      </c>
      <c r="S37" s="210" t="n">
        <f aca="false">S35+S36</f>
        <v>14000</v>
      </c>
      <c r="T37" s="210" t="n">
        <f aca="false">T35+T36</f>
        <v>14000</v>
      </c>
      <c r="U37" s="210" t="n">
        <f aca="false">U35+U36</f>
        <v>14000</v>
      </c>
      <c r="V37" s="210" t="n">
        <f aca="false">V35+V36</f>
        <v>14000</v>
      </c>
      <c r="W37" s="350" t="n">
        <f aca="false">W35+W36</f>
        <v>14000</v>
      </c>
      <c r="X37" s="210" t="n">
        <f aca="false">X35+X36</f>
        <v>14000</v>
      </c>
      <c r="Y37" s="210" t="n">
        <f aca="false">Y35+Y36</f>
        <v>14000</v>
      </c>
      <c r="Z37" s="210" t="n">
        <f aca="false">Z35+Z36</f>
        <v>14000</v>
      </c>
      <c r="AA37" s="210" t="n">
        <f aca="false">AA35+AA36</f>
        <v>14000</v>
      </c>
      <c r="AB37" s="350" t="n">
        <f aca="false">AB35+AB36</f>
        <v>14000</v>
      </c>
      <c r="AC37" s="210" t="n">
        <f aca="false">AC35+AC36</f>
        <v>14000</v>
      </c>
      <c r="AD37" s="210" t="n">
        <f aca="false">AD35+AD36</f>
        <v>14000</v>
      </c>
      <c r="AE37" s="210" t="n">
        <f aca="false">AE35+AE36</f>
        <v>14000</v>
      </c>
      <c r="AF37" s="210" t="n">
        <f aca="false">AF35+AF36</f>
        <v>14000</v>
      </c>
      <c r="AG37" s="350" t="n">
        <f aca="false">AG35+AG36</f>
        <v>14000</v>
      </c>
      <c r="AH37" s="210" t="n">
        <f aca="false">AH35+AH36</f>
        <v>14000</v>
      </c>
      <c r="AI37" s="210" t="n">
        <f aca="false">AI35+AI36</f>
        <v>8967.83737168958</v>
      </c>
      <c r="AJ37" s="210" t="n">
        <f aca="false">AJ35+AJ36</f>
        <v>0</v>
      </c>
      <c r="AK37" s="210" t="n">
        <f aca="false">AK35+AK36</f>
        <v>0</v>
      </c>
      <c r="AL37" s="350" t="n">
        <f aca="false">AL35+AL36</f>
        <v>0</v>
      </c>
      <c r="AM37" s="210" t="n">
        <f aca="false">AM35+AM36</f>
        <v>0</v>
      </c>
      <c r="AN37" s="210" t="n">
        <f aca="false">AN35+AN36</f>
        <v>0</v>
      </c>
      <c r="AO37" s="210" t="n">
        <f aca="false">AO35+AO36</f>
        <v>0</v>
      </c>
      <c r="AP37" s="210" t="n">
        <f aca="false">AP35+AP36</f>
        <v>0</v>
      </c>
      <c r="AQ37" s="210" t="n">
        <f aca="false">AQ35+AQ36</f>
        <v>0</v>
      </c>
    </row>
    <row r="38" customFormat="false" ht="18" hidden="false" customHeight="true" outlineLevel="0" collapsed="false">
      <c r="B38" s="399" t="s">
        <v>1137</v>
      </c>
      <c r="C38" s="400" t="s">
        <v>753</v>
      </c>
      <c r="D38" s="401" t="n">
        <f aca="false">D19+D30</f>
        <v>245000</v>
      </c>
      <c r="E38" s="401" t="n">
        <f aca="false">E19+E30</f>
        <v>239820</v>
      </c>
      <c r="F38" s="401" t="n">
        <f aca="false">F19+F30</f>
        <v>234453.52</v>
      </c>
      <c r="G38" s="401" t="n">
        <f aca="false">G19+G30</f>
        <v>228893.84672</v>
      </c>
      <c r="H38" s="402" t="n">
        <f aca="false">H19+H30</f>
        <v>223134.02520192</v>
      </c>
      <c r="I38" s="401" t="n">
        <f aca="false">I19+I30</f>
        <v>217166.850109189</v>
      </c>
      <c r="J38" s="401" t="n">
        <f aca="false">J19+J30</f>
        <v>210984.85671312</v>
      </c>
      <c r="K38" s="401" t="n">
        <f aca="false">K19+K30</f>
        <v>204580.311554792</v>
      </c>
      <c r="L38" s="401" t="n">
        <f aca="false">L19+L30</f>
        <v>197945.202770765</v>
      </c>
      <c r="M38" s="402" t="n">
        <f aca="false">M19+M30</f>
        <v>191071.230070512</v>
      </c>
      <c r="N38" s="401" t="n">
        <f aca="false">N19+N30</f>
        <v>185669.435423685</v>
      </c>
      <c r="O38" s="401" t="n">
        <f aca="false">O19+O30</f>
        <v>180024.560017751</v>
      </c>
      <c r="P38" s="401" t="n">
        <f aca="false">P19+P30</f>
        <v>174125.66521855</v>
      </c>
      <c r="Q38" s="401" t="n">
        <f aca="false">Q19+Q30</f>
        <v>167961.320153385</v>
      </c>
      <c r="R38" s="402" t="n">
        <f aca="false">R19+R30</f>
        <v>161519.579560287</v>
      </c>
      <c r="S38" s="401" t="n">
        <f aca="false">S19+S30</f>
        <v>154787.9606405</v>
      </c>
      <c r="T38" s="401" t="n">
        <f aca="false">T19+T30</f>
        <v>147753.418869323</v>
      </c>
      <c r="U38" s="401" t="n">
        <f aca="false">U19+U30</f>
        <v>140402.322718442</v>
      </c>
      <c r="V38" s="401" t="n">
        <f aca="false">V19+V30</f>
        <v>132720.427240772</v>
      </c>
      <c r="W38" s="402" t="n">
        <f aca="false">W19+W30</f>
        <v>124692.846466607</v>
      </c>
      <c r="X38" s="401" t="n">
        <f aca="false">X19+X30</f>
        <v>116304.024557604</v>
      </c>
      <c r="Y38" s="401" t="n">
        <f aca="false">Y19+Y30</f>
        <v>107537.705662696</v>
      </c>
      <c r="Z38" s="401" t="n">
        <f aca="false">Z19+Z30</f>
        <v>98376.9024175175</v>
      </c>
      <c r="AA38" s="401" t="n">
        <f aca="false">AA19+AA30</f>
        <v>88803.8630263058</v>
      </c>
      <c r="AB38" s="402" t="n">
        <f aca="false">AB19+AB30</f>
        <v>78800.0368624896</v>
      </c>
      <c r="AC38" s="401" t="n">
        <f aca="false">AC19+AC30</f>
        <v>68346.0385213016</v>
      </c>
      <c r="AD38" s="401" t="n">
        <f aca="false">AD19+AD30</f>
        <v>57421.6102547602</v>
      </c>
      <c r="AE38" s="401" t="n">
        <f aca="false">AE19+AE30</f>
        <v>46005.5827162244</v>
      </c>
      <c r="AF38" s="401" t="n">
        <f aca="false">AF19+AF30</f>
        <v>34075.8339384545</v>
      </c>
      <c r="AG38" s="402" t="n">
        <f aca="false">AG19+AG30</f>
        <v>21609.2464656849</v>
      </c>
      <c r="AH38" s="401" t="n">
        <f aca="false">AH19+AH30</f>
        <v>8581.66255664074</v>
      </c>
      <c r="AI38" s="401" t="n">
        <f aca="false">AI19+AI30</f>
        <v>0</v>
      </c>
      <c r="AJ38" s="401" t="n">
        <f aca="false">AJ19+AJ30</f>
        <v>0</v>
      </c>
      <c r="AK38" s="401" t="n">
        <f aca="false">AK19+AK30</f>
        <v>0</v>
      </c>
      <c r="AL38" s="402" t="n">
        <f aca="false">AL19+AL30</f>
        <v>0</v>
      </c>
      <c r="AM38" s="401" t="n">
        <f aca="false">AM19+AM30</f>
        <v>0</v>
      </c>
      <c r="AN38" s="401" t="n">
        <f aca="false">AN19+AN30</f>
        <v>0</v>
      </c>
      <c r="AO38" s="401" t="n">
        <f aca="false">AO19+AO30</f>
        <v>0</v>
      </c>
      <c r="AP38" s="401" t="n">
        <f aca="false">AP19+AP30</f>
        <v>0</v>
      </c>
      <c r="AQ38" s="401" t="n">
        <f aca="false">AQ19+AQ30</f>
        <v>0</v>
      </c>
    </row>
    <row r="39" customFormat="false" ht="15.75" hidden="false" customHeight="true" outlineLevel="0" collapsed="false">
      <c r="B39" s="280" t="s">
        <v>1143</v>
      </c>
      <c r="C39" s="351" t="s">
        <v>765</v>
      </c>
      <c r="D39" s="331" t="n">
        <f aca="false">IF(D34&gt;0,D35/D34,0)</f>
        <v>0.036</v>
      </c>
      <c r="E39" s="331" t="n">
        <f aca="false">IF(E34&gt;0,E35/E34,0)</f>
        <v>0.036</v>
      </c>
      <c r="F39" s="331" t="n">
        <f aca="false">IF(F34&gt;0,F35/F34,0)</f>
        <v>0.036</v>
      </c>
      <c r="G39" s="331" t="n">
        <f aca="false">IF(G34&gt;0,G35/G34,0)</f>
        <v>0.036</v>
      </c>
      <c r="H39" s="403" t="n">
        <f aca="false">IF(H34&gt;0,H35/H34,0)</f>
        <v>0.036</v>
      </c>
      <c r="I39" s="331" t="n">
        <f aca="false">IF(I34&gt;0,I35/I34,0)</f>
        <v>0.036</v>
      </c>
      <c r="J39" s="331" t="n">
        <f aca="false">IF(J34&gt;0,J35/J34,0)</f>
        <v>0.036</v>
      </c>
      <c r="K39" s="331" t="n">
        <f aca="false">IF(K34&gt;0,K35/K34,0)</f>
        <v>0.036</v>
      </c>
      <c r="L39" s="331" t="n">
        <f aca="false">IF(L34&gt;0,L35/L34,0)</f>
        <v>0.036</v>
      </c>
      <c r="M39" s="403" t="n">
        <f aca="false">IF(M34&gt;0,M35/M34,0)</f>
        <v>0.036</v>
      </c>
      <c r="N39" s="331" t="n">
        <f aca="false">IF(N34&gt;0,N35/N34,0)</f>
        <v>0.045</v>
      </c>
      <c r="O39" s="331" t="n">
        <f aca="false">IF(O34&gt;0,O35/O34,0)</f>
        <v>0.045</v>
      </c>
      <c r="P39" s="331" t="n">
        <f aca="false">IF(P34&gt;0,P35/P34,0)</f>
        <v>0.045</v>
      </c>
      <c r="Q39" s="331" t="n">
        <f aca="false">IF(Q34&gt;0,Q35/Q34,0)</f>
        <v>0.045</v>
      </c>
      <c r="R39" s="403" t="n">
        <f aca="false">IF(R34&gt;0,R35/R34,0)</f>
        <v>0.045</v>
      </c>
      <c r="S39" s="331" t="n">
        <f aca="false">IF(S34&gt;0,S35/S34,0)</f>
        <v>0.045</v>
      </c>
      <c r="T39" s="331" t="n">
        <f aca="false">IF(T34&gt;0,T35/T34,0)</f>
        <v>0.045</v>
      </c>
      <c r="U39" s="331" t="n">
        <f aca="false">IF(U34&gt;0,U35/U34,0)</f>
        <v>0.045</v>
      </c>
      <c r="V39" s="331" t="n">
        <f aca="false">IF(V34&gt;0,V35/V34,0)</f>
        <v>0.045</v>
      </c>
      <c r="W39" s="403" t="n">
        <f aca="false">IF(W34&gt;0,W35/W34,0)</f>
        <v>0.045</v>
      </c>
      <c r="X39" s="331" t="n">
        <f aca="false">IF(X34&gt;0,X35/X34,0)</f>
        <v>0.045</v>
      </c>
      <c r="Y39" s="331" t="n">
        <f aca="false">IF(Y34&gt;0,Y35/Y34,0)</f>
        <v>0.045</v>
      </c>
      <c r="Z39" s="331" t="n">
        <f aca="false">IF(Z34&gt;0,Z35/Z34,0)</f>
        <v>0.045</v>
      </c>
      <c r="AA39" s="331" t="n">
        <f aca="false">IF(AA34&gt;0,AA35/AA34,0)</f>
        <v>0.045</v>
      </c>
      <c r="AB39" s="403" t="n">
        <f aca="false">IF(AB34&gt;0,AB35/AB34,0)</f>
        <v>0.045</v>
      </c>
      <c r="AC39" s="331" t="n">
        <f aca="false">IF(AC34&gt;0,AC35/AC34,0)</f>
        <v>0.045</v>
      </c>
      <c r="AD39" s="331" t="n">
        <f aca="false">IF(AD34&gt;0,AD35/AD34,0)</f>
        <v>0.045</v>
      </c>
      <c r="AE39" s="331" t="n">
        <f aca="false">IF(AE34&gt;0,AE35/AE34,0)</f>
        <v>0.045</v>
      </c>
      <c r="AF39" s="331" t="n">
        <f aca="false">IF(AF34&gt;0,AF35/AF34,0)</f>
        <v>0.045</v>
      </c>
      <c r="AG39" s="403" t="n">
        <f aca="false">IF(AG34&gt;0,AG35/AG34,0)</f>
        <v>0.045</v>
      </c>
      <c r="AH39" s="331" t="n">
        <f aca="false">IF(AH34&gt;0,AH35/AH34,0)</f>
        <v>0.045</v>
      </c>
      <c r="AI39" s="331" t="n">
        <f aca="false">IF(AI34&gt;0,AI35/AI34,0)</f>
        <v>0.045</v>
      </c>
      <c r="AJ39" s="331" t="n">
        <f aca="false">IF(AJ34&gt;0,AJ35/AJ34,0)</f>
        <v>0</v>
      </c>
      <c r="AK39" s="331" t="n">
        <f aca="false">IF(AK34&gt;0,AK35/AK34,0)</f>
        <v>0</v>
      </c>
      <c r="AL39" s="403" t="n">
        <f aca="false">IF(AL34&gt;0,AL35/AL34,0)</f>
        <v>0</v>
      </c>
      <c r="AM39" s="331" t="n">
        <f aca="false">IF(AM34&gt;0,AM35/AM34,0)</f>
        <v>0</v>
      </c>
      <c r="AN39" s="331" t="n">
        <f aca="false">IF(AN34&gt;0,AN35/AN34,0)</f>
        <v>0</v>
      </c>
      <c r="AO39" s="331" t="n">
        <f aca="false">IF(AO34&gt;0,AO35/AO34,0)</f>
        <v>0</v>
      </c>
      <c r="AP39" s="331" t="n">
        <f aca="false">IF(AP34&gt;0,AP35/AP34,0)</f>
        <v>0</v>
      </c>
      <c r="AQ39" s="331" t="n">
        <f aca="false">IF(AQ34&gt;0,AQ35/AQ34,0)</f>
        <v>0</v>
      </c>
    </row>
    <row r="40" customFormat="false" ht="15.75" hidden="false" customHeight="true" outlineLevel="0" collapsed="false">
      <c r="B40" s="280" t="s">
        <v>1144</v>
      </c>
      <c r="C40" s="351" t="s">
        <v>753</v>
      </c>
      <c r="D40" s="281" t="n">
        <f aca="false">D37/12</f>
        <v>1166.66666666667</v>
      </c>
      <c r="E40" s="281" t="n">
        <f aca="false">E37/12</f>
        <v>1166.66666666667</v>
      </c>
      <c r="F40" s="281" t="n">
        <f aca="false">F37/12</f>
        <v>1166.66666666667</v>
      </c>
      <c r="G40" s="281" t="n">
        <f aca="false">G37/12</f>
        <v>1166.66666666667</v>
      </c>
      <c r="H40" s="352" t="n">
        <f aca="false">H37/12</f>
        <v>1166.66666666667</v>
      </c>
      <c r="I40" s="281" t="n">
        <f aca="false">I37/12</f>
        <v>1166.66666666667</v>
      </c>
      <c r="J40" s="281" t="n">
        <f aca="false">J37/12</f>
        <v>1166.66666666667</v>
      </c>
      <c r="K40" s="281" t="n">
        <f aca="false">K37/12</f>
        <v>1166.66666666667</v>
      </c>
      <c r="L40" s="281" t="n">
        <f aca="false">L37/12</f>
        <v>1166.66666666667</v>
      </c>
      <c r="M40" s="352" t="n">
        <f aca="false">M37/12</f>
        <v>1166.66666666667</v>
      </c>
      <c r="N40" s="281" t="n">
        <f aca="false">N37/12</f>
        <v>1166.66666666667</v>
      </c>
      <c r="O40" s="281" t="n">
        <f aca="false">O37/12</f>
        <v>1166.66666666667</v>
      </c>
      <c r="P40" s="281" t="n">
        <f aca="false">P37/12</f>
        <v>1166.66666666667</v>
      </c>
      <c r="Q40" s="281" t="n">
        <f aca="false">Q37/12</f>
        <v>1166.66666666667</v>
      </c>
      <c r="R40" s="352" t="n">
        <f aca="false">R37/12</f>
        <v>1166.66666666667</v>
      </c>
      <c r="S40" s="281" t="n">
        <f aca="false">S37/12</f>
        <v>1166.66666666667</v>
      </c>
      <c r="T40" s="281" t="n">
        <f aca="false">T37/12</f>
        <v>1166.66666666667</v>
      </c>
      <c r="U40" s="281" t="n">
        <f aca="false">U37/12</f>
        <v>1166.66666666667</v>
      </c>
      <c r="V40" s="281" t="n">
        <f aca="false">V37/12</f>
        <v>1166.66666666667</v>
      </c>
      <c r="W40" s="352" t="n">
        <f aca="false">W37/12</f>
        <v>1166.66666666667</v>
      </c>
      <c r="X40" s="281" t="n">
        <f aca="false">X37/12</f>
        <v>1166.66666666667</v>
      </c>
      <c r="Y40" s="281" t="n">
        <f aca="false">Y37/12</f>
        <v>1166.66666666667</v>
      </c>
      <c r="Z40" s="281" t="n">
        <f aca="false">Z37/12</f>
        <v>1166.66666666667</v>
      </c>
      <c r="AA40" s="281" t="n">
        <f aca="false">AA37/12</f>
        <v>1166.66666666667</v>
      </c>
      <c r="AB40" s="352" t="n">
        <f aca="false">AB37/12</f>
        <v>1166.66666666667</v>
      </c>
      <c r="AC40" s="281" t="n">
        <f aca="false">AC37/12</f>
        <v>1166.66666666667</v>
      </c>
      <c r="AD40" s="281" t="n">
        <f aca="false">AD37/12</f>
        <v>1166.66666666667</v>
      </c>
      <c r="AE40" s="281" t="n">
        <f aca="false">AE37/12</f>
        <v>1166.66666666667</v>
      </c>
      <c r="AF40" s="281" t="n">
        <f aca="false">AF37/12</f>
        <v>1166.66666666667</v>
      </c>
      <c r="AG40" s="352" t="n">
        <f aca="false">AG37/12</f>
        <v>1166.66666666667</v>
      </c>
      <c r="AH40" s="281" t="n">
        <f aca="false">AH37/12</f>
        <v>1166.66666666667</v>
      </c>
      <c r="AI40" s="281" t="n">
        <f aca="false">AI37/12</f>
        <v>747.319780974131</v>
      </c>
      <c r="AJ40" s="281" t="n">
        <f aca="false">AJ37/12</f>
        <v>0</v>
      </c>
      <c r="AK40" s="281" t="n">
        <f aca="false">AK37/12</f>
        <v>0</v>
      </c>
      <c r="AL40" s="352" t="n">
        <f aca="false">AL37/12</f>
        <v>0</v>
      </c>
      <c r="AM40" s="281" t="n">
        <f aca="false">AM37/12</f>
        <v>0</v>
      </c>
      <c r="AN40" s="281" t="n">
        <f aca="false">AN37/12</f>
        <v>0</v>
      </c>
      <c r="AO40" s="281" t="n">
        <f aca="false">AO37/12</f>
        <v>0</v>
      </c>
      <c r="AP40" s="281" t="n">
        <f aca="false">AP37/12</f>
        <v>0</v>
      </c>
      <c r="AQ40" s="281" t="n">
        <f aca="false">AQ37/12</f>
        <v>0</v>
      </c>
    </row>
    <row r="41" customFormat="false" ht="12" hidden="false" customHeight="tru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customFormat="false" ht="18" hidden="false" customHeight="true" outlineLevel="0" collapsed="false">
      <c r="B42" s="79" t="s">
        <v>91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</row>
    <row r="43" customFormat="false" ht="13.5" hidden="false" customHeight="true" outlineLevel="0" collapsed="false">
      <c r="B43" s="81" t="s">
        <v>92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</row>
  </sheetData>
  <sheetProtection sheet="true" objects="1" formatColumns="false" formatRows="false"/>
  <mergeCells count="4">
    <mergeCell ref="D6:M6"/>
    <mergeCell ref="D7:M7"/>
    <mergeCell ref="B42:M42"/>
    <mergeCell ref="B43:M43"/>
  </mergeCells>
  <conditionalFormatting sqref="D8:AQ10">
    <cfRule type="expression" priority="2" aboveAverage="0" equalAverage="0" bottom="0" percent="0" rank="0" text="" dxfId="24">
      <formula>D$9=Haltedauer</formula>
    </cfRule>
    <cfRule type="expression" priority="3" aboveAverage="0" equalAverage="0" bottom="0" percent="0" rank="0" text="" dxfId="3">
      <formula>1</formula>
    </cfRule>
  </conditionalFormatting>
  <conditionalFormatting sqref="D13:AQ13">
    <cfRule type="expression" priority="4" aboveAverage="0" equalAverage="0" bottom="0" percent="0" rank="0" text="" dxfId="33">
      <formula>AND(D$13=0,D$9=Haltedauer)</formula>
    </cfRule>
    <cfRule type="expression" priority="5" aboveAverage="0" equalAverage="0" bottom="0" percent="0" rank="0" text="" dxfId="34">
      <formula>D$13=0</formula>
    </cfRule>
    <cfRule type="expression" priority="6" aboveAverage="0" equalAverage="0" bottom="0" percent="0" rank="0" text="" dxfId="35">
      <formula>D$9=Haltedauer</formula>
    </cfRule>
    <cfRule type="expression" priority="7" aboveAverage="0" equalAverage="0" bottom="0" percent="0" rank="0" text="" dxfId="36">
      <formula>1</formula>
    </cfRule>
    <cfRule type="expression" priority="8" aboveAverage="0" equalAverage="0" bottom="0" percent="0" rank="0" text="" dxfId="3">
      <formula>1</formula>
    </cfRule>
  </conditionalFormatting>
  <conditionalFormatting sqref="D14:AQ14">
    <cfRule type="expression" priority="9" aboveAverage="0" equalAverage="0" bottom="0" percent="0" rank="0" text="" dxfId="33">
      <formula>AND(D$13=0,D$9=Haltedauer)</formula>
    </cfRule>
    <cfRule type="expression" priority="10" aboveAverage="0" equalAverage="0" bottom="0" percent="0" rank="0" text="" dxfId="34">
      <formula>D$13=0</formula>
    </cfRule>
    <cfRule type="expression" priority="11" aboveAverage="0" equalAverage="0" bottom="0" percent="0" rank="0" text="" dxfId="39">
      <formula>AND(AND(ISNUMBER(C14),D14&lt;&gt;C14),D$9=Haltedauer)</formula>
    </cfRule>
    <cfRule type="expression" priority="12" aboveAverage="0" equalAverage="0" bottom="0" percent="0" rank="0" text="" dxfId="40">
      <formula>AND(ISNUMBER(C14),D14&lt;&gt;C14)</formula>
    </cfRule>
    <cfRule type="expression" priority="13" aboveAverage="0" equalAverage="0" bottom="0" percent="0" rank="0" text="" dxfId="35">
      <formula>D$9=Haltedauer</formula>
    </cfRule>
    <cfRule type="expression" priority="14" aboveAverage="0" equalAverage="0" bottom="0" percent="0" rank="0" text="" dxfId="36">
      <formula>1</formula>
    </cfRule>
    <cfRule type="expression" priority="15" aboveAverage="0" equalAverage="0" bottom="0" percent="0" rank="0" text="" dxfId="3">
      <formula>1</formula>
    </cfRule>
  </conditionalFormatting>
  <conditionalFormatting sqref="D15:AQ15">
    <cfRule type="expression" priority="16" aboveAverage="0" equalAverage="0" bottom="0" percent="0" rank="0" text="" dxfId="33">
      <formula>AND(D$13=0,D$9=Haltedauer)</formula>
    </cfRule>
    <cfRule type="expression" priority="17" aboveAverage="0" equalAverage="0" bottom="0" percent="0" rank="0" text="" dxfId="34">
      <formula>D$13=0</formula>
    </cfRule>
    <cfRule type="expression" priority="18" aboveAverage="0" equalAverage="0" bottom="0" percent="0" rank="0" text="" dxfId="35">
      <formula>D$9=Haltedauer</formula>
    </cfRule>
    <cfRule type="expression" priority="19" aboveAverage="0" equalAverage="0" bottom="0" percent="0" rank="0" text="" dxfId="36">
      <formula>1</formula>
    </cfRule>
    <cfRule type="expression" priority="20" aboveAverage="0" equalAverage="0" bottom="0" percent="0" rank="0" text="" dxfId="3">
      <formula>1</formula>
    </cfRule>
  </conditionalFormatting>
  <conditionalFormatting sqref="D16:AQ16">
    <cfRule type="expression" priority="21" aboveAverage="0" equalAverage="0" bottom="0" percent="0" rank="0" text="" dxfId="33">
      <formula>AND(D$13=0,D$9=Haltedauer)</formula>
    </cfRule>
    <cfRule type="expression" priority="22" aboveAverage="0" equalAverage="0" bottom="0" percent="0" rank="0" text="" dxfId="34">
      <formula>D$13=0</formula>
    </cfRule>
    <cfRule type="expression" priority="23" aboveAverage="0" equalAverage="0" bottom="0" percent="0" rank="0" text="" dxfId="35">
      <formula>D$9=Haltedauer</formula>
    </cfRule>
    <cfRule type="expression" priority="24" aboveAverage="0" equalAverage="0" bottom="0" percent="0" rank="0" text="" dxfId="36">
      <formula>1</formula>
    </cfRule>
    <cfRule type="expression" priority="25" aboveAverage="0" equalAverage="0" bottom="0" percent="0" rank="0" text="" dxfId="3">
      <formula>1</formula>
    </cfRule>
  </conditionalFormatting>
  <conditionalFormatting sqref="D17:AQ17">
    <cfRule type="expression" priority="26" aboveAverage="0" equalAverage="0" bottom="0" percent="0" rank="0" text="" dxfId="33">
      <formula>AND(D$13=0,D$9=Haltedauer)</formula>
    </cfRule>
    <cfRule type="expression" priority="27" aboveAverage="0" equalAverage="0" bottom="0" percent="0" rank="0" text="" dxfId="34">
      <formula>D$13=0</formula>
    </cfRule>
    <cfRule type="expression" priority="28" aboveAverage="0" equalAverage="0" bottom="0" percent="0" rank="0" text="" dxfId="35">
      <formula>D$9=Haltedauer</formula>
    </cfRule>
    <cfRule type="expression" priority="29" aboveAverage="0" equalAverage="0" bottom="0" percent="0" rank="0" text="" dxfId="36">
      <formula>1</formula>
    </cfRule>
    <cfRule type="expression" priority="30" aboveAverage="0" equalAverage="0" bottom="0" percent="0" rank="0" text="" dxfId="3">
      <formula>1</formula>
    </cfRule>
  </conditionalFormatting>
  <conditionalFormatting sqref="D18:AQ18">
    <cfRule type="expression" priority="31" aboveAverage="0" equalAverage="0" bottom="0" percent="0" rank="0" text="" dxfId="33">
      <formula>AND(D$13=0,D$9=Haltedauer)</formula>
    </cfRule>
    <cfRule type="expression" priority="32" aboveAverage="0" equalAverage="0" bottom="0" percent="0" rank="0" text="" dxfId="34">
      <formula>D$13=0</formula>
    </cfRule>
    <cfRule type="expression" priority="33" aboveAverage="0" equalAverage="0" bottom="0" percent="0" rank="0" text="" dxfId="35">
      <formula>D$9=Haltedauer</formula>
    </cfRule>
    <cfRule type="expression" priority="34" aboveAverage="0" equalAverage="0" bottom="0" percent="0" rank="0" text="" dxfId="36">
      <formula>1</formula>
    </cfRule>
    <cfRule type="expression" priority="35" aboveAverage="0" equalAverage="0" bottom="0" percent="0" rank="0" text="" dxfId="3">
      <formula>1</formula>
    </cfRule>
  </conditionalFormatting>
  <conditionalFormatting sqref="D19:AQ19">
    <cfRule type="expression" priority="36" aboveAverage="0" equalAverage="0" bottom="0" percent="0" rank="0" text="" dxfId="33">
      <formula>AND(D$13=0,D$9=Haltedauer)</formula>
    </cfRule>
    <cfRule type="expression" priority="37" aboveAverage="0" equalAverage="0" bottom="0" percent="0" rank="0" text="" dxfId="34">
      <formula>D$13=0</formula>
    </cfRule>
    <cfRule type="expression" priority="38" aboveAverage="0" equalAverage="0" bottom="0" percent="0" rank="0" text="" dxfId="26">
      <formula>D$9=Haltedauer</formula>
    </cfRule>
    <cfRule type="expression" priority="39" aboveAverage="0" equalAverage="0" bottom="0" percent="0" rank="0" text="" dxfId="27">
      <formula>1</formula>
    </cfRule>
    <cfRule type="expression" priority="40" aboveAverage="0" equalAverage="0" bottom="0" percent="0" rank="0" text="" dxfId="3">
      <formula>1</formula>
    </cfRule>
  </conditionalFormatting>
  <conditionalFormatting sqref="D20:AQ20">
    <cfRule type="expression" priority="41" aboveAverage="0" equalAverage="0" bottom="0" percent="0" rank="0" text="" dxfId="33">
      <formula>AND(D$13=0,D$9=Haltedauer)</formula>
    </cfRule>
    <cfRule type="expression" priority="42" aboveAverage="0" equalAverage="0" bottom="0" percent="0" rank="0" text="" dxfId="34">
      <formula>D$13=0</formula>
    </cfRule>
    <cfRule type="expression" priority="43" aboveAverage="0" equalAverage="0" bottom="0" percent="0" rank="0" text="" dxfId="26">
      <formula>D$9=Haltedauer</formula>
    </cfRule>
    <cfRule type="expression" priority="44" aboveAverage="0" equalAverage="0" bottom="0" percent="0" rank="0" text="" dxfId="27">
      <formula>1</formula>
    </cfRule>
    <cfRule type="expression" priority="45" aboveAverage="0" equalAverage="0" bottom="0" percent="0" rank="0" text="" dxfId="3">
      <formula>1</formula>
    </cfRule>
  </conditionalFormatting>
  <conditionalFormatting sqref="D23:AQ23">
    <cfRule type="expression" priority="46" aboveAverage="0" equalAverage="0" bottom="0" percent="0" rank="0" text="" dxfId="33">
      <formula>AND(Darlehen_II=0,D$9=Haltedauer)</formula>
    </cfRule>
    <cfRule type="expression" priority="47" aboveAverage="0" equalAverage="0" bottom="0" percent="0" rank="0" text="" dxfId="34">
      <formula>Darlehen_II=0</formula>
    </cfRule>
    <cfRule type="expression" priority="48" aboveAverage="0" equalAverage="0" bottom="0" percent="0" rank="0" text="" dxfId="35">
      <formula>D$9=Haltedauer</formula>
    </cfRule>
    <cfRule type="expression" priority="49" aboveAverage="0" equalAverage="0" bottom="0" percent="0" rank="0" text="" dxfId="36">
      <formula>1</formula>
    </cfRule>
    <cfRule type="expression" priority="50" aboveAverage="0" equalAverage="0" bottom="0" percent="0" rank="0" text="" dxfId="3">
      <formula>1</formula>
    </cfRule>
  </conditionalFormatting>
  <conditionalFormatting sqref="D24:AQ24">
    <cfRule type="expression" priority="51" aboveAverage="0" equalAverage="0" bottom="0" percent="0" rank="0" text="" dxfId="33">
      <formula>AND(Darlehen_II=0,D$9=Haltedauer)</formula>
    </cfRule>
    <cfRule type="expression" priority="52" aboveAverage="0" equalAverage="0" bottom="0" percent="0" rank="0" text="" dxfId="34">
      <formula>Darlehen_II=0</formula>
    </cfRule>
    <cfRule type="expression" priority="53" aboveAverage="0" equalAverage="0" bottom="0" percent="0" rank="0" text="" dxfId="39">
      <formula>AND(AND(ISNUMBER(C24),D24&lt;&gt;C24),D$9=Haltedauer)</formula>
    </cfRule>
    <cfRule type="expression" priority="54" aboveAverage="0" equalAverage="0" bottom="0" percent="0" rank="0" text="" dxfId="40">
      <formula>AND(ISNUMBER(C24),D24&lt;&gt;C24)</formula>
    </cfRule>
    <cfRule type="expression" priority="55" aboveAverage="0" equalAverage="0" bottom="0" percent="0" rank="0" text="" dxfId="35">
      <formula>D$9=Haltedauer</formula>
    </cfRule>
    <cfRule type="expression" priority="56" aboveAverage="0" equalAverage="0" bottom="0" percent="0" rank="0" text="" dxfId="36">
      <formula>1</formula>
    </cfRule>
    <cfRule type="expression" priority="57" aboveAverage="0" equalAverage="0" bottom="0" percent="0" rank="0" text="" dxfId="3">
      <formula>1</formula>
    </cfRule>
  </conditionalFormatting>
  <conditionalFormatting sqref="D25:AQ25">
    <cfRule type="expression" priority="58" aboveAverage="0" equalAverage="0" bottom="0" percent="0" rank="0" text="" dxfId="33">
      <formula>AND(Darlehen_II=0,D$9=Haltedauer)</formula>
    </cfRule>
    <cfRule type="expression" priority="59" aboveAverage="0" equalAverage="0" bottom="0" percent="0" rank="0" text="" dxfId="34">
      <formula>Darlehen_II=0</formula>
    </cfRule>
    <cfRule type="expression" priority="60" aboveAverage="0" equalAverage="0" bottom="0" percent="0" rank="0" text="" dxfId="35">
      <formula>D$9=Haltedauer</formula>
    </cfRule>
    <cfRule type="expression" priority="61" aboveAverage="0" equalAverage="0" bottom="0" percent="0" rank="0" text="" dxfId="36">
      <formula>1</formula>
    </cfRule>
    <cfRule type="expression" priority="62" aboveAverage="0" equalAverage="0" bottom="0" percent="0" rank="0" text="" dxfId="3">
      <formula>1</formula>
    </cfRule>
  </conditionalFormatting>
  <conditionalFormatting sqref="D26:AQ26">
    <cfRule type="expression" priority="63" aboveAverage="0" equalAverage="0" bottom="0" percent="0" rank="0" text="" dxfId="33">
      <formula>AND(Darlehen_II=0,D$9=Haltedauer)</formula>
    </cfRule>
    <cfRule type="expression" priority="64" aboveAverage="0" equalAverage="0" bottom="0" percent="0" rank="0" text="" dxfId="34">
      <formula>Darlehen_II=0</formula>
    </cfRule>
    <cfRule type="expression" priority="65" aboveAverage="0" equalAverage="0" bottom="0" percent="0" rank="0" text="" dxfId="35">
      <formula>D$9=Haltedauer</formula>
    </cfRule>
    <cfRule type="expression" priority="66" aboveAverage="0" equalAverage="0" bottom="0" percent="0" rank="0" text="" dxfId="36">
      <formula>1</formula>
    </cfRule>
    <cfRule type="expression" priority="67" aboveAverage="0" equalAverage="0" bottom="0" percent="0" rank="0" text="" dxfId="3">
      <formula>1</formula>
    </cfRule>
  </conditionalFormatting>
  <conditionalFormatting sqref="D27:AQ27">
    <cfRule type="expression" priority="68" aboveAverage="0" equalAverage="0" bottom="0" percent="0" rank="0" text="" dxfId="33">
      <formula>AND(Darlehen_II=0,D$9=Haltedauer)</formula>
    </cfRule>
    <cfRule type="expression" priority="69" aboveAverage="0" equalAverage="0" bottom="0" percent="0" rank="0" text="" dxfId="34">
      <formula>Darlehen_II=0</formula>
    </cfRule>
    <cfRule type="expression" priority="70" aboveAverage="0" equalAverage="0" bottom="0" percent="0" rank="0" text="" dxfId="35">
      <formula>D$9=Haltedauer</formula>
    </cfRule>
    <cfRule type="expression" priority="71" aboveAverage="0" equalAverage="0" bottom="0" percent="0" rank="0" text="" dxfId="36">
      <formula>1</formula>
    </cfRule>
    <cfRule type="expression" priority="72" aboveAverage="0" equalAverage="0" bottom="0" percent="0" rank="0" text="" dxfId="3">
      <formula>1</formula>
    </cfRule>
  </conditionalFormatting>
  <conditionalFormatting sqref="D28:AQ28">
    <cfRule type="expression" priority="73" aboveAverage="0" equalAverage="0" bottom="0" percent="0" rank="0" text="" dxfId="33">
      <formula>AND(Darlehen_II=0,D$9=Haltedauer)</formula>
    </cfRule>
    <cfRule type="expression" priority="74" aboveAverage="0" equalAverage="0" bottom="0" percent="0" rank="0" text="" dxfId="34">
      <formula>Darlehen_II=0</formula>
    </cfRule>
    <cfRule type="expression" priority="75" aboveAverage="0" equalAverage="0" bottom="0" percent="0" rank="0" text="" dxfId="35">
      <formula>D$9=Haltedauer</formula>
    </cfRule>
    <cfRule type="expression" priority="76" aboveAverage="0" equalAverage="0" bottom="0" percent="0" rank="0" text="" dxfId="36">
      <formula>1</formula>
    </cfRule>
    <cfRule type="expression" priority="77" aboveAverage="0" equalAverage="0" bottom="0" percent="0" rank="0" text="" dxfId="3">
      <formula>1</formula>
    </cfRule>
  </conditionalFormatting>
  <conditionalFormatting sqref="D29:AQ29">
    <cfRule type="expression" priority="78" aboveAverage="0" equalAverage="0" bottom="0" percent="0" rank="0" text="" dxfId="33">
      <formula>AND(Darlehen_II=0,D$9=Haltedauer)</formula>
    </cfRule>
    <cfRule type="expression" priority="79" aboveAverage="0" equalAverage="0" bottom="0" percent="0" rank="0" text="" dxfId="34">
      <formula>Darlehen_II=0</formula>
    </cfRule>
    <cfRule type="expression" priority="80" aboveAverage="0" equalAverage="0" bottom="0" percent="0" rank="0" text="" dxfId="35">
      <formula>D$9=Haltedauer</formula>
    </cfRule>
    <cfRule type="expression" priority="81" aboveAverage="0" equalAverage="0" bottom="0" percent="0" rank="0" text="" dxfId="36">
      <formula>1</formula>
    </cfRule>
    <cfRule type="expression" priority="82" aboveAverage="0" equalAverage="0" bottom="0" percent="0" rank="0" text="" dxfId="3">
      <formula>1</formula>
    </cfRule>
  </conditionalFormatting>
  <conditionalFormatting sqref="D30:AQ30">
    <cfRule type="expression" priority="83" aboveAverage="0" equalAverage="0" bottom="0" percent="0" rank="0" text="" dxfId="33">
      <formula>AND(Darlehen_II=0,D$9=Haltedauer)</formula>
    </cfRule>
    <cfRule type="expression" priority="84" aboveAverage="0" equalAverage="0" bottom="0" percent="0" rank="0" text="" dxfId="41">
      <formula>Darlehen_II=0</formula>
    </cfRule>
    <cfRule type="expression" priority="85" aboveAverage="0" equalAverage="0" bottom="0" percent="0" rank="0" text="" dxfId="26">
      <formula>D$9=Haltedauer</formula>
    </cfRule>
    <cfRule type="expression" priority="86" aboveAverage="0" equalAverage="0" bottom="0" percent="0" rank="0" text="" dxfId="27">
      <formula>1</formula>
    </cfRule>
    <cfRule type="expression" priority="87" aboveAverage="0" equalAverage="0" bottom="0" percent="0" rank="0" text="" dxfId="3">
      <formula>1</formula>
    </cfRule>
  </conditionalFormatting>
  <conditionalFormatting sqref="D31:AQ31">
    <cfRule type="expression" priority="88" aboveAverage="0" equalAverage="0" bottom="0" percent="0" rank="0" text="" dxfId="33">
      <formula>AND(Darlehen_II=0,D$9=Haltedauer)</formula>
    </cfRule>
    <cfRule type="expression" priority="89" aboveAverage="0" equalAverage="0" bottom="0" percent="0" rank="0" text="" dxfId="41">
      <formula>Darlehen_II=0</formula>
    </cfRule>
    <cfRule type="expression" priority="90" aboveAverage="0" equalAverage="0" bottom="0" percent="0" rank="0" text="" dxfId="26">
      <formula>D$9=Haltedauer</formula>
    </cfRule>
    <cfRule type="expression" priority="91" aboveAverage="0" equalAverage="0" bottom="0" percent="0" rank="0" text="" dxfId="27">
      <formula>1</formula>
    </cfRule>
    <cfRule type="expression" priority="92" aboveAverage="0" equalAverage="0" bottom="0" percent="0" rank="0" text="" dxfId="3">
      <formula>1</formula>
    </cfRule>
  </conditionalFormatting>
  <conditionalFormatting sqref="D34:AQ34">
    <cfRule type="expression" priority="93" aboveAverage="0" equalAverage="0" bottom="0" percent="0" rank="0" text="" dxfId="33">
      <formula>AND(D$34=0,D$9=Haltedauer)</formula>
    </cfRule>
    <cfRule type="expression" priority="94" aboveAverage="0" equalAverage="0" bottom="0" percent="0" rank="0" text="" dxfId="34">
      <formula>D$34=0</formula>
    </cfRule>
    <cfRule type="expression" priority="95" aboveAverage="0" equalAverage="0" bottom="0" percent="0" rank="0" text="" dxfId="35">
      <formula>D$9=Haltedauer</formula>
    </cfRule>
    <cfRule type="expression" priority="96" aboveAverage="0" equalAverage="0" bottom="0" percent="0" rank="0" text="" dxfId="36">
      <formula>1</formula>
    </cfRule>
    <cfRule type="expression" priority="97" aboveAverage="0" equalAverage="0" bottom="0" percent="0" rank="0" text="" dxfId="3">
      <formula>1</formula>
    </cfRule>
  </conditionalFormatting>
  <conditionalFormatting sqref="D35:AQ35">
    <cfRule type="expression" priority="98" aboveAverage="0" equalAverage="0" bottom="0" percent="0" rank="0" text="" dxfId="33">
      <formula>AND(D$34=0,D$9=Haltedauer)</formula>
    </cfRule>
    <cfRule type="expression" priority="99" aboveAverage="0" equalAverage="0" bottom="0" percent="0" rank="0" text="" dxfId="34">
      <formula>D$34=0</formula>
    </cfRule>
    <cfRule type="expression" priority="100" aboveAverage="0" equalAverage="0" bottom="0" percent="0" rank="0" text="" dxfId="35">
      <formula>D$9=Haltedauer</formula>
    </cfRule>
    <cfRule type="expression" priority="101" aboveAverage="0" equalAverage="0" bottom="0" percent="0" rank="0" text="" dxfId="36">
      <formula>1</formula>
    </cfRule>
    <cfRule type="expression" priority="102" aboveAverage="0" equalAverage="0" bottom="0" percent="0" rank="0" text="" dxfId="3">
      <formula>1</formula>
    </cfRule>
  </conditionalFormatting>
  <conditionalFormatting sqref="D36:AQ36">
    <cfRule type="expression" priority="103" aboveAverage="0" equalAverage="0" bottom="0" percent="0" rank="0" text="" dxfId="33">
      <formula>AND(D$34=0,D$9=Haltedauer)</formula>
    </cfRule>
    <cfRule type="expression" priority="104" aboveAverage="0" equalAverage="0" bottom="0" percent="0" rank="0" text="" dxfId="34">
      <formula>D$34=0</formula>
    </cfRule>
    <cfRule type="expression" priority="105" aboveAverage="0" equalAverage="0" bottom="0" percent="0" rank="0" text="" dxfId="35">
      <formula>D$9=Haltedauer</formula>
    </cfRule>
    <cfRule type="expression" priority="106" aboveAverage="0" equalAverage="0" bottom="0" percent="0" rank="0" text="" dxfId="36">
      <formula>1</formula>
    </cfRule>
    <cfRule type="expression" priority="107" aboveAverage="0" equalAverage="0" bottom="0" percent="0" rank="0" text="" dxfId="3">
      <formula>1</formula>
    </cfRule>
  </conditionalFormatting>
  <conditionalFormatting sqref="D37:AQ37">
    <cfRule type="expression" priority="108" aboveAverage="0" equalAverage="0" bottom="0" percent="0" rank="0" text="" dxfId="33">
      <formula>AND(D$34=0,D$9=Haltedauer)</formula>
    </cfRule>
    <cfRule type="expression" priority="109" aboveAverage="0" equalAverage="0" bottom="0" percent="0" rank="0" text="" dxfId="34">
      <formula>D$34=0</formula>
    </cfRule>
    <cfRule type="expression" priority="110" aboveAverage="0" equalAverage="0" bottom="0" percent="0" rank="0" text="" dxfId="26">
      <formula>D$9=Haltedauer</formula>
    </cfRule>
    <cfRule type="expression" priority="111" aboveAverage="0" equalAverage="0" bottom="0" percent="0" rank="0" text="" dxfId="27">
      <formula>1</formula>
    </cfRule>
    <cfRule type="expression" priority="112" aboveAverage="0" equalAverage="0" bottom="0" percent="0" rank="0" text="" dxfId="3">
      <formula>1</formula>
    </cfRule>
  </conditionalFormatting>
  <conditionalFormatting sqref="D38:AQ38">
    <cfRule type="expression" priority="113" aboveAverage="0" equalAverage="0" bottom="0" percent="0" rank="0" text="" dxfId="42">
      <formula>AND(D$34=0,D$9=Haltedauer)</formula>
    </cfRule>
    <cfRule type="expression" priority="114" aboveAverage="0" equalAverage="0" bottom="0" percent="0" rank="0" text="" dxfId="34">
      <formula>D$34=0</formula>
    </cfRule>
    <cfRule type="expression" priority="115" aboveAverage="0" equalAverage="0" bottom="0" percent="0" rank="0" text="" dxfId="31">
      <formula>D$9=Haltedauer</formula>
    </cfRule>
    <cfRule type="expression" priority="116" aboveAverage="0" equalAverage="0" bottom="0" percent="0" rank="0" text="" dxfId="27">
      <formula>1</formula>
    </cfRule>
    <cfRule type="expression" priority="117" aboveAverage="0" equalAverage="0" bottom="0" percent="0" rank="0" text="" dxfId="3">
      <formula>1</formula>
    </cfRule>
  </conditionalFormatting>
  <conditionalFormatting sqref="D39:AQ39">
    <cfRule type="expression" priority="118" aboveAverage="0" equalAverage="0" bottom="0" percent="0" rank="0" text="" dxfId="33">
      <formula>AND(D$34=0,D$9=Haltedauer)</formula>
    </cfRule>
    <cfRule type="expression" priority="119" aboveAverage="0" equalAverage="0" bottom="0" percent="0" rank="0" text="" dxfId="34">
      <formula>D$34=0</formula>
    </cfRule>
    <cfRule type="expression" priority="120" aboveAverage="0" equalAverage="0" bottom="0" percent="0" rank="0" text="" dxfId="28">
      <formula>D$9=Haltedauer</formula>
    </cfRule>
    <cfRule type="expression" priority="121" aboveAverage="0" equalAverage="0" bottom="0" percent="0" rank="0" text="" dxfId="29">
      <formula>1</formula>
    </cfRule>
    <cfRule type="expression" priority="122" aboveAverage="0" equalAverage="0" bottom="0" percent="0" rank="0" text="" dxfId="3">
      <formula>1</formula>
    </cfRule>
  </conditionalFormatting>
  <conditionalFormatting sqref="D40:AQ40">
    <cfRule type="expression" priority="123" aboveAverage="0" equalAverage="0" bottom="0" percent="0" rank="0" text="" dxfId="33">
      <formula>AND(D$34=0,D$9=Haltedauer)</formula>
    </cfRule>
    <cfRule type="expression" priority="124" aboveAverage="0" equalAverage="0" bottom="0" percent="0" rank="0" text="" dxfId="34">
      <formula>D$34=0</formula>
    </cfRule>
    <cfRule type="expression" priority="125" aboveAverage="0" equalAverage="0" bottom="0" percent="0" rank="0" text="" dxfId="28">
      <formula>D$9=Haltedauer</formula>
    </cfRule>
    <cfRule type="expression" priority="126" aboveAverage="0" equalAverage="0" bottom="0" percent="0" rank="0" text="" dxfId="29">
      <formula>1</formula>
    </cfRule>
    <cfRule type="expression" priority="127" aboveAverage="0" equalAverage="0" bottom="0" percent="0" rank="0" text="" dxfId="3">
      <formula>1</formula>
    </cfRule>
  </conditionalFormatting>
  <conditionalFormatting sqref="B23:C29">
    <cfRule type="expression" priority="128" aboveAverage="0" equalAverage="0" bottom="0" percent="0" rank="0" text="" dxfId="37">
      <formula>Darlehen_II=0</formula>
    </cfRule>
    <cfRule type="expression" priority="129" aboveAverage="0" equalAverage="0" bottom="0" percent="0" rank="0" text="" dxfId="3">
      <formula>1</formula>
    </cfRule>
  </conditionalFormatting>
  <conditionalFormatting sqref="B30:C31">
    <cfRule type="expression" priority="130" aboveAverage="0" equalAverage="0" bottom="0" percent="0" rank="0" text="" dxfId="43">
      <formula>Darlehen_II=0</formula>
    </cfRule>
    <cfRule type="expression" priority="131" aboveAverage="0" equalAverage="0" bottom="0" percent="0" rank="0" text="" dxfId="3">
      <formula>1</formula>
    </cfRule>
  </conditionalFormatting>
  <conditionalFormatting sqref="D11:AQ40">
    <cfRule type="expression" priority="132" aboveAverage="0" equalAverage="0" bottom="0" percent="0" rank="0" text="" dxfId="32">
      <formula>D$9=Haltedauer</formula>
    </cfRule>
    <cfRule type="expression" priority="133" aboveAverage="0" equalAverage="0" bottom="0" percent="0" rank="0" text="" dxfId="3">
      <formula>1</formula>
    </cfRule>
  </conditionalFormatting>
  <hyperlinks>
    <hyperlink ref="B5" location="'Start'!A4" display="BERECHNUNG  ›  TILGUNGSPLAN"/>
    <hyperlink ref="D6" location="'S07 Finanzierung'!A4" display="Eingaben dazu: S07 Finanzierung  ›"/>
    <hyperlink ref="C12" location="'Finanzierung'!D11" display="↑ Übersicht"/>
    <hyperlink ref="C22" location="'Finanzierung'!D11" display="↑ Übersicht"/>
    <hyperlink ref="C33" location="'Finanzierung'!D11" display="↑ Übersicht"/>
  </hyperlinks>
  <printOptions headings="false" gridLines="false" gridLinesSet="true" horizontalCentered="true" verticalCentered="false"/>
  <pageMargins left="0.4" right="0.4" top="0.5" bottom="0.5" header="0.3" footer="0.3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colBreaks count="3" manualBreakCount="3">
    <brk id="13" man="true" max="65535" min="0"/>
    <brk id="23" man="true" max="65535" min="0"/>
    <brk id="33" man="true" max="65535" min="0"/>
  </colBreaks>
  <drawing r:id="rIdNavDrawing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C8"/>
    <outlinePr summaryBelow="0" summaryRight="1"/>
    <pageSetUpPr fitToPage="true"/>
  </sheetPr>
  <dimension ref="A1:AS13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1.51"/>
    <col collapsed="false" customWidth="true" hidden="false" outlineLevel="0" max="2" min="2" style="1" width="3"/>
    <col collapsed="false" customWidth="true" hidden="false" outlineLevel="0" max="3" min="3" style="1" width="46"/>
    <col collapsed="false" customWidth="true" hidden="false" outlineLevel="0" max="10" min="4" style="1" width="11"/>
    <col collapsed="false" customWidth="true" hidden="false" outlineLevel="0" max="11" min="11" style="1" width="3"/>
    <col collapsed="false" customWidth="true" hidden="false" outlineLevel="0" max="12" min="12" style="1" width="44"/>
    <col collapsed="false" customWidth="true" hidden="false" outlineLevel="0" max="13" min="13" style="1" width="16"/>
    <col collapsed="false" customWidth="true" hidden="true" outlineLevel="1" max="45" min="14" style="1" width="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customFormat="false" ht="33" hidden="false" customHeight="true" outlineLevel="0" collapsed="false">
      <c r="A2" s="2"/>
      <c r="B2" s="6"/>
      <c r="C2" s="5"/>
      <c r="D2" s="6"/>
      <c r="E2" s="6"/>
      <c r="F2" s="6"/>
      <c r="G2" s="6"/>
      <c r="H2" s="6"/>
      <c r="I2" s="6"/>
      <c r="J2" s="6"/>
      <c r="K2" s="6"/>
      <c r="L2" s="5"/>
      <c r="M2" s="4"/>
      <c r="N2" s="6"/>
      <c r="O2" s="5"/>
      <c r="P2" s="6"/>
      <c r="Q2" s="7"/>
      <c r="R2" s="7"/>
      <c r="S2" s="7"/>
      <c r="T2" s="8"/>
      <c r="U2" s="9"/>
      <c r="V2" s="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11"/>
      <c r="U3" s="11"/>
      <c r="V3" s="11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customFormat="false" ht="15.75" hidden="false" customHeight="true" outlineLevel="0" collapsed="false">
      <c r="A5" s="12"/>
      <c r="B5" s="404"/>
      <c r="C5" s="84" t="s">
        <v>1145</v>
      </c>
      <c r="D5" s="39"/>
      <c r="E5" s="39"/>
      <c r="F5" s="39"/>
      <c r="G5" s="39"/>
      <c r="H5" s="39"/>
      <c r="I5" s="39"/>
      <c r="J5" s="39"/>
      <c r="K5" s="39"/>
      <c r="L5" s="39"/>
      <c r="M5" s="85" t="s">
        <v>94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customFormat="false" ht="30" hidden="false" customHeight="true" outlineLevel="0" collapsed="false">
      <c r="A6" s="12"/>
      <c r="B6" s="405"/>
      <c r="C6" s="86" t="s">
        <v>1146</v>
      </c>
      <c r="D6" s="39"/>
      <c r="E6" s="39"/>
      <c r="F6" s="39"/>
      <c r="G6" s="39"/>
      <c r="H6" s="39"/>
      <c r="I6" s="39"/>
      <c r="J6" s="39"/>
      <c r="K6" s="39"/>
      <c r="L6" s="39"/>
      <c r="M6" s="105" t="str">
        <f aca="false">Obj_Name</f>
        <v>Beispiel: 3-Zimmer-Eigentumswohnung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customFormat="false" ht="21.75" hidden="false" customHeight="true" outlineLevel="0" collapsed="false">
      <c r="A7" s="12"/>
      <c r="B7" s="39"/>
      <c r="C7" s="106" t="s">
        <v>1147</v>
      </c>
      <c r="D7" s="39"/>
      <c r="E7" s="39"/>
      <c r="F7" s="39"/>
      <c r="G7" s="39"/>
      <c r="H7" s="39"/>
      <c r="I7" s="39"/>
      <c r="J7" s="39"/>
      <c r="K7" s="39"/>
      <c r="L7" s="39"/>
      <c r="M7" s="107" t="str">
        <f aca="false">Obj_Adresse&amp;IFERROR(IF(Erstellt_fuer="","","  ·  Erstellt für "&amp;Erstellt_fuer),"")</f>
        <v>Musterstraße 1, 88250 Weingarten  ·  Erstellt für Max Mustermann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customFormat="false" ht="24" hidden="false" customHeight="true" outlineLevel="0" collapsed="false">
      <c r="A8" s="12"/>
      <c r="B8" s="12"/>
      <c r="C8" s="33" t="s">
        <v>1148</v>
      </c>
      <c r="D8" s="42"/>
      <c r="E8" s="42"/>
      <c r="F8" s="42"/>
      <c r="G8" s="42"/>
      <c r="H8" s="42"/>
      <c r="I8" s="42"/>
      <c r="J8" s="262" t="s">
        <v>659</v>
      </c>
      <c r="K8" s="12"/>
      <c r="L8" s="118" t="s">
        <v>1149</v>
      </c>
      <c r="M8" s="11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customFormat="false" ht="18" hidden="false" customHeight="true" outlineLevel="0" collapsed="false">
      <c r="A9" s="12"/>
      <c r="B9" s="12"/>
      <c r="C9" s="72" t="s">
        <v>1150</v>
      </c>
      <c r="D9" s="129" t="n">
        <f aca="false">Miete_Monat</f>
        <v>950</v>
      </c>
      <c r="E9" s="70" t="s">
        <v>1151</v>
      </c>
      <c r="F9" s="406"/>
      <c r="G9" s="188"/>
      <c r="H9" s="188"/>
      <c r="I9" s="188"/>
      <c r="J9" s="188"/>
      <c r="K9" s="12"/>
      <c r="L9" s="120" t="s">
        <v>1152</v>
      </c>
      <c r="M9" s="120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customFormat="false" ht="18" hidden="false" customHeight="true" outlineLevel="0" collapsed="false">
      <c r="A10" s="12"/>
      <c r="B10" s="12"/>
      <c r="C10" s="407" t="s">
        <v>1153</v>
      </c>
      <c r="D10" s="189" t="n">
        <f aca="false">(BWK_J1+Kapitaldienst_J1)/(12*(1-Mietausfall_Pct))</f>
        <v>1416.66666666667</v>
      </c>
      <c r="E10" s="70" t="s">
        <v>1154</v>
      </c>
      <c r="F10" s="188"/>
      <c r="G10" s="188"/>
      <c r="H10" s="188"/>
      <c r="I10" s="188"/>
      <c r="J10" s="188"/>
      <c r="K10" s="12"/>
      <c r="L10" s="120"/>
      <c r="M10" s="12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customFormat="false" ht="18" hidden="false" customHeight="true" outlineLevel="0" collapsed="false">
      <c r="A11" s="12"/>
      <c r="B11" s="12"/>
      <c r="C11" s="408" t="s">
        <v>1155</v>
      </c>
      <c r="D11" s="129" t="n">
        <f aca="false">Miete_Monat-BE_Miete_vSt</f>
        <v>-466.666666666667</v>
      </c>
      <c r="E11" s="70" t="s">
        <v>1156</v>
      </c>
      <c r="F11" s="188"/>
      <c r="G11" s="188"/>
      <c r="H11" s="188"/>
      <c r="I11" s="409" t="str">
        <f aca="false">IF(AND(ISNUMBER($D$11),$D$11&lt;0),"●  kritisch",IF(ISNUMBER($D$11),"●  erfüllt",""))</f>
        <v>●  kritisch</v>
      </c>
      <c r="J11" s="409"/>
      <c r="K11" s="12"/>
      <c r="L11" s="120"/>
      <c r="M11" s="120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customFormat="false" ht="18" hidden="false" customHeight="true" outlineLevel="0" collapsed="false">
      <c r="A12" s="12"/>
      <c r="B12" s="12"/>
      <c r="C12" s="407" t="s">
        <v>1157</v>
      </c>
      <c r="D12" s="189" t="n">
        <f aca="false">IF(Steuersatz_J1&lt;1,(BWK_J1+Kapitaldienst_J1-Steuersatz_J1*INDEX(Steuern!$D$66:$AQ$66,1))/((1-Steuersatz_J1)*12*(1-Mietausfall_Pct)),0)</f>
        <v>457.887695995806</v>
      </c>
      <c r="E12" s="70" t="s">
        <v>1158</v>
      </c>
      <c r="F12" s="188"/>
      <c r="G12" s="188"/>
      <c r="H12" s="188"/>
      <c r="I12" s="188"/>
      <c r="J12" s="188"/>
      <c r="K12" s="12"/>
      <c r="L12" s="120"/>
      <c r="M12" s="120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customFormat="false" ht="18" hidden="false" customHeight="true" outlineLevel="0" collapsed="false">
      <c r="A13" s="12"/>
      <c r="B13" s="12"/>
      <c r="C13" s="408" t="s">
        <v>1155</v>
      </c>
      <c r="D13" s="129" t="n">
        <f aca="false">Miete_Monat-BE_Miete_nSt</f>
        <v>492.112304004195</v>
      </c>
      <c r="E13" s="70" t="s">
        <v>1159</v>
      </c>
      <c r="F13" s="188"/>
      <c r="G13" s="188"/>
      <c r="H13" s="188"/>
      <c r="I13" s="409" t="str">
        <f aca="false">IF(AND(ISNUMBER($D$13),$D$13&lt;0),"●  kritisch",IF(ISNUMBER($D$13),"●  erfüllt",""))</f>
        <v>●  erfüllt</v>
      </c>
      <c r="J13" s="409"/>
      <c r="K13" s="12"/>
      <c r="L13" s="120"/>
      <c r="M13" s="120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customFormat="false" ht="18" hidden="false" customHeight="true" outlineLevel="0" collapsed="false">
      <c r="A14" s="12"/>
      <c r="B14" s="12"/>
      <c r="C14" s="407" t="s">
        <v>1160</v>
      </c>
      <c r="D14" s="410" t="n">
        <f aca="false">IF(Darlehen_Summe&gt;0,(NOI_J1-Tilgung_J1)/Darlehen_Summe,0)</f>
        <v>0.014272</v>
      </c>
      <c r="E14" s="70" t="s">
        <v>1161</v>
      </c>
      <c r="F14" s="188"/>
      <c r="G14" s="188"/>
      <c r="H14" s="188"/>
      <c r="I14" s="409" t="str">
        <f aca="false">IF(AND(ISNUMBER($D$14),$D$14&lt;$D$15),"●  kritisch",IF(ISNUMBER($D$14),"●  erfüllt",""))</f>
        <v>●  kritisch</v>
      </c>
      <c r="J14" s="409"/>
      <c r="K14" s="12"/>
      <c r="L14" s="120"/>
      <c r="M14" s="12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customFormat="false" ht="18" hidden="false" customHeight="true" outlineLevel="0" collapsed="false">
      <c r="A15" s="12"/>
      <c r="B15" s="12"/>
      <c r="C15" s="408" t="s">
        <v>1162</v>
      </c>
      <c r="D15" s="114" t="n">
        <f aca="false">Zins_gew_J1</f>
        <v>0.036</v>
      </c>
      <c r="E15" s="70" t="s">
        <v>1163</v>
      </c>
      <c r="F15" s="364"/>
      <c r="G15" s="364"/>
      <c r="H15" s="364"/>
      <c r="I15" s="364"/>
      <c r="J15" s="364"/>
      <c r="K15" s="12"/>
      <c r="L15" s="120"/>
      <c r="M15" s="120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customFormat="false" ht="18" hidden="false" customHeight="true" outlineLevel="0" collapsed="false">
      <c r="A16" s="12"/>
      <c r="B16" s="12"/>
      <c r="C16" s="72" t="str">
        <f aca="false">"Kaufpreis für "&amp;FIXED(Ampel_BMR_gruen*100,1)&amp;" % Bruttomietrendite (Zielwert)"</f>
        <v>Kaufpreis für 5.0 % Bruttomietrendite (Zielwert)</v>
      </c>
      <c r="D16" s="129" t="n">
        <f aca="false">Jahresmiete/Ampel_BMR_gruen</f>
        <v>228000</v>
      </c>
      <c r="E16" s="70" t="s">
        <v>1164</v>
      </c>
      <c r="F16" s="364"/>
      <c r="G16" s="364"/>
      <c r="H16" s="364"/>
      <c r="I16" s="364"/>
      <c r="J16" s="364"/>
      <c r="K16" s="12"/>
      <c r="L16" s="120"/>
      <c r="M16" s="1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customFormat="false" ht="18" hidden="false" customHeight="true" outlineLevel="0" collapsed="false">
      <c r="A17" s="12"/>
      <c r="B17" s="12"/>
      <c r="C17" s="72" t="str">
        <f aca="false">"Kaufpreis für "&amp;FIXED(Ampel_BMR_gelb*100,1)&amp;" % Bruttomietrendite (Mindestwert)"</f>
        <v>Kaufpreis für 4.0 % Bruttomietrendite (Mindestwert)</v>
      </c>
      <c r="D17" s="129" t="n">
        <f aca="false">Jahresmiete/Ampel_BMR_gelb</f>
        <v>285000</v>
      </c>
      <c r="E17" s="70" t="s">
        <v>1165</v>
      </c>
      <c r="F17" s="364"/>
      <c r="G17" s="364"/>
      <c r="H17" s="364"/>
      <c r="I17" s="364"/>
      <c r="J17" s="364"/>
      <c r="K17" s="12"/>
      <c r="L17" s="120"/>
      <c r="M17" s="120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customFormat="false" ht="18" hidden="false" customHeight="true" outlineLevel="0" collapsed="false">
      <c r="A18" s="12"/>
      <c r="B18" s="12"/>
      <c r="C18" s="72" t="s">
        <v>1166</v>
      </c>
      <c r="D18" s="129" t="n">
        <f aca="false">Restschuld_ZB_I*0.01</f>
        <v>1910.71230070512</v>
      </c>
      <c r="E18" s="70" t="s">
        <v>1167</v>
      </c>
      <c r="F18" s="364"/>
      <c r="G18" s="364"/>
      <c r="H18" s="364"/>
      <c r="I18" s="364"/>
      <c r="J18" s="364"/>
      <c r="K18" s="12"/>
      <c r="L18" s="120"/>
      <c r="M18" s="120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customFormat="false" ht="12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9"/>
      <c r="M19" s="9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customFormat="false" ht="24" hidden="false" customHeight="true" outlineLevel="0" collapsed="false">
      <c r="A20" s="12"/>
      <c r="B20" s="12"/>
      <c r="C20" s="33" t="s">
        <v>1168</v>
      </c>
      <c r="D20" s="42"/>
      <c r="E20" s="42"/>
      <c r="F20" s="42"/>
      <c r="G20" s="42"/>
      <c r="H20" s="42"/>
      <c r="I20" s="42"/>
      <c r="J20" s="262" t="s">
        <v>659</v>
      </c>
      <c r="K20" s="12"/>
      <c r="L20" s="118" t="s">
        <v>1169</v>
      </c>
      <c r="M20" s="118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customFormat="false" ht="19.5" hidden="false" customHeight="true" outlineLevel="0" collapsed="false">
      <c r="A21" s="12"/>
      <c r="B21" s="12"/>
      <c r="C21" s="122" t="s">
        <v>1170</v>
      </c>
      <c r="D21" s="411"/>
      <c r="E21" s="411"/>
      <c r="F21" s="411"/>
      <c r="G21" s="411"/>
      <c r="H21" s="411"/>
      <c r="I21" s="411"/>
      <c r="J21" s="412" t="s">
        <v>1171</v>
      </c>
      <c r="K21" s="12"/>
      <c r="L21" s="120" t="s">
        <v>1172</v>
      </c>
      <c r="M21" s="120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customFormat="false" ht="6" hidden="false" customHeight="true" outlineLevel="0" collapsed="false">
      <c r="A22" s="12"/>
      <c r="B22" s="12"/>
      <c r="C22" s="413"/>
      <c r="D22" s="39"/>
      <c r="E22" s="39"/>
      <c r="F22" s="39"/>
      <c r="G22" s="39"/>
      <c r="H22" s="39"/>
      <c r="I22" s="39"/>
      <c r="J22" s="39"/>
      <c r="K22" s="12"/>
      <c r="L22" s="120"/>
      <c r="M22" s="120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customFormat="false" ht="19.5" hidden="false" customHeight="true" outlineLevel="0" collapsed="false">
      <c r="A23" s="12"/>
      <c r="B23" s="12"/>
      <c r="C23" s="414" t="s">
        <v>1173</v>
      </c>
      <c r="D23" s="415" t="n">
        <v>-0.015</v>
      </c>
      <c r="E23" s="415" t="n">
        <v>-0.01</v>
      </c>
      <c r="F23" s="415" t="n">
        <v>-0.005</v>
      </c>
      <c r="G23" s="416" t="n">
        <v>0</v>
      </c>
      <c r="H23" s="415" t="n">
        <v>0.005</v>
      </c>
      <c r="I23" s="415" t="n">
        <v>0.01</v>
      </c>
      <c r="J23" s="415" t="n">
        <v>0.015</v>
      </c>
      <c r="K23" s="12"/>
      <c r="L23" s="120"/>
      <c r="M23" s="120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customFormat="false" ht="15.75" hidden="false" customHeight="true" outlineLevel="0" collapsed="false">
      <c r="A24" s="12"/>
      <c r="B24" s="12"/>
      <c r="C24" s="417" t="n">
        <v>-0.15</v>
      </c>
      <c r="D24" s="206" t="n">
        <f aca="false">(CF_nSt_J1+Miete_Ist_J1*$C24*(1-Steuersatz_J1)-Darlehen_I*D$23*(1-Steuersatz_J1))/12</f>
        <v>350.190522093917</v>
      </c>
      <c r="E24" s="206" t="n">
        <f aca="false">(CF_nSt_J1+Miete_Ist_J1*$C24*(1-Steuersatz_J1)-Darlehen_I*E$23*(1-Steuersatz_J1))/12</f>
        <v>294.210105427251</v>
      </c>
      <c r="F24" s="206" t="n">
        <f aca="false">(CF_nSt_J1+Miete_Ist_J1*$C24*(1-Steuersatz_J1)-Darlehen_I*F$23*(1-Steuersatz_J1))/12</f>
        <v>238.229688760584</v>
      </c>
      <c r="G24" s="206" t="n">
        <f aca="false">(CF_nSt_J1+Miete_Ist_J1*$C24*(1-Steuersatz_J1)-Darlehen_I*G$23*(1-Steuersatz_J1))/12</f>
        <v>182.249272093917</v>
      </c>
      <c r="H24" s="206" t="n">
        <f aca="false">(CF_nSt_J1+Miete_Ist_J1*$C24*(1-Steuersatz_J1)-Darlehen_I*H$23*(1-Steuersatz_J1))/12</f>
        <v>126.268855427251</v>
      </c>
      <c r="I24" s="206" t="n">
        <f aca="false">(CF_nSt_J1+Miete_Ist_J1*$C24*(1-Steuersatz_J1)-Darlehen_I*I$23*(1-Steuersatz_J1))/12</f>
        <v>70.288438760584</v>
      </c>
      <c r="J24" s="206" t="n">
        <f aca="false">(CF_nSt_J1+Miete_Ist_J1*$C24*(1-Steuersatz_J1)-Darlehen_I*J$23*(1-Steuersatz_J1))/12</f>
        <v>14.3080220939173</v>
      </c>
      <c r="K24" s="12"/>
      <c r="L24" s="120"/>
      <c r="M24" s="120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customFormat="false" ht="15.75" hidden="false" customHeight="true" outlineLevel="0" collapsed="false">
      <c r="A25" s="12"/>
      <c r="B25" s="12"/>
      <c r="C25" s="417" t="n">
        <v>-0.1</v>
      </c>
      <c r="D25" s="206" t="n">
        <f aca="false">(CF_nSt_J1+Miete_Ist_J1*$C25*(1-Steuersatz_J1)-Darlehen_I*D$23*(1-Steuersatz_J1))/12</f>
        <v>374.951779993917</v>
      </c>
      <c r="E25" s="206" t="n">
        <f aca="false">(CF_nSt_J1+Miete_Ist_J1*$C25*(1-Steuersatz_J1)-Darlehen_I*E$23*(1-Steuersatz_J1))/12</f>
        <v>318.971363327251</v>
      </c>
      <c r="F25" s="206" t="n">
        <f aca="false">(CF_nSt_J1+Miete_Ist_J1*$C25*(1-Steuersatz_J1)-Darlehen_I*F$23*(1-Steuersatz_J1))/12</f>
        <v>262.990946660584</v>
      </c>
      <c r="G25" s="206" t="n">
        <f aca="false">(CF_nSt_J1+Miete_Ist_J1*$C25*(1-Steuersatz_J1)-Darlehen_I*G$23*(1-Steuersatz_J1))/12</f>
        <v>207.010529993917</v>
      </c>
      <c r="H25" s="206" t="n">
        <f aca="false">(CF_nSt_J1+Miete_Ist_J1*$C25*(1-Steuersatz_J1)-Darlehen_I*H$23*(1-Steuersatz_J1))/12</f>
        <v>151.030113327251</v>
      </c>
      <c r="I25" s="206" t="n">
        <f aca="false">(CF_nSt_J1+Miete_Ist_J1*$C25*(1-Steuersatz_J1)-Darlehen_I*I$23*(1-Steuersatz_J1))/12</f>
        <v>95.049696660584</v>
      </c>
      <c r="J25" s="206" t="n">
        <f aca="false">(CF_nSt_J1+Miete_Ist_J1*$C25*(1-Steuersatz_J1)-Darlehen_I*J$23*(1-Steuersatz_J1))/12</f>
        <v>39.0692799939173</v>
      </c>
      <c r="K25" s="12"/>
      <c r="L25" s="120"/>
      <c r="M25" s="120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customFormat="false" ht="15.75" hidden="false" customHeight="true" outlineLevel="0" collapsed="false">
      <c r="A26" s="12"/>
      <c r="B26" s="12"/>
      <c r="C26" s="417" t="n">
        <v>-0.05</v>
      </c>
      <c r="D26" s="206" t="n">
        <f aca="false">(CF_nSt_J1+Miete_Ist_J1*$C26*(1-Steuersatz_J1)-Darlehen_I*D$23*(1-Steuersatz_J1))/12</f>
        <v>399.713037893917</v>
      </c>
      <c r="E26" s="206" t="n">
        <f aca="false">(CF_nSt_J1+Miete_Ist_J1*$C26*(1-Steuersatz_J1)-Darlehen_I*E$23*(1-Steuersatz_J1))/12</f>
        <v>343.732621227251</v>
      </c>
      <c r="F26" s="206" t="n">
        <f aca="false">(CF_nSt_J1+Miete_Ist_J1*$C26*(1-Steuersatz_J1)-Darlehen_I*F$23*(1-Steuersatz_J1))/12</f>
        <v>287.752204560584</v>
      </c>
      <c r="G26" s="206" t="n">
        <f aca="false">(CF_nSt_J1+Miete_Ist_J1*$C26*(1-Steuersatz_J1)-Darlehen_I*G$23*(1-Steuersatz_J1))/12</f>
        <v>231.771787893917</v>
      </c>
      <c r="H26" s="206" t="n">
        <f aca="false">(CF_nSt_J1+Miete_Ist_J1*$C26*(1-Steuersatz_J1)-Darlehen_I*H$23*(1-Steuersatz_J1))/12</f>
        <v>175.791371227251</v>
      </c>
      <c r="I26" s="206" t="n">
        <f aca="false">(CF_nSt_J1+Miete_Ist_J1*$C26*(1-Steuersatz_J1)-Darlehen_I*I$23*(1-Steuersatz_J1))/12</f>
        <v>119.810954560584</v>
      </c>
      <c r="J26" s="206" t="n">
        <f aca="false">(CF_nSt_J1+Miete_Ist_J1*$C26*(1-Steuersatz_J1)-Darlehen_I*J$23*(1-Steuersatz_J1))/12</f>
        <v>63.8305378939173</v>
      </c>
      <c r="K26" s="12"/>
      <c r="L26" s="120"/>
      <c r="M26" s="120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</row>
    <row r="27" customFormat="false" ht="15.75" hidden="false" customHeight="true" outlineLevel="0" collapsed="false">
      <c r="A27" s="12"/>
      <c r="B27" s="12"/>
      <c r="C27" s="418" t="n">
        <v>0</v>
      </c>
      <c r="D27" s="206" t="n">
        <f aca="false">(CF_nSt_J1+Miete_Ist_J1*$C27*(1-Steuersatz_J1)-Darlehen_I*D$23*(1-Steuersatz_J1))/12</f>
        <v>424.474295793917</v>
      </c>
      <c r="E27" s="206" t="n">
        <f aca="false">(CF_nSt_J1+Miete_Ist_J1*$C27*(1-Steuersatz_J1)-Darlehen_I*E$23*(1-Steuersatz_J1))/12</f>
        <v>368.493879127251</v>
      </c>
      <c r="F27" s="206" t="n">
        <f aca="false">(CF_nSt_J1+Miete_Ist_J1*$C27*(1-Steuersatz_J1)-Darlehen_I*F$23*(1-Steuersatz_J1))/12</f>
        <v>312.513462460584</v>
      </c>
      <c r="G27" s="419" t="n">
        <f aca="false">(CF_nSt_J1+Miete_Ist_J1*$C27*(1-Steuersatz_J1)-Darlehen_I*G$23*(1-Steuersatz_J1))/12</f>
        <v>256.533045793917</v>
      </c>
      <c r="H27" s="206" t="n">
        <f aca="false">(CF_nSt_J1+Miete_Ist_J1*$C27*(1-Steuersatz_J1)-Darlehen_I*H$23*(1-Steuersatz_J1))/12</f>
        <v>200.552629127251</v>
      </c>
      <c r="I27" s="206" t="n">
        <f aca="false">(CF_nSt_J1+Miete_Ist_J1*$C27*(1-Steuersatz_J1)-Darlehen_I*I$23*(1-Steuersatz_J1))/12</f>
        <v>144.572212460584</v>
      </c>
      <c r="J27" s="206" t="n">
        <f aca="false">(CF_nSt_J1+Miete_Ist_J1*$C27*(1-Steuersatz_J1)-Darlehen_I*J$23*(1-Steuersatz_J1))/12</f>
        <v>88.5917957939173</v>
      </c>
      <c r="K27" s="12"/>
      <c r="L27" s="120"/>
      <c r="M27" s="120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customFormat="false" ht="15.75" hidden="false" customHeight="true" outlineLevel="0" collapsed="false">
      <c r="A28" s="12"/>
      <c r="B28" s="12"/>
      <c r="C28" s="417" t="n">
        <v>0.05</v>
      </c>
      <c r="D28" s="206" t="n">
        <f aca="false">(CF_nSt_J1+Miete_Ist_J1*$C28*(1-Steuersatz_J1)-Darlehen_I*D$23*(1-Steuersatz_J1))/12</f>
        <v>449.235553693917</v>
      </c>
      <c r="E28" s="206" t="n">
        <f aca="false">(CF_nSt_J1+Miete_Ist_J1*$C28*(1-Steuersatz_J1)-Darlehen_I*E$23*(1-Steuersatz_J1))/12</f>
        <v>393.255137027251</v>
      </c>
      <c r="F28" s="206" t="n">
        <f aca="false">(CF_nSt_J1+Miete_Ist_J1*$C28*(1-Steuersatz_J1)-Darlehen_I*F$23*(1-Steuersatz_J1))/12</f>
        <v>337.274720360584</v>
      </c>
      <c r="G28" s="206" t="n">
        <f aca="false">(CF_nSt_J1+Miete_Ist_J1*$C28*(1-Steuersatz_J1)-Darlehen_I*G$23*(1-Steuersatz_J1))/12</f>
        <v>281.294303693917</v>
      </c>
      <c r="H28" s="206" t="n">
        <f aca="false">(CF_nSt_J1+Miete_Ist_J1*$C28*(1-Steuersatz_J1)-Darlehen_I*H$23*(1-Steuersatz_J1))/12</f>
        <v>225.313887027251</v>
      </c>
      <c r="I28" s="206" t="n">
        <f aca="false">(CF_nSt_J1+Miete_Ist_J1*$C28*(1-Steuersatz_J1)-Darlehen_I*I$23*(1-Steuersatz_J1))/12</f>
        <v>169.333470360584</v>
      </c>
      <c r="J28" s="206" t="n">
        <f aca="false">(CF_nSt_J1+Miete_Ist_J1*$C28*(1-Steuersatz_J1)-Darlehen_I*J$23*(1-Steuersatz_J1))/12</f>
        <v>113.353053693917</v>
      </c>
      <c r="K28" s="12"/>
      <c r="L28" s="120"/>
      <c r="M28" s="120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customFormat="false" ht="15.75" hidden="false" customHeight="true" outlineLevel="0" collapsed="false">
      <c r="A29" s="12"/>
      <c r="B29" s="12"/>
      <c r="C29" s="417" t="n">
        <v>0.1</v>
      </c>
      <c r="D29" s="206" t="n">
        <f aca="false">(CF_nSt_J1+Miete_Ist_J1*$C29*(1-Steuersatz_J1)-Darlehen_I*D$23*(1-Steuersatz_J1))/12</f>
        <v>473.996811593917</v>
      </c>
      <c r="E29" s="206" t="n">
        <f aca="false">(CF_nSt_J1+Miete_Ist_J1*$C29*(1-Steuersatz_J1)-Darlehen_I*E$23*(1-Steuersatz_J1))/12</f>
        <v>418.016394927251</v>
      </c>
      <c r="F29" s="206" t="n">
        <f aca="false">(CF_nSt_J1+Miete_Ist_J1*$C29*(1-Steuersatz_J1)-Darlehen_I*F$23*(1-Steuersatz_J1))/12</f>
        <v>362.035978260584</v>
      </c>
      <c r="G29" s="206" t="n">
        <f aca="false">(CF_nSt_J1+Miete_Ist_J1*$C29*(1-Steuersatz_J1)-Darlehen_I*G$23*(1-Steuersatz_J1))/12</f>
        <v>306.055561593917</v>
      </c>
      <c r="H29" s="206" t="n">
        <f aca="false">(CF_nSt_J1+Miete_Ist_J1*$C29*(1-Steuersatz_J1)-Darlehen_I*H$23*(1-Steuersatz_J1))/12</f>
        <v>250.075144927251</v>
      </c>
      <c r="I29" s="206" t="n">
        <f aca="false">(CF_nSt_J1+Miete_Ist_J1*$C29*(1-Steuersatz_J1)-Darlehen_I*I$23*(1-Steuersatz_J1))/12</f>
        <v>194.094728260584</v>
      </c>
      <c r="J29" s="206" t="n">
        <f aca="false">(CF_nSt_J1+Miete_Ist_J1*$C29*(1-Steuersatz_J1)-Darlehen_I*J$23*(1-Steuersatz_J1))/12</f>
        <v>138.114311593917</v>
      </c>
      <c r="K29" s="12"/>
      <c r="L29" s="120"/>
      <c r="M29" s="120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customFormat="false" ht="15.75" hidden="false" customHeight="true" outlineLevel="0" collapsed="false">
      <c r="A30" s="12"/>
      <c r="B30" s="12"/>
      <c r="C30" s="417" t="n">
        <v>0.15</v>
      </c>
      <c r="D30" s="206" t="n">
        <f aca="false">(CF_nSt_J1+Miete_Ist_J1*$C30*(1-Steuersatz_J1)-Darlehen_I*D$23*(1-Steuersatz_J1))/12</f>
        <v>498.758069493917</v>
      </c>
      <c r="E30" s="206" t="n">
        <f aca="false">(CF_nSt_J1+Miete_Ist_J1*$C30*(1-Steuersatz_J1)-Darlehen_I*E$23*(1-Steuersatz_J1))/12</f>
        <v>442.777652827251</v>
      </c>
      <c r="F30" s="206" t="n">
        <f aca="false">(CF_nSt_J1+Miete_Ist_J1*$C30*(1-Steuersatz_J1)-Darlehen_I*F$23*(1-Steuersatz_J1))/12</f>
        <v>386.797236160584</v>
      </c>
      <c r="G30" s="206" t="n">
        <f aca="false">(CF_nSt_J1+Miete_Ist_J1*$C30*(1-Steuersatz_J1)-Darlehen_I*G$23*(1-Steuersatz_J1))/12</f>
        <v>330.816819493917</v>
      </c>
      <c r="H30" s="206" t="n">
        <f aca="false">(CF_nSt_J1+Miete_Ist_J1*$C30*(1-Steuersatz_J1)-Darlehen_I*H$23*(1-Steuersatz_J1))/12</f>
        <v>274.836402827251</v>
      </c>
      <c r="I30" s="206" t="n">
        <f aca="false">(CF_nSt_J1+Miete_Ist_J1*$C30*(1-Steuersatz_J1)-Darlehen_I*I$23*(1-Steuersatz_J1))/12</f>
        <v>218.855986160584</v>
      </c>
      <c r="J30" s="206" t="n">
        <f aca="false">(CF_nSt_J1+Miete_Ist_J1*$C30*(1-Steuersatz_J1)-Darlehen_I*J$23*(1-Steuersatz_J1))/12</f>
        <v>162.875569493917</v>
      </c>
      <c r="K30" s="12"/>
      <c r="L30" s="120"/>
      <c r="M30" s="120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customFormat="false" ht="12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0"/>
      <c r="M31" s="120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customFormat="false" ht="19.5" hidden="false" customHeight="true" outlineLevel="0" collapsed="false">
      <c r="A32" s="12"/>
      <c r="B32" s="12"/>
      <c r="C32" s="122" t="s">
        <v>1174</v>
      </c>
      <c r="D32" s="411"/>
      <c r="E32" s="411"/>
      <c r="F32" s="411"/>
      <c r="G32" s="411"/>
      <c r="H32" s="411"/>
      <c r="I32" s="411"/>
      <c r="J32" s="412" t="str">
        <f aca="false">"Rote Schrift = kritisch (&lt; "&amp;FIXED(Ampel_DSCR_gelb,2)&amp;"×)   ·   "&amp;"Ziel ≥ "&amp;FIXED(Ampel_DSCR_gruen,2)&amp;"×"&amp;"   ·   □ aktuelle Annahme"</f>
        <v>Rote Schrift = kritisch (&lt; 1.00×)   ·   Ziel ≥ 1.20×   ·   □ aktuelle Annahme</v>
      </c>
      <c r="K32" s="12"/>
      <c r="L32" s="120"/>
      <c r="M32" s="120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customFormat="false" ht="6" hidden="false" customHeight="true" outlineLevel="0" collapsed="false">
      <c r="A33" s="12"/>
      <c r="B33" s="12"/>
      <c r="C33" s="413"/>
      <c r="D33" s="39"/>
      <c r="E33" s="39"/>
      <c r="F33" s="39"/>
      <c r="G33" s="39"/>
      <c r="H33" s="39"/>
      <c r="I33" s="39"/>
      <c r="J33" s="39"/>
      <c r="K33" s="12"/>
      <c r="L33" s="120"/>
      <c r="M33" s="120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customFormat="false" ht="19.5" hidden="false" customHeight="true" outlineLevel="0" collapsed="false">
      <c r="A34" s="12"/>
      <c r="B34" s="12"/>
      <c r="C34" s="414" t="s">
        <v>1173</v>
      </c>
      <c r="D34" s="415" t="n">
        <v>-0.015</v>
      </c>
      <c r="E34" s="415" t="n">
        <v>-0.01</v>
      </c>
      <c r="F34" s="415" t="n">
        <v>-0.005</v>
      </c>
      <c r="G34" s="416" t="n">
        <v>0</v>
      </c>
      <c r="H34" s="415" t="n">
        <v>0.005</v>
      </c>
      <c r="I34" s="415" t="n">
        <v>0.01</v>
      </c>
      <c r="J34" s="415" t="n">
        <v>0.015</v>
      </c>
      <c r="K34" s="12"/>
      <c r="L34" s="120"/>
      <c r="M34" s="120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customFormat="false" ht="15.75" hidden="false" customHeight="true" outlineLevel="0" collapsed="false">
      <c r="A35" s="12"/>
      <c r="B35" s="12"/>
      <c r="C35" s="417" t="n">
        <v>-0.15</v>
      </c>
      <c r="D35" s="158" t="n">
        <f aca="false">IF(Kapitaldienst_J1+Darlehen_I*D$34&gt;0,(NOI_J1+Miete_Ist_J1*$C35)/(Kapitaldienst_J1+Darlehen_I*D$34),0)</f>
        <v>0.674078048780488</v>
      </c>
      <c r="E35" s="158" t="n">
        <f aca="false">IF(Kapitaldienst_J1+Darlehen_I*E$34&gt;0,(NOI_J1+Miete_Ist_J1*$C35)/(Kapitaldienst_J1+Darlehen_I*E$34),0)</f>
        <v>0.600808695652174</v>
      </c>
      <c r="F35" s="158" t="n">
        <f aca="false">IF(Kapitaldienst_J1+Darlehen_I*F$34&gt;0,(NOI_J1+Miete_Ist_J1*$C35)/(Kapitaldienst_J1+Darlehen_I*F$34),0)</f>
        <v>0.541905882352941</v>
      </c>
      <c r="G35" s="158" t="n">
        <f aca="false">IF(Kapitaldienst_J1+Darlehen_I*G$34&gt;0,(NOI_J1+Miete_Ist_J1*$C35)/(Kapitaldienst_J1+Darlehen_I*G$34),0)</f>
        <v>0.493521428571429</v>
      </c>
      <c r="H35" s="158" t="n">
        <f aca="false">IF(Kapitaldienst_J1+Darlehen_I*H$34&gt;0,(NOI_J1+Miete_Ist_J1*$C35)/(Kapitaldienst_J1+Darlehen_I*H$34),0)</f>
        <v>0.453068852459016</v>
      </c>
      <c r="I35" s="158" t="n">
        <f aca="false">IF(Kapitaldienst_J1+Darlehen_I*I$34&gt;0,(NOI_J1+Miete_Ist_J1*$C35)/(Kapitaldienst_J1+Darlehen_I*I$34),0)</f>
        <v>0.418745454545455</v>
      </c>
      <c r="J35" s="158" t="n">
        <f aca="false">IF(Kapitaldienst_J1+Darlehen_I*J$34&gt;0,(NOI_J1+Miete_Ist_J1*$C35)/(Kapitaldienst_J1+Darlehen_I*J$34),0)</f>
        <v>0.389256338028169</v>
      </c>
      <c r="K35" s="12"/>
      <c r="L35" s="120"/>
      <c r="M35" s="120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customFormat="false" ht="15.75" hidden="false" customHeight="true" outlineLevel="0" collapsed="false">
      <c r="A36" s="12"/>
      <c r="B36" s="12"/>
      <c r="C36" s="417" t="n">
        <v>-0.1</v>
      </c>
      <c r="D36" s="158" t="n">
        <f aca="false">IF(Kapitaldienst_J1+Darlehen_I*D$34&gt;0,(NOI_J1+Miete_Ist_J1*$C36)/(Kapitaldienst_J1+Darlehen_I*D$34),0)</f>
        <v>0.728019512195122</v>
      </c>
      <c r="E36" s="158" t="n">
        <f aca="false">IF(Kapitaldienst_J1+Darlehen_I*E$34&gt;0,(NOI_J1+Miete_Ist_J1*$C36)/(Kapitaldienst_J1+Darlehen_I*E$34),0)</f>
        <v>0.648886956521739</v>
      </c>
      <c r="F36" s="158" t="n">
        <f aca="false">IF(Kapitaldienst_J1+Darlehen_I*F$34&gt;0,(NOI_J1+Miete_Ist_J1*$C36)/(Kapitaldienst_J1+Darlehen_I*F$34),0)</f>
        <v>0.585270588235294</v>
      </c>
      <c r="G36" s="158" t="n">
        <f aca="false">IF(Kapitaldienst_J1+Darlehen_I*G$34&gt;0,(NOI_J1+Miete_Ist_J1*$C36)/(Kapitaldienst_J1+Darlehen_I*G$34),0)</f>
        <v>0.533014285714286</v>
      </c>
      <c r="H36" s="158" t="n">
        <f aca="false">IF(Kapitaldienst_J1+Darlehen_I*H$34&gt;0,(NOI_J1+Miete_Ist_J1*$C36)/(Kapitaldienst_J1+Darlehen_I*H$34),0)</f>
        <v>0.489324590163935</v>
      </c>
      <c r="I36" s="158" t="n">
        <f aca="false">IF(Kapitaldienst_J1+Darlehen_I*I$34&gt;0,(NOI_J1+Miete_Ist_J1*$C36)/(Kapitaldienst_J1+Darlehen_I*I$34),0)</f>
        <v>0.452254545454545</v>
      </c>
      <c r="J36" s="158" t="n">
        <f aca="false">IF(Kapitaldienst_J1+Darlehen_I*J$34&gt;0,(NOI_J1+Miete_Ist_J1*$C36)/(Kapitaldienst_J1+Darlehen_I*J$34),0)</f>
        <v>0.420405633802817</v>
      </c>
      <c r="K36" s="12"/>
      <c r="L36" s="120"/>
      <c r="M36" s="120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customFormat="false" ht="15.75" hidden="false" customHeight="true" outlineLevel="0" collapsed="false">
      <c r="A37" s="12"/>
      <c r="B37" s="12"/>
      <c r="C37" s="417" t="n">
        <v>-0.05</v>
      </c>
      <c r="D37" s="158" t="n">
        <f aca="false">IF(Kapitaldienst_J1+Darlehen_I*D$34&gt;0,(NOI_J1+Miete_Ist_J1*$C37)/(Kapitaldienst_J1+Darlehen_I*D$34),0)</f>
        <v>0.781960975609756</v>
      </c>
      <c r="E37" s="158" t="n">
        <f aca="false">IF(Kapitaldienst_J1+Darlehen_I*E$34&gt;0,(NOI_J1+Miete_Ist_J1*$C37)/(Kapitaldienst_J1+Darlehen_I*E$34),0)</f>
        <v>0.696965217391305</v>
      </c>
      <c r="F37" s="158" t="n">
        <f aca="false">IF(Kapitaldienst_J1+Darlehen_I*F$34&gt;0,(NOI_J1+Miete_Ist_J1*$C37)/(Kapitaldienst_J1+Darlehen_I*F$34),0)</f>
        <v>0.628635294117647</v>
      </c>
      <c r="G37" s="158" t="n">
        <f aca="false">IF(Kapitaldienst_J1+Darlehen_I*G$34&gt;0,(NOI_J1+Miete_Ist_J1*$C37)/(Kapitaldienst_J1+Darlehen_I*G$34),0)</f>
        <v>0.572507142857143</v>
      </c>
      <c r="H37" s="158" t="n">
        <f aca="false">IF(Kapitaldienst_J1+Darlehen_I*H$34&gt;0,(NOI_J1+Miete_Ist_J1*$C37)/(Kapitaldienst_J1+Darlehen_I*H$34),0)</f>
        <v>0.525580327868853</v>
      </c>
      <c r="I37" s="158" t="n">
        <f aca="false">IF(Kapitaldienst_J1+Darlehen_I*I$34&gt;0,(NOI_J1+Miete_Ist_J1*$C37)/(Kapitaldienst_J1+Darlehen_I*I$34),0)</f>
        <v>0.485763636363636</v>
      </c>
      <c r="J37" s="158" t="n">
        <f aca="false">IF(Kapitaldienst_J1+Darlehen_I*J$34&gt;0,(NOI_J1+Miete_Ist_J1*$C37)/(Kapitaldienst_J1+Darlehen_I*J$34),0)</f>
        <v>0.451554929577465</v>
      </c>
      <c r="K37" s="12"/>
      <c r="L37" s="120"/>
      <c r="M37" s="120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customFormat="false" ht="15.75" hidden="false" customHeight="true" outlineLevel="0" collapsed="false">
      <c r="A38" s="12"/>
      <c r="B38" s="12"/>
      <c r="C38" s="418" t="n">
        <v>0</v>
      </c>
      <c r="D38" s="158" t="n">
        <f aca="false">IF(Kapitaldienst_J1+Darlehen_I*D$34&gt;0,(NOI_J1+Miete_Ist_J1*$C38)/(Kapitaldienst_J1+Darlehen_I*D$34),0)</f>
        <v>0.83590243902439</v>
      </c>
      <c r="E38" s="158" t="n">
        <f aca="false">IF(Kapitaldienst_J1+Darlehen_I*E$34&gt;0,(NOI_J1+Miete_Ist_J1*$C38)/(Kapitaldienst_J1+Darlehen_I*E$34),0)</f>
        <v>0.74504347826087</v>
      </c>
      <c r="F38" s="158" t="n">
        <f aca="false">IF(Kapitaldienst_J1+Darlehen_I*F$34&gt;0,(NOI_J1+Miete_Ist_J1*$C38)/(Kapitaldienst_J1+Darlehen_I*F$34),0)</f>
        <v>0.672</v>
      </c>
      <c r="G38" s="420" t="n">
        <f aca="false">IF(Kapitaldienst_J1+Darlehen_I*G$34&gt;0,(NOI_J1+Miete_Ist_J1*$C38)/(Kapitaldienst_J1+Darlehen_I*G$34),0)</f>
        <v>0.612</v>
      </c>
      <c r="H38" s="158" t="n">
        <f aca="false">IF(Kapitaldienst_J1+Darlehen_I*H$34&gt;0,(NOI_J1+Miete_Ist_J1*$C38)/(Kapitaldienst_J1+Darlehen_I*H$34),0)</f>
        <v>0.561836065573771</v>
      </c>
      <c r="I38" s="158" t="n">
        <f aca="false">IF(Kapitaldienst_J1+Darlehen_I*I$34&gt;0,(NOI_J1+Miete_Ist_J1*$C38)/(Kapitaldienst_J1+Darlehen_I*I$34),0)</f>
        <v>0.519272727272727</v>
      </c>
      <c r="J38" s="158" t="n">
        <f aca="false">IF(Kapitaldienst_J1+Darlehen_I*J$34&gt;0,(NOI_J1+Miete_Ist_J1*$C38)/(Kapitaldienst_J1+Darlehen_I*J$34),0)</f>
        <v>0.482704225352113</v>
      </c>
      <c r="K38" s="12"/>
      <c r="L38" s="120"/>
      <c r="M38" s="120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customFormat="false" ht="15.75" hidden="false" customHeight="true" outlineLevel="0" collapsed="false">
      <c r="A39" s="12"/>
      <c r="B39" s="12"/>
      <c r="C39" s="417" t="n">
        <v>0.05</v>
      </c>
      <c r="D39" s="158" t="n">
        <f aca="false">IF(Kapitaldienst_J1+Darlehen_I*D$34&gt;0,(NOI_J1+Miete_Ist_J1*$C39)/(Kapitaldienst_J1+Darlehen_I*D$34),0)</f>
        <v>0.889843902439025</v>
      </c>
      <c r="E39" s="158" t="n">
        <f aca="false">IF(Kapitaldienst_J1+Darlehen_I*E$34&gt;0,(NOI_J1+Miete_Ist_J1*$C39)/(Kapitaldienst_J1+Darlehen_I*E$34),0)</f>
        <v>0.793121739130435</v>
      </c>
      <c r="F39" s="158" t="n">
        <f aca="false">IF(Kapitaldienst_J1+Darlehen_I*F$34&gt;0,(NOI_J1+Miete_Ist_J1*$C39)/(Kapitaldienst_J1+Darlehen_I*F$34),0)</f>
        <v>0.715364705882353</v>
      </c>
      <c r="G39" s="158" t="n">
        <f aca="false">IF(Kapitaldienst_J1+Darlehen_I*G$34&gt;0,(NOI_J1+Miete_Ist_J1*$C39)/(Kapitaldienst_J1+Darlehen_I*G$34),0)</f>
        <v>0.651492857142857</v>
      </c>
      <c r="H39" s="158" t="n">
        <f aca="false">IF(Kapitaldienst_J1+Darlehen_I*H$34&gt;0,(NOI_J1+Miete_Ist_J1*$C39)/(Kapitaldienst_J1+Darlehen_I*H$34),0)</f>
        <v>0.598091803278689</v>
      </c>
      <c r="I39" s="158" t="n">
        <f aca="false">IF(Kapitaldienst_J1+Darlehen_I*I$34&gt;0,(NOI_J1+Miete_Ist_J1*$C39)/(Kapitaldienst_J1+Darlehen_I*I$34),0)</f>
        <v>0.552781818181818</v>
      </c>
      <c r="J39" s="158" t="n">
        <f aca="false">IF(Kapitaldienst_J1+Darlehen_I*J$34&gt;0,(NOI_J1+Miete_Ist_J1*$C39)/(Kapitaldienst_J1+Darlehen_I*J$34),0)</f>
        <v>0.513853521126761</v>
      </c>
      <c r="K39" s="12"/>
      <c r="L39" s="120"/>
      <c r="M39" s="120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customFormat="false" ht="15.75" hidden="false" customHeight="true" outlineLevel="0" collapsed="false">
      <c r="A40" s="12"/>
      <c r="B40" s="12"/>
      <c r="C40" s="417" t="n">
        <v>0.1</v>
      </c>
      <c r="D40" s="158" t="n">
        <f aca="false">IF(Kapitaldienst_J1+Darlehen_I*D$34&gt;0,(NOI_J1+Miete_Ist_J1*$C40)/(Kapitaldienst_J1+Darlehen_I*D$34),0)</f>
        <v>0.943785365853659</v>
      </c>
      <c r="E40" s="158" t="n">
        <f aca="false">IF(Kapitaldienst_J1+Darlehen_I*E$34&gt;0,(NOI_J1+Miete_Ist_J1*$C40)/(Kapitaldienst_J1+Darlehen_I*E$34),0)</f>
        <v>0.8412</v>
      </c>
      <c r="F40" s="158" t="n">
        <f aca="false">IF(Kapitaldienst_J1+Darlehen_I*F$34&gt;0,(NOI_J1+Miete_Ist_J1*$C40)/(Kapitaldienst_J1+Darlehen_I*F$34),0)</f>
        <v>0.758729411764706</v>
      </c>
      <c r="G40" s="158" t="n">
        <f aca="false">IF(Kapitaldienst_J1+Darlehen_I*G$34&gt;0,(NOI_J1+Miete_Ist_J1*$C40)/(Kapitaldienst_J1+Darlehen_I*G$34),0)</f>
        <v>0.690985714285714</v>
      </c>
      <c r="H40" s="158" t="n">
        <f aca="false">IF(Kapitaldienst_J1+Darlehen_I*H$34&gt;0,(NOI_J1+Miete_Ist_J1*$C40)/(Kapitaldienst_J1+Darlehen_I*H$34),0)</f>
        <v>0.634347540983607</v>
      </c>
      <c r="I40" s="158" t="n">
        <f aca="false">IF(Kapitaldienst_J1+Darlehen_I*I$34&gt;0,(NOI_J1+Miete_Ist_J1*$C40)/(Kapitaldienst_J1+Darlehen_I*I$34),0)</f>
        <v>0.586290909090909</v>
      </c>
      <c r="J40" s="158" t="n">
        <f aca="false">IF(Kapitaldienst_J1+Darlehen_I*J$34&gt;0,(NOI_J1+Miete_Ist_J1*$C40)/(Kapitaldienst_J1+Darlehen_I*J$34),0)</f>
        <v>0.545002816901408</v>
      </c>
      <c r="K40" s="12"/>
      <c r="L40" s="120"/>
      <c r="M40" s="120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customFormat="false" ht="15.75" hidden="false" customHeight="true" outlineLevel="0" collapsed="false">
      <c r="A41" s="12"/>
      <c r="B41" s="12"/>
      <c r="C41" s="417" t="n">
        <v>0.15</v>
      </c>
      <c r="D41" s="158" t="n">
        <f aca="false">IF(Kapitaldienst_J1+Darlehen_I*D$34&gt;0,(NOI_J1+Miete_Ist_J1*$C41)/(Kapitaldienst_J1+Darlehen_I*D$34),0)</f>
        <v>0.997726829268293</v>
      </c>
      <c r="E41" s="158" t="n">
        <f aca="false">IF(Kapitaldienst_J1+Darlehen_I*E$34&gt;0,(NOI_J1+Miete_Ist_J1*$C41)/(Kapitaldienst_J1+Darlehen_I*E$34),0)</f>
        <v>0.889278260869565</v>
      </c>
      <c r="F41" s="158" t="n">
        <f aca="false">IF(Kapitaldienst_J1+Darlehen_I*F$34&gt;0,(NOI_J1+Miete_Ist_J1*$C41)/(Kapitaldienst_J1+Darlehen_I*F$34),0)</f>
        <v>0.802094117647059</v>
      </c>
      <c r="G41" s="158" t="n">
        <f aca="false">IF(Kapitaldienst_J1+Darlehen_I*G$34&gt;0,(NOI_J1+Miete_Ist_J1*$C41)/(Kapitaldienst_J1+Darlehen_I*G$34),0)</f>
        <v>0.730478571428572</v>
      </c>
      <c r="H41" s="158" t="n">
        <f aca="false">IF(Kapitaldienst_J1+Darlehen_I*H$34&gt;0,(NOI_J1+Miete_Ist_J1*$C41)/(Kapitaldienst_J1+Darlehen_I*H$34),0)</f>
        <v>0.670603278688525</v>
      </c>
      <c r="I41" s="158" t="n">
        <f aca="false">IF(Kapitaldienst_J1+Darlehen_I*I$34&gt;0,(NOI_J1+Miete_Ist_J1*$C41)/(Kapitaldienst_J1+Darlehen_I*I$34),0)</f>
        <v>0.6198</v>
      </c>
      <c r="J41" s="158" t="n">
        <f aca="false">IF(Kapitaldienst_J1+Darlehen_I*J$34&gt;0,(NOI_J1+Miete_Ist_J1*$C41)/(Kapitaldienst_J1+Darlehen_I*J$34),0)</f>
        <v>0.576152112676056</v>
      </c>
      <c r="K41" s="12"/>
      <c r="L41" s="120"/>
      <c r="M41" s="120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customFormat="false" ht="12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9"/>
      <c r="M42" s="39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customFormat="false" ht="24" hidden="false" customHeight="true" outlineLevel="0" collapsed="false">
      <c r="A43" s="12"/>
      <c r="B43" s="12"/>
      <c r="C43" s="33" t="str">
        <f aca="false">"Eigenkapitalrendite bei Verkauf nach "&amp;Haltedauer&amp;" Jahren – Miete × Wertsteigerung"</f>
        <v>Eigenkapitalrendite bei Verkauf nach 12 Jahren – Miete × Wertsteigerung</v>
      </c>
      <c r="D43" s="33"/>
      <c r="E43" s="33"/>
      <c r="F43" s="33"/>
      <c r="G43" s="33"/>
      <c r="H43" s="33"/>
      <c r="I43" s="33"/>
      <c r="J43" s="262" t="s">
        <v>659</v>
      </c>
      <c r="K43" s="12"/>
      <c r="L43" s="118" t="s">
        <v>1175</v>
      </c>
      <c r="M43" s="118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customFormat="false" ht="19.5" hidden="false" customHeight="true" outlineLevel="0" collapsed="false">
      <c r="A44" s="12"/>
      <c r="B44" s="12"/>
      <c r="C44" s="122" t="s">
        <v>1176</v>
      </c>
      <c r="D44" s="411"/>
      <c r="E44" s="411"/>
      <c r="F44" s="411"/>
      <c r="G44" s="411"/>
      <c r="H44" s="412" t="str">
        <f aca="false">"Rote Schrift = kritisch (&lt; "&amp;FIXED(Ampel_IRR_gelb*100,1)&amp;" %)   ·   "&amp;"Ziel ≥ "&amp;FIXED(Ampel_IRR_gruen*100,1)&amp;" %"&amp;"   ·   □ aktuelle Annahme"</f>
        <v>Rote Schrift = kritisch (&lt; 3.0 %)   ·   Ziel ≥ 6.0 %   ·   □ aktuelle Annahme</v>
      </c>
      <c r="I44" s="39"/>
      <c r="J44" s="39"/>
      <c r="K44" s="12"/>
      <c r="L44" s="120" t="s">
        <v>1177</v>
      </c>
      <c r="M44" s="120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customFormat="false" ht="6" hidden="false" customHeight="true" outlineLevel="0" collapsed="false">
      <c r="A45" s="12"/>
      <c r="B45" s="12"/>
      <c r="C45" s="413"/>
      <c r="D45" s="39"/>
      <c r="E45" s="39"/>
      <c r="F45" s="39"/>
      <c r="G45" s="39"/>
      <c r="H45" s="39"/>
      <c r="I45" s="39"/>
      <c r="J45" s="39"/>
      <c r="K45" s="12"/>
      <c r="L45" s="120"/>
      <c r="M45" s="120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customFormat="false" ht="19.5" hidden="false" customHeight="true" outlineLevel="0" collapsed="false">
      <c r="A46" s="12"/>
      <c r="B46" s="12"/>
      <c r="C46" s="414" t="s">
        <v>1178</v>
      </c>
      <c r="D46" s="421" t="n">
        <v>0</v>
      </c>
      <c r="E46" s="421" t="n">
        <v>0.01</v>
      </c>
      <c r="F46" s="421" t="n">
        <v>0.02</v>
      </c>
      <c r="G46" s="421" t="n">
        <v>0.03</v>
      </c>
      <c r="H46" s="421" t="n">
        <v>0.04</v>
      </c>
      <c r="I46" s="39"/>
      <c r="J46" s="39"/>
      <c r="K46" s="12"/>
      <c r="L46" s="120"/>
      <c r="M46" s="120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customFormat="false" ht="15.75" hidden="false" customHeight="true" outlineLevel="0" collapsed="false">
      <c r="A47" s="12"/>
      <c r="B47" s="12"/>
      <c r="C47" s="417" t="n">
        <v>-0.1</v>
      </c>
      <c r="D47" s="110" t="n">
        <f aca="false">IFERROR(IRR($D$90:$AR$90),"–")</f>
        <v>-0.00800339324165572</v>
      </c>
      <c r="E47" s="110" t="n">
        <f aca="false">IFERROR(IRR($D$91:$AR$91),"–")</f>
        <v>0.022113594387057</v>
      </c>
      <c r="F47" s="110" t="n">
        <f aca="false">IFERROR(IRR($D$92:$AR$92),"–")</f>
        <v>0.0476049464879372</v>
      </c>
      <c r="G47" s="110" t="n">
        <f aca="false">IFERROR(IRR($D$93:$AR$93),"–")</f>
        <v>0.0700624843171033</v>
      </c>
      <c r="H47" s="110" t="n">
        <f aca="false">IFERROR(IRR($D$94:$AR$94),"–")</f>
        <v>0.0903871237312269</v>
      </c>
      <c r="I47" s="39"/>
      <c r="J47" s="39"/>
      <c r="K47" s="12"/>
      <c r="L47" s="120"/>
      <c r="M47" s="120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customFormat="false" ht="15.75" hidden="false" customHeight="true" outlineLevel="0" collapsed="false">
      <c r="A48" s="12"/>
      <c r="B48" s="12"/>
      <c r="C48" s="417" t="n">
        <v>-0.05</v>
      </c>
      <c r="D48" s="110" t="n">
        <f aca="false">IFERROR(IRR($D$95:$AR$95),"–")</f>
        <v>-0.00435991370696169</v>
      </c>
      <c r="E48" s="110" t="n">
        <f aca="false">IFERROR(IRR($D$96:$AR$96),"–")</f>
        <v>0.0252769500726352</v>
      </c>
      <c r="F48" s="110" t="n">
        <f aca="false">IFERROR(IRR($D$97:$AR$97),"–")</f>
        <v>0.0504342377983716</v>
      </c>
      <c r="G48" s="110" t="n">
        <f aca="false">IFERROR(IRR($D$98:$AR$98),"–")</f>
        <v>0.0726421939035385</v>
      </c>
      <c r="H48" s="110" t="n">
        <f aca="false">IFERROR(IRR($D$99:$AR$99),"–")</f>
        <v>0.092771149653149</v>
      </c>
      <c r="I48" s="39"/>
      <c r="J48" s="39"/>
      <c r="K48" s="12"/>
      <c r="L48" s="120"/>
      <c r="M48" s="120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customFormat="false" ht="15.75" hidden="false" customHeight="true" outlineLevel="0" collapsed="false">
      <c r="A49" s="12"/>
      <c r="B49" s="12"/>
      <c r="C49" s="418" t="n">
        <v>0</v>
      </c>
      <c r="D49" s="110" t="n">
        <f aca="false">IFERROR(IRR($D$100:$AR$100),"–")</f>
        <v>-0.000712225447471949</v>
      </c>
      <c r="E49" s="110" t="n">
        <f aca="false">IFERROR(IRR($D$101:$AR$101),"–")</f>
        <v>0.0284489274592384</v>
      </c>
      <c r="F49" s="110" t="n">
        <f aca="false">IFERROR(IRR($D$102:$AR$102),"–")</f>
        <v>0.0532739559084638</v>
      </c>
      <c r="G49" s="110" t="n">
        <f aca="false">IFERROR(IRR($D$103:$AR$103),"–")</f>
        <v>0.0752330243994478</v>
      </c>
      <c r="H49" s="110" t="n">
        <f aca="false">IFERROR(IRR($D$104:$AR$104),"–")</f>
        <v>0.0951664637978822</v>
      </c>
      <c r="I49" s="39"/>
      <c r="J49" s="39"/>
      <c r="K49" s="12"/>
      <c r="L49" s="39"/>
      <c r="M49" s="39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 customFormat="false" ht="15.75" hidden="false" customHeight="true" outlineLevel="0" collapsed="false">
      <c r="A50" s="12"/>
      <c r="B50" s="12"/>
      <c r="C50" s="417" t="n">
        <v>0.05</v>
      </c>
      <c r="D50" s="110" t="n">
        <f aca="false">IFERROR(IRR($D$105:$AR$105),"–")</f>
        <v>0.00293966279990954</v>
      </c>
      <c r="E50" s="110" t="n">
        <f aca="false">IFERROR(IRR($D$106:$AR$106),"–")</f>
        <v>0.0316295455215576</v>
      </c>
      <c r="F50" s="110" t="n">
        <f aca="false">IFERROR(IRR($D$107:$AR$107),"–")</f>
        <v>0.0561241446208961</v>
      </c>
      <c r="G50" s="110" t="n">
        <f aca="false">IFERROR(IRR($D$108:$AR$108),"–")</f>
        <v>0.0778350367317321</v>
      </c>
      <c r="H50" s="110" t="n">
        <f aca="false">IFERROR(IRR($D$109:$AR$109),"–")</f>
        <v>0.097573137966277</v>
      </c>
      <c r="I50" s="39"/>
      <c r="J50" s="39"/>
      <c r="K50" s="12"/>
      <c r="L50" s="39"/>
      <c r="M50" s="39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customFormat="false" ht="15.75" hidden="false" customHeight="true" outlineLevel="0" collapsed="false">
      <c r="A51" s="12"/>
      <c r="B51" s="12"/>
      <c r="C51" s="417" t="n">
        <v>0.1</v>
      </c>
      <c r="D51" s="110" t="n">
        <f aca="false">IFERROR(IRR($D$110:$AR$110),"–")</f>
        <v>0.00659574049147251</v>
      </c>
      <c r="E51" s="110" t="n">
        <f aca="false">IFERROR(IRR($D$111:$AR$111),"–")</f>
        <v>0.034818820758711</v>
      </c>
      <c r="F51" s="110" t="n">
        <f aca="false">IFERROR(IRR($D$112:$AR$112),"–")</f>
        <v>0.0589848456412491</v>
      </c>
      <c r="G51" s="110" t="n">
        <f aca="false">IFERROR(IRR($D$113:$AR$113),"–")</f>
        <v>0.0804482902685652</v>
      </c>
      <c r="H51" s="110" t="n">
        <f aca="false">IFERROR(IRR($D$114:$AR$114),"–")</f>
        <v>0.0999912428888375</v>
      </c>
      <c r="I51" s="39"/>
      <c r="J51" s="39"/>
      <c r="K51" s="12"/>
      <c r="L51" s="39"/>
      <c r="M51" s="39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customFormat="false" ht="12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39"/>
      <c r="J52" s="39"/>
      <c r="K52" s="12"/>
      <c r="L52" s="39"/>
      <c r="M52" s="39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customFormat="false" ht="19.5" hidden="false" customHeight="true" outlineLevel="0" collapsed="false">
      <c r="A53" s="12"/>
      <c r="B53" s="12"/>
      <c r="C53" s="122" t="s">
        <v>1179</v>
      </c>
      <c r="D53" s="411"/>
      <c r="E53" s="411"/>
      <c r="F53" s="411"/>
      <c r="G53" s="411"/>
      <c r="H53" s="411"/>
      <c r="I53" s="39"/>
      <c r="J53" s="39"/>
      <c r="K53" s="12"/>
      <c r="L53" s="39"/>
      <c r="M53" s="39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 customFormat="false" ht="19.5" hidden="false" customHeight="true" outlineLevel="0" collapsed="false">
      <c r="A54" s="12"/>
      <c r="B54" s="12"/>
      <c r="C54" s="109" t="s">
        <v>1180</v>
      </c>
      <c r="D54" s="421" t="n">
        <v>0</v>
      </c>
      <c r="E54" s="421" t="n">
        <v>0.01</v>
      </c>
      <c r="F54" s="421" t="n">
        <v>0.02</v>
      </c>
      <c r="G54" s="421" t="n">
        <v>0.03</v>
      </c>
      <c r="H54" s="421" t="n">
        <v>0.04</v>
      </c>
      <c r="I54" s="39"/>
      <c r="J54" s="39"/>
      <c r="K54" s="12"/>
      <c r="L54" s="39"/>
      <c r="M54" s="39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customFormat="false" ht="15.75" hidden="false" customHeight="true" outlineLevel="0" collapsed="false">
      <c r="A55" s="12"/>
      <c r="B55" s="12"/>
      <c r="C55" s="72" t="s">
        <v>1181</v>
      </c>
      <c r="D55" s="206" t="n">
        <f aca="false">(Kaufpreis+Investition_J1*Reno_Wertsteigerung_Pct)*(1+D$54)^Haltedauer</f>
        <v>297000</v>
      </c>
      <c r="E55" s="206" t="n">
        <f aca="false">(Kaufpreis+Investition_J1*Reno_Wertsteigerung_Pct)*(1+E$54)^Haltedauer</f>
        <v>334667.033949195</v>
      </c>
      <c r="F55" s="206" t="n">
        <f aca="false">(Kaufpreis+Investition_J1*Reno_Wertsteigerung_Pct)*(1+F$54)^Haltedauer</f>
        <v>376667.812985076</v>
      </c>
      <c r="G55" s="206" t="n">
        <f aca="false">(Kaufpreis+Investition_J1*Reno_Wertsteigerung_Pct)*(1+G$54)^Haltedauer</f>
        <v>423450.983393315</v>
      </c>
      <c r="H55" s="206" t="n">
        <f aca="false">(Kaufpreis+Investition_J1*Reno_Wertsteigerung_Pct)*(1+H$54)^Haltedauer</f>
        <v>475506.568914601</v>
      </c>
      <c r="I55" s="39"/>
      <c r="J55" s="39"/>
      <c r="K55" s="12"/>
      <c r="L55" s="39"/>
      <c r="M55" s="39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customFormat="false" ht="15.75" hidden="false" customHeight="true" outlineLevel="0" collapsed="false">
      <c r="A56" s="12"/>
      <c r="B56" s="12"/>
      <c r="C56" s="72" t="s">
        <v>639</v>
      </c>
      <c r="D56" s="206" t="n">
        <f aca="false">D55*Verkaufskosten_Pct</f>
        <v>5940</v>
      </c>
      <c r="E56" s="206" t="n">
        <f aca="false">E55*Verkaufskosten_Pct</f>
        <v>6693.3406789839</v>
      </c>
      <c r="F56" s="206" t="n">
        <f aca="false">F55*Verkaufskosten_Pct</f>
        <v>7533.35625970152</v>
      </c>
      <c r="G56" s="206" t="n">
        <f aca="false">G55*Verkaufskosten_Pct</f>
        <v>8469.01966786631</v>
      </c>
      <c r="H56" s="206" t="n">
        <f aca="false">H55*Verkaufskosten_Pct</f>
        <v>9510.13137829203</v>
      </c>
      <c r="I56" s="39"/>
      <c r="J56" s="39"/>
      <c r="K56" s="12"/>
      <c r="L56" s="39"/>
      <c r="M56" s="39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customFormat="false" ht="15.75" hidden="false" customHeight="true" outlineLevel="0" collapsed="false">
      <c r="A57" s="12"/>
      <c r="B57" s="12"/>
      <c r="C57" s="72" t="s">
        <v>645</v>
      </c>
      <c r="D57" s="206" t="n">
        <f aca="false">IF(Exit_steuerpflichtig=1,MAX(0,(Kaufpreis+Investition_J1*Reno_Wertsteigerung_Pct)*(1+D$54)^Haltedauer*(1-Verkaufskosten_Pct)-Exit_Buchwert-Exit_VV)*Exit_Steuersatz,0)</f>
        <v>0</v>
      </c>
      <c r="E57" s="206" t="n">
        <f aca="false">IF(Exit_steuerpflichtig=1,MAX(0,(Kaufpreis+Investition_J1*Reno_Wertsteigerung_Pct)*(1+E$54)^Haltedauer*(1-Verkaufskosten_Pct)-Exit_Buchwert-Exit_VV)*Exit_Steuersatz,0)</f>
        <v>0</v>
      </c>
      <c r="F57" s="206" t="n">
        <f aca="false">IF(Exit_steuerpflichtig=1,MAX(0,(Kaufpreis+Investition_J1*Reno_Wertsteigerung_Pct)*(1+F$54)^Haltedauer*(1-Verkaufskosten_Pct)-Exit_Buchwert-Exit_VV)*Exit_Steuersatz,0)</f>
        <v>0</v>
      </c>
      <c r="G57" s="206" t="n">
        <f aca="false">IF(Exit_steuerpflichtig=1,MAX(0,(Kaufpreis+Investition_J1*Reno_Wertsteigerung_Pct)*(1+G$54)^Haltedauer*(1-Verkaufskosten_Pct)-Exit_Buchwert-Exit_VV)*Exit_Steuersatz,0)</f>
        <v>0</v>
      </c>
      <c r="H57" s="206" t="n">
        <f aca="false">IF(Exit_steuerpflichtig=1,MAX(0,(Kaufpreis+Investition_J1*Reno_Wertsteigerung_Pct)*(1+H$54)^Haltedauer*(1-Verkaufskosten_Pct)-Exit_Buchwert-Exit_VV)*Exit_Steuersatz,0)</f>
        <v>0</v>
      </c>
      <c r="I57" s="39"/>
      <c r="J57" s="39"/>
      <c r="K57" s="12"/>
      <c r="L57" s="39"/>
      <c r="M57" s="39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customFormat="false" ht="15.75" hidden="false" customHeight="true" outlineLevel="0" collapsed="false">
      <c r="A58" s="12"/>
      <c r="B58" s="12"/>
      <c r="C58" s="72" t="s">
        <v>1182</v>
      </c>
      <c r="D58" s="206" t="n">
        <f aca="false">Exit_Restschuld</f>
        <v>180024.560017751</v>
      </c>
      <c r="E58" s="206" t="n">
        <f aca="false">Exit_Restschuld</f>
        <v>180024.560017751</v>
      </c>
      <c r="F58" s="206" t="n">
        <f aca="false">Exit_Restschuld</f>
        <v>180024.560017751</v>
      </c>
      <c r="G58" s="206" t="n">
        <f aca="false">Exit_Restschuld</f>
        <v>180024.560017751</v>
      </c>
      <c r="H58" s="206" t="n">
        <f aca="false">Exit_Restschuld</f>
        <v>180024.560017751</v>
      </c>
      <c r="I58" s="39"/>
      <c r="J58" s="39"/>
      <c r="K58" s="12"/>
      <c r="L58" s="39"/>
      <c r="M58" s="39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 customFormat="false" ht="15.75" hidden="false" customHeight="true" outlineLevel="0" collapsed="false">
      <c r="A59" s="12"/>
      <c r="B59" s="12"/>
      <c r="C59" s="141" t="s">
        <v>1183</v>
      </c>
      <c r="D59" s="210" t="n">
        <f aca="false">D55-D56-D57-D58</f>
        <v>111035.439982249</v>
      </c>
      <c r="E59" s="210" t="n">
        <f aca="false">E55-E56-E57-E58</f>
        <v>147949.13325246</v>
      </c>
      <c r="F59" s="210" t="n">
        <f aca="false">F55-F56-F57-F58</f>
        <v>189109.896707623</v>
      </c>
      <c r="G59" s="210" t="n">
        <f aca="false">G55-G56-G57-G58</f>
        <v>234957.403707698</v>
      </c>
      <c r="H59" s="210" t="n">
        <f aca="false">H55-H56-H57-H58</f>
        <v>285971.877518558</v>
      </c>
      <c r="I59" s="39"/>
      <c r="J59" s="39"/>
      <c r="K59" s="12"/>
      <c r="L59" s="39"/>
      <c r="M59" s="39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 customFormat="false" ht="15.75" hidden="false" customHeight="true" outlineLevel="0" collapsed="false">
      <c r="A60" s="12"/>
      <c r="B60" s="12"/>
      <c r="C60" s="72" t="s">
        <v>1184</v>
      </c>
      <c r="D60" s="206" t="n">
        <f aca="false">Exit_CF_kum</f>
        <v>-32838.5310761392</v>
      </c>
      <c r="E60" s="206" t="n">
        <f aca="false">Exit_CF_kum</f>
        <v>-32838.5310761392</v>
      </c>
      <c r="F60" s="206" t="n">
        <f aca="false">Exit_CF_kum</f>
        <v>-32838.5310761392</v>
      </c>
      <c r="G60" s="206" t="n">
        <f aca="false">Exit_CF_kum</f>
        <v>-32838.5310761392</v>
      </c>
      <c r="H60" s="206" t="n">
        <f aca="false">Exit_CF_kum</f>
        <v>-32838.5310761392</v>
      </c>
      <c r="I60" s="39"/>
      <c r="J60" s="39"/>
      <c r="K60" s="12"/>
      <c r="L60" s="39"/>
      <c r="M60" s="39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customFormat="false" ht="15.75" hidden="false" customHeight="true" outlineLevel="0" collapsed="false">
      <c r="A61" s="12"/>
      <c r="B61" s="12"/>
      <c r="C61" s="72" t="s">
        <v>651</v>
      </c>
      <c r="D61" s="206" t="n">
        <f aca="false">Eigenkapital</f>
        <v>78974.5</v>
      </c>
      <c r="E61" s="206" t="n">
        <f aca="false">Eigenkapital</f>
        <v>78974.5</v>
      </c>
      <c r="F61" s="206" t="n">
        <f aca="false">Eigenkapital</f>
        <v>78974.5</v>
      </c>
      <c r="G61" s="206" t="n">
        <f aca="false">Eigenkapital</f>
        <v>78974.5</v>
      </c>
      <c r="H61" s="206" t="n">
        <f aca="false">Eigenkapital</f>
        <v>78974.5</v>
      </c>
      <c r="I61" s="39"/>
      <c r="J61" s="39"/>
      <c r="K61" s="12"/>
      <c r="L61" s="39"/>
      <c r="M61" s="39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customFormat="false" ht="18" hidden="false" customHeight="true" outlineLevel="0" collapsed="false">
      <c r="A62" s="12"/>
      <c r="B62" s="12"/>
      <c r="C62" s="73" t="s">
        <v>654</v>
      </c>
      <c r="D62" s="213" t="n">
        <f aca="false">D59+D60-D61</f>
        <v>-777.591093890456</v>
      </c>
      <c r="E62" s="213" t="n">
        <f aca="false">E59+E60-E61</f>
        <v>36136.1021763207</v>
      </c>
      <c r="F62" s="213" t="n">
        <f aca="false">F59+F60-F61</f>
        <v>77296.865631484</v>
      </c>
      <c r="G62" s="213" t="n">
        <f aca="false">G59+G60-G61</f>
        <v>123144.372631558</v>
      </c>
      <c r="H62" s="213" t="n">
        <f aca="false">H59+H60-H61</f>
        <v>174158.846442419</v>
      </c>
      <c r="I62" s="39"/>
      <c r="J62" s="39"/>
      <c r="K62" s="12"/>
      <c r="L62" s="39"/>
      <c r="M62" s="39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 customFormat="false" ht="15.75" hidden="false" customHeight="true" outlineLevel="0" collapsed="false">
      <c r="A63" s="12"/>
      <c r="B63" s="12"/>
      <c r="C63" s="72" t="s">
        <v>1060</v>
      </c>
      <c r="D63" s="170" t="n">
        <f aca="false">IF(Eigenkapital&gt;0,(D59+D60)/Eigenkapital,0)</f>
        <v>0.99015389658826</v>
      </c>
      <c r="E63" s="170" t="n">
        <f aca="false">IF(Eigenkapital&gt;0,(E59+E60)/Eigenkapital,0)</f>
        <v>1.4575667104739</v>
      </c>
      <c r="F63" s="170" t="n">
        <f aca="false">IF(Eigenkapital&gt;0,(F59+F60)/Eigenkapital,0)</f>
        <v>1.97875726508536</v>
      </c>
      <c r="G63" s="170" t="n">
        <f aca="false">IF(Eigenkapital&gt;0,(G59+G60)/Eigenkapital,0)</f>
        <v>2.55929284302602</v>
      </c>
      <c r="H63" s="170" t="n">
        <f aca="false">IF(Eigenkapital&gt;0,(H59+H60)/Eigenkapital,0)</f>
        <v>3.20525418258323</v>
      </c>
      <c r="I63" s="39"/>
      <c r="J63" s="39"/>
      <c r="K63" s="12"/>
      <c r="L63" s="39"/>
      <c r="M63" s="39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 customFormat="false" ht="18" hidden="false" customHeight="true" outlineLevel="0" collapsed="false">
      <c r="A64" s="12"/>
      <c r="B64" s="12"/>
      <c r="C64" s="422" t="s">
        <v>1185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</row>
    <row r="65" customFormat="false" ht="15" hidden="true" customHeight="true" outlineLevel="1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customFormat="false" ht="15" hidden="true" customHeight="true" outlineLevel="1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customFormat="false" ht="15" hidden="true" customHeight="true" outlineLevel="1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customFormat="false" ht="15" hidden="true" customHeight="true" outlineLevel="1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customFormat="false" ht="15" hidden="true" customHeight="true" outlineLevel="1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 customFormat="false" ht="15" hidden="true" customHeight="true" outlineLevel="1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</row>
    <row r="71" customFormat="false" ht="15" hidden="true" customHeight="true" outlineLevel="1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customFormat="false" ht="15" hidden="true" customHeight="true" outlineLevel="1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customFormat="false" ht="15" hidden="true" customHeight="true" outlineLevel="1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</row>
    <row r="74" customFormat="false" ht="15" hidden="true" customHeight="true" outlineLevel="1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</row>
    <row r="75" customFormat="false" ht="15" hidden="true" customHeight="true" outlineLevel="1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customFormat="false" ht="15" hidden="true" customHeight="true" outlineLevel="1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</row>
    <row r="77" customFormat="false" ht="15" hidden="true" customHeight="true" outlineLevel="1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</row>
    <row r="78" customFormat="false" ht="15" hidden="true" customHeight="true" outlineLevel="1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</row>
    <row r="79" customFormat="false" ht="15" hidden="true" customHeight="true" outlineLevel="1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</row>
    <row r="80" customFormat="false" ht="15" hidden="true" customHeight="true" outlineLevel="1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customFormat="false" ht="15" hidden="true" customHeight="true" outlineLevel="1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</row>
    <row r="82" customFormat="false" ht="15" hidden="true" customHeight="true" outlineLevel="1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</row>
    <row r="83" customFormat="false" ht="15" hidden="true" customHeight="true" outlineLevel="1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</row>
    <row r="84" customFormat="false" ht="15" hidden="true" customHeight="true" outlineLevel="1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 customFormat="false" ht="15" hidden="true" customHeight="true" outlineLevel="1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</row>
    <row r="86" customFormat="false" ht="15" hidden="true" customHeight="true" outlineLevel="1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</row>
    <row r="87" customFormat="false" ht="19.5" hidden="true" customHeight="true" outlineLevel="1" collapsed="false">
      <c r="A87" s="12"/>
      <c r="B87" s="12"/>
      <c r="C87" s="423" t="s">
        <v>1186</v>
      </c>
      <c r="D87" s="424"/>
      <c r="E87" s="424"/>
      <c r="F87" s="424"/>
      <c r="G87" s="424"/>
      <c r="H87" s="424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24"/>
      <c r="X87" s="424"/>
      <c r="Y87" s="424"/>
      <c r="Z87" s="424"/>
      <c r="AA87" s="424"/>
      <c r="AB87" s="424"/>
      <c r="AC87" s="424"/>
      <c r="AD87" s="424"/>
      <c r="AE87" s="424"/>
      <c r="AF87" s="424"/>
      <c r="AG87" s="424"/>
      <c r="AH87" s="424"/>
      <c r="AI87" s="424"/>
      <c r="AJ87" s="424"/>
      <c r="AK87" s="424"/>
      <c r="AL87" s="424"/>
      <c r="AM87" s="424"/>
      <c r="AN87" s="424"/>
      <c r="AO87" s="424"/>
      <c r="AP87" s="424"/>
      <c r="AQ87" s="424"/>
      <c r="AR87" s="424"/>
      <c r="AS87" s="12"/>
    </row>
    <row r="88" customFormat="false" ht="15" hidden="true" customHeight="true" outlineLevel="1" collapsed="false">
      <c r="A88" s="12"/>
      <c r="B88" s="12"/>
      <c r="C88" s="425" t="s">
        <v>1187</v>
      </c>
      <c r="D88" s="426" t="n">
        <v>0</v>
      </c>
      <c r="E88" s="426" t="n">
        <v>1</v>
      </c>
      <c r="F88" s="426" t="n">
        <v>2</v>
      </c>
      <c r="G88" s="426" t="n">
        <v>3</v>
      </c>
      <c r="H88" s="426" t="n">
        <v>4</v>
      </c>
      <c r="I88" s="426" t="n">
        <v>5</v>
      </c>
      <c r="J88" s="426" t="n">
        <v>6</v>
      </c>
      <c r="K88" s="426" t="n">
        <v>7</v>
      </c>
      <c r="L88" s="426" t="n">
        <v>8</v>
      </c>
      <c r="M88" s="426" t="n">
        <v>9</v>
      </c>
      <c r="N88" s="426" t="n">
        <v>10</v>
      </c>
      <c r="O88" s="426" t="n">
        <v>11</v>
      </c>
      <c r="P88" s="426" t="n">
        <v>12</v>
      </c>
      <c r="Q88" s="426" t="n">
        <v>13</v>
      </c>
      <c r="R88" s="426" t="n">
        <v>14</v>
      </c>
      <c r="S88" s="426" t="n">
        <v>15</v>
      </c>
      <c r="T88" s="426" t="n">
        <v>16</v>
      </c>
      <c r="U88" s="426" t="n">
        <v>17</v>
      </c>
      <c r="V88" s="426" t="n">
        <v>18</v>
      </c>
      <c r="W88" s="426" t="n">
        <v>19</v>
      </c>
      <c r="X88" s="426" t="n">
        <v>20</v>
      </c>
      <c r="Y88" s="426" t="n">
        <v>21</v>
      </c>
      <c r="Z88" s="426" t="n">
        <v>22</v>
      </c>
      <c r="AA88" s="426" t="n">
        <v>23</v>
      </c>
      <c r="AB88" s="426" t="n">
        <v>24</v>
      </c>
      <c r="AC88" s="426" t="n">
        <v>25</v>
      </c>
      <c r="AD88" s="426" t="n">
        <v>26</v>
      </c>
      <c r="AE88" s="426" t="n">
        <v>27</v>
      </c>
      <c r="AF88" s="426" t="n">
        <v>28</v>
      </c>
      <c r="AG88" s="426" t="n">
        <v>29</v>
      </c>
      <c r="AH88" s="426" t="n">
        <v>30</v>
      </c>
      <c r="AI88" s="426" t="n">
        <v>31</v>
      </c>
      <c r="AJ88" s="426" t="n">
        <v>32</v>
      </c>
      <c r="AK88" s="426" t="n">
        <v>33</v>
      </c>
      <c r="AL88" s="426" t="n">
        <v>34</v>
      </c>
      <c r="AM88" s="426" t="n">
        <v>35</v>
      </c>
      <c r="AN88" s="426" t="n">
        <v>36</v>
      </c>
      <c r="AO88" s="426" t="n">
        <v>37</v>
      </c>
      <c r="AP88" s="426" t="n">
        <v>38</v>
      </c>
      <c r="AQ88" s="426" t="n">
        <v>39</v>
      </c>
      <c r="AR88" s="426" t="n">
        <v>40</v>
      </c>
      <c r="AS88" s="12"/>
    </row>
    <row r="89" customFormat="false" ht="15" hidden="true" customHeight="true" outlineLevel="1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</row>
    <row r="90" customFormat="false" ht="15" hidden="true" customHeight="true" outlineLevel="1" collapsed="false">
      <c r="A90" s="12"/>
      <c r="B90" s="12"/>
      <c r="C90" s="427" t="s">
        <v>1188</v>
      </c>
      <c r="D90" s="428" t="n">
        <f aca="false">-Eigenkapital</f>
        <v>-78974.5</v>
      </c>
      <c r="E90" s="428" t="n">
        <f aca="false">IF(1&gt;Haltedauer,0,INDEX(Projektion!$D$36:$AQ$36,1)+Miete_Ist_J1*-0.1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2484.12635992701</v>
      </c>
      <c r="F90" s="428" t="n">
        <f aca="false">IF(2&gt;Haltedauer,0,INDEX(Projektion!$D$36:$AQ$36,2)+Miete_Ist_J1*-0.1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-3893.11905074499</v>
      </c>
      <c r="G90" s="428" t="n">
        <f aca="false">IF(3&gt;Haltedauer,0,INDEX(Projektion!$D$36:$AQ$36,3)+Miete_Ist_J1*-0.1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-3911.44492307043</v>
      </c>
      <c r="H90" s="428" t="n">
        <f aca="false">IF(4&gt;Haltedauer,0,INDEX(Projektion!$D$36:$AQ$36,4)+Miete_Ist_J1*-0.1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-3931.51752740622</v>
      </c>
      <c r="I90" s="428" t="n">
        <f aca="false">IF(5&gt;Haltedauer,0,INDEX(Projektion!$D$36:$AQ$36,5)+Miete_Ist_J1*-0.1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-3953.42148611686</v>
      </c>
      <c r="J90" s="428" t="n">
        <f aca="false">IF(6&gt;Haltedauer,0,INDEX(Projektion!$D$36:$AQ$36,6)+Miete_Ist_J1*-0.1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-3977.24490277223</v>
      </c>
      <c r="K90" s="428" t="n">
        <f aca="false">IF(7&gt;Haltedauer,0,INDEX(Projektion!$D$36:$AQ$36,7)+Miete_Ist_J1*-0.1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-4003.07949616695</v>
      </c>
      <c r="L90" s="428" t="n">
        <f aca="false">IF(8&gt;Haltedauer,0,INDEX(Projektion!$D$36:$AQ$36,8)+Miete_Ist_J1*-0.1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-4031.02073933845</v>
      </c>
      <c r="M90" s="428" t="n">
        <f aca="false">IF(9&gt;Haltedauer,0,INDEX(Projektion!$D$36:$AQ$36,9)+Miete_Ist_J1*-0.1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-4061.16800376696</v>
      </c>
      <c r="N90" s="428" t="n">
        <f aca="false">IF(10&gt;Haltedauer,0,INDEX(Projektion!$D$36:$AQ$36,10)+Miete_Ist_J1*-0.1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-4093.62470894781</v>
      </c>
      <c r="O90" s="428" t="n">
        <f aca="false">IF(11&gt;Haltedauer,0,INDEX(Projektion!$D$36:$AQ$36,11)+Miete_Ist_J1*-0.1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-3703.08355395002</v>
      </c>
      <c r="P90" s="428" t="n">
        <f aca="false">IF(12&gt;Haltedauer,0,INDEX(Projektion!$D$36:$AQ$36,12)+Miete_Ist_J1*-0.1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107301.101832797</v>
      </c>
      <c r="Q90" s="428" t="n">
        <f aca="false">IF(13&gt;Haltedauer,0,INDEX(Projektion!$D$36:$AQ$36,13)+Miete_Ist_J1*-0.1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90" s="428" t="n">
        <f aca="false">IF(14&gt;Haltedauer,0,INDEX(Projektion!$D$36:$AQ$36,14)+Miete_Ist_J1*-0.1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90" s="428" t="n">
        <f aca="false">IF(15&gt;Haltedauer,0,INDEX(Projektion!$D$36:$AQ$36,15)+Miete_Ist_J1*-0.1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90" s="428" t="n">
        <f aca="false">IF(16&gt;Haltedauer,0,INDEX(Projektion!$D$36:$AQ$36,16)+Miete_Ist_J1*-0.1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90" s="428" t="n">
        <f aca="false">IF(17&gt;Haltedauer,0,INDEX(Projektion!$D$36:$AQ$36,17)+Miete_Ist_J1*-0.1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90" s="428" t="n">
        <f aca="false">IF(18&gt;Haltedauer,0,INDEX(Projektion!$D$36:$AQ$36,18)+Miete_Ist_J1*-0.1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90" s="428" t="n">
        <f aca="false">IF(19&gt;Haltedauer,0,INDEX(Projektion!$D$36:$AQ$36,19)+Miete_Ist_J1*-0.1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90" s="428" t="n">
        <f aca="false">IF(20&gt;Haltedauer,0,INDEX(Projektion!$D$36:$AQ$36,20)+Miete_Ist_J1*-0.1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90" s="428" t="n">
        <f aca="false">IF(21&gt;Haltedauer,0,INDEX(Projektion!$D$36:$AQ$36,21)+Miete_Ist_J1*-0.1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90" s="428" t="n">
        <f aca="false">IF(22&gt;Haltedauer,0,INDEX(Projektion!$D$36:$AQ$36,22)+Miete_Ist_J1*-0.1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90" s="428" t="n">
        <f aca="false">IF(23&gt;Haltedauer,0,INDEX(Projektion!$D$36:$AQ$36,23)+Miete_Ist_J1*-0.1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90" s="428" t="n">
        <f aca="false">IF(24&gt;Haltedauer,0,INDEX(Projektion!$D$36:$AQ$36,24)+Miete_Ist_J1*-0.1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90" s="428" t="n">
        <f aca="false">IF(25&gt;Haltedauer,0,INDEX(Projektion!$D$36:$AQ$36,25)+Miete_Ist_J1*-0.1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90" s="428" t="n">
        <f aca="false">IF(26&gt;Haltedauer,0,INDEX(Projektion!$D$36:$AQ$36,26)+Miete_Ist_J1*-0.1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90" s="428" t="n">
        <f aca="false">IF(27&gt;Haltedauer,0,INDEX(Projektion!$D$36:$AQ$36,27)+Miete_Ist_J1*-0.1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90" s="428" t="n">
        <f aca="false">IF(28&gt;Haltedauer,0,INDEX(Projektion!$D$36:$AQ$36,28)+Miete_Ist_J1*-0.1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90" s="428" t="n">
        <f aca="false">IF(29&gt;Haltedauer,0,INDEX(Projektion!$D$36:$AQ$36,29)+Miete_Ist_J1*-0.1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90" s="428" t="n">
        <f aca="false">IF(30&gt;Haltedauer,0,INDEX(Projektion!$D$36:$AQ$36,30)+Miete_Ist_J1*-0.1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90" s="428" t="n">
        <f aca="false">IF(31&gt;Haltedauer,0,INDEX(Projektion!$D$36:$AQ$36,31)+Miete_Ist_J1*-0.1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90" s="428" t="n">
        <f aca="false">IF(32&gt;Haltedauer,0,INDEX(Projektion!$D$36:$AQ$36,32)+Miete_Ist_J1*-0.1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90" s="428" t="n">
        <f aca="false">IF(33&gt;Haltedauer,0,INDEX(Projektion!$D$36:$AQ$36,33)+Miete_Ist_J1*-0.1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90" s="428" t="n">
        <f aca="false">IF(34&gt;Haltedauer,0,INDEX(Projektion!$D$36:$AQ$36,34)+Miete_Ist_J1*-0.1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90" s="428" t="n">
        <f aca="false">IF(35&gt;Haltedauer,0,INDEX(Projektion!$D$36:$AQ$36,35)+Miete_Ist_J1*-0.1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90" s="428" t="n">
        <f aca="false">IF(36&gt;Haltedauer,0,INDEX(Projektion!$D$36:$AQ$36,36)+Miete_Ist_J1*-0.1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90" s="428" t="n">
        <f aca="false">IF(37&gt;Haltedauer,0,INDEX(Projektion!$D$36:$AQ$36,37)+Miete_Ist_J1*-0.1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90" s="428" t="n">
        <f aca="false">IF(38&gt;Haltedauer,0,INDEX(Projektion!$D$36:$AQ$36,38)+Miete_Ist_J1*-0.1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90" s="428" t="n">
        <f aca="false">IF(39&gt;Haltedauer,0,INDEX(Projektion!$D$36:$AQ$36,39)+Miete_Ist_J1*-0.1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90" s="428" t="n">
        <f aca="false">IF(40&gt;Haltedauer,0,INDEX(Projektion!$D$36:$AQ$36,40)+Miete_Ist_J1*-0.1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90" s="12"/>
    </row>
    <row r="91" customFormat="false" ht="15" hidden="true" customHeight="true" outlineLevel="1" collapsed="false">
      <c r="A91" s="12"/>
      <c r="B91" s="12"/>
      <c r="C91" s="427" t="s">
        <v>1189</v>
      </c>
      <c r="D91" s="428" t="n">
        <f aca="false">-Eigenkapital</f>
        <v>-78974.5</v>
      </c>
      <c r="E91" s="428" t="n">
        <f aca="false">IF(1&gt;Haltedauer,0,INDEX(Projektion!$D$36:$AQ$36,1)+Miete_Ist_J1*-0.1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2484.12635992701</v>
      </c>
      <c r="F91" s="428" t="n">
        <f aca="false">IF(2&gt;Haltedauer,0,INDEX(Projektion!$D$36:$AQ$36,2)+Miete_Ist_J1*-0.1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-3893.11905074499</v>
      </c>
      <c r="G91" s="428" t="n">
        <f aca="false">IF(3&gt;Haltedauer,0,INDEX(Projektion!$D$36:$AQ$36,3)+Miete_Ist_J1*-0.1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-3911.44492307043</v>
      </c>
      <c r="H91" s="428" t="n">
        <f aca="false">IF(4&gt;Haltedauer,0,INDEX(Projektion!$D$36:$AQ$36,4)+Miete_Ist_J1*-0.1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-3931.51752740622</v>
      </c>
      <c r="I91" s="428" t="n">
        <f aca="false">IF(5&gt;Haltedauer,0,INDEX(Projektion!$D$36:$AQ$36,5)+Miete_Ist_J1*-0.1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-3953.42148611686</v>
      </c>
      <c r="J91" s="428" t="n">
        <f aca="false">IF(6&gt;Haltedauer,0,INDEX(Projektion!$D$36:$AQ$36,6)+Miete_Ist_J1*-0.1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-3977.24490277223</v>
      </c>
      <c r="K91" s="428" t="n">
        <f aca="false">IF(7&gt;Haltedauer,0,INDEX(Projektion!$D$36:$AQ$36,7)+Miete_Ist_J1*-0.1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-4003.07949616695</v>
      </c>
      <c r="L91" s="428" t="n">
        <f aca="false">IF(8&gt;Haltedauer,0,INDEX(Projektion!$D$36:$AQ$36,8)+Miete_Ist_J1*-0.1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-4031.02073933845</v>
      </c>
      <c r="M91" s="428" t="n">
        <f aca="false">IF(9&gt;Haltedauer,0,INDEX(Projektion!$D$36:$AQ$36,9)+Miete_Ist_J1*-0.1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-4061.16800376696</v>
      </c>
      <c r="N91" s="428" t="n">
        <f aca="false">IF(10&gt;Haltedauer,0,INDEX(Projektion!$D$36:$AQ$36,10)+Miete_Ist_J1*-0.1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-4093.62470894781</v>
      </c>
      <c r="O91" s="428" t="n">
        <f aca="false">IF(11&gt;Haltedauer,0,INDEX(Projektion!$D$36:$AQ$36,11)+Miete_Ist_J1*-0.1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-3703.08355395002</v>
      </c>
      <c r="P91" s="428" t="n">
        <f aca="false">IF(12&gt;Haltedauer,0,INDEX(Projektion!$D$36:$AQ$36,12)+Miete_Ist_J1*-0.1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144214.795103008</v>
      </c>
      <c r="Q91" s="428" t="n">
        <f aca="false">IF(13&gt;Haltedauer,0,INDEX(Projektion!$D$36:$AQ$36,13)+Miete_Ist_J1*-0.1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91" s="428" t="n">
        <f aca="false">IF(14&gt;Haltedauer,0,INDEX(Projektion!$D$36:$AQ$36,14)+Miete_Ist_J1*-0.1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91" s="428" t="n">
        <f aca="false">IF(15&gt;Haltedauer,0,INDEX(Projektion!$D$36:$AQ$36,15)+Miete_Ist_J1*-0.1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91" s="428" t="n">
        <f aca="false">IF(16&gt;Haltedauer,0,INDEX(Projektion!$D$36:$AQ$36,16)+Miete_Ist_J1*-0.1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91" s="428" t="n">
        <f aca="false">IF(17&gt;Haltedauer,0,INDEX(Projektion!$D$36:$AQ$36,17)+Miete_Ist_J1*-0.1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91" s="428" t="n">
        <f aca="false">IF(18&gt;Haltedauer,0,INDEX(Projektion!$D$36:$AQ$36,18)+Miete_Ist_J1*-0.1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91" s="428" t="n">
        <f aca="false">IF(19&gt;Haltedauer,0,INDEX(Projektion!$D$36:$AQ$36,19)+Miete_Ist_J1*-0.1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91" s="428" t="n">
        <f aca="false">IF(20&gt;Haltedauer,0,INDEX(Projektion!$D$36:$AQ$36,20)+Miete_Ist_J1*-0.1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91" s="428" t="n">
        <f aca="false">IF(21&gt;Haltedauer,0,INDEX(Projektion!$D$36:$AQ$36,21)+Miete_Ist_J1*-0.1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91" s="428" t="n">
        <f aca="false">IF(22&gt;Haltedauer,0,INDEX(Projektion!$D$36:$AQ$36,22)+Miete_Ist_J1*-0.1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91" s="428" t="n">
        <f aca="false">IF(23&gt;Haltedauer,0,INDEX(Projektion!$D$36:$AQ$36,23)+Miete_Ist_J1*-0.1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91" s="428" t="n">
        <f aca="false">IF(24&gt;Haltedauer,0,INDEX(Projektion!$D$36:$AQ$36,24)+Miete_Ist_J1*-0.1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91" s="428" t="n">
        <f aca="false">IF(25&gt;Haltedauer,0,INDEX(Projektion!$D$36:$AQ$36,25)+Miete_Ist_J1*-0.1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91" s="428" t="n">
        <f aca="false">IF(26&gt;Haltedauer,0,INDEX(Projektion!$D$36:$AQ$36,26)+Miete_Ist_J1*-0.1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91" s="428" t="n">
        <f aca="false">IF(27&gt;Haltedauer,0,INDEX(Projektion!$D$36:$AQ$36,27)+Miete_Ist_J1*-0.1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91" s="428" t="n">
        <f aca="false">IF(28&gt;Haltedauer,0,INDEX(Projektion!$D$36:$AQ$36,28)+Miete_Ist_J1*-0.1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91" s="428" t="n">
        <f aca="false">IF(29&gt;Haltedauer,0,INDEX(Projektion!$D$36:$AQ$36,29)+Miete_Ist_J1*-0.1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91" s="428" t="n">
        <f aca="false">IF(30&gt;Haltedauer,0,INDEX(Projektion!$D$36:$AQ$36,30)+Miete_Ist_J1*-0.1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91" s="428" t="n">
        <f aca="false">IF(31&gt;Haltedauer,0,INDEX(Projektion!$D$36:$AQ$36,31)+Miete_Ist_J1*-0.1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91" s="428" t="n">
        <f aca="false">IF(32&gt;Haltedauer,0,INDEX(Projektion!$D$36:$AQ$36,32)+Miete_Ist_J1*-0.1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91" s="428" t="n">
        <f aca="false">IF(33&gt;Haltedauer,0,INDEX(Projektion!$D$36:$AQ$36,33)+Miete_Ist_J1*-0.1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91" s="428" t="n">
        <f aca="false">IF(34&gt;Haltedauer,0,INDEX(Projektion!$D$36:$AQ$36,34)+Miete_Ist_J1*-0.1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91" s="428" t="n">
        <f aca="false">IF(35&gt;Haltedauer,0,INDEX(Projektion!$D$36:$AQ$36,35)+Miete_Ist_J1*-0.1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91" s="428" t="n">
        <f aca="false">IF(36&gt;Haltedauer,0,INDEX(Projektion!$D$36:$AQ$36,36)+Miete_Ist_J1*-0.1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91" s="428" t="n">
        <f aca="false">IF(37&gt;Haltedauer,0,INDEX(Projektion!$D$36:$AQ$36,37)+Miete_Ist_J1*-0.1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91" s="428" t="n">
        <f aca="false">IF(38&gt;Haltedauer,0,INDEX(Projektion!$D$36:$AQ$36,38)+Miete_Ist_J1*-0.1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91" s="428" t="n">
        <f aca="false">IF(39&gt;Haltedauer,0,INDEX(Projektion!$D$36:$AQ$36,39)+Miete_Ist_J1*-0.1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91" s="428" t="n">
        <f aca="false">IF(40&gt;Haltedauer,0,INDEX(Projektion!$D$36:$AQ$36,40)+Miete_Ist_J1*-0.1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91" s="12"/>
    </row>
    <row r="92" customFormat="false" ht="15" hidden="true" customHeight="true" outlineLevel="1" collapsed="false">
      <c r="A92" s="12"/>
      <c r="B92" s="12"/>
      <c r="C92" s="427" t="s">
        <v>1190</v>
      </c>
      <c r="D92" s="428" t="n">
        <f aca="false">-Eigenkapital</f>
        <v>-78974.5</v>
      </c>
      <c r="E92" s="428" t="n">
        <f aca="false">IF(1&gt;Haltedauer,0,INDEX(Projektion!$D$36:$AQ$36,1)+Miete_Ist_J1*-0.1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2484.12635992701</v>
      </c>
      <c r="F92" s="428" t="n">
        <f aca="false">IF(2&gt;Haltedauer,0,INDEX(Projektion!$D$36:$AQ$36,2)+Miete_Ist_J1*-0.1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-3893.11905074499</v>
      </c>
      <c r="G92" s="428" t="n">
        <f aca="false">IF(3&gt;Haltedauer,0,INDEX(Projektion!$D$36:$AQ$36,3)+Miete_Ist_J1*-0.1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-3911.44492307043</v>
      </c>
      <c r="H92" s="428" t="n">
        <f aca="false">IF(4&gt;Haltedauer,0,INDEX(Projektion!$D$36:$AQ$36,4)+Miete_Ist_J1*-0.1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-3931.51752740622</v>
      </c>
      <c r="I92" s="428" t="n">
        <f aca="false">IF(5&gt;Haltedauer,0,INDEX(Projektion!$D$36:$AQ$36,5)+Miete_Ist_J1*-0.1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-3953.42148611686</v>
      </c>
      <c r="J92" s="428" t="n">
        <f aca="false">IF(6&gt;Haltedauer,0,INDEX(Projektion!$D$36:$AQ$36,6)+Miete_Ist_J1*-0.1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-3977.24490277223</v>
      </c>
      <c r="K92" s="428" t="n">
        <f aca="false">IF(7&gt;Haltedauer,0,INDEX(Projektion!$D$36:$AQ$36,7)+Miete_Ist_J1*-0.1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-4003.07949616695</v>
      </c>
      <c r="L92" s="428" t="n">
        <f aca="false">IF(8&gt;Haltedauer,0,INDEX(Projektion!$D$36:$AQ$36,8)+Miete_Ist_J1*-0.1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-4031.02073933845</v>
      </c>
      <c r="M92" s="428" t="n">
        <f aca="false">IF(9&gt;Haltedauer,0,INDEX(Projektion!$D$36:$AQ$36,9)+Miete_Ist_J1*-0.1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-4061.16800376696</v>
      </c>
      <c r="N92" s="428" t="n">
        <f aca="false">IF(10&gt;Haltedauer,0,INDEX(Projektion!$D$36:$AQ$36,10)+Miete_Ist_J1*-0.1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-4093.62470894781</v>
      </c>
      <c r="O92" s="428" t="n">
        <f aca="false">IF(11&gt;Haltedauer,0,INDEX(Projektion!$D$36:$AQ$36,11)+Miete_Ist_J1*-0.1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-3703.08355395002</v>
      </c>
      <c r="P92" s="428" t="n">
        <f aca="false">IF(12&gt;Haltedauer,0,INDEX(Projektion!$D$36:$AQ$36,12)+Miete_Ist_J1*-0.1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185375.558558172</v>
      </c>
      <c r="Q92" s="428" t="n">
        <f aca="false">IF(13&gt;Haltedauer,0,INDEX(Projektion!$D$36:$AQ$36,13)+Miete_Ist_J1*-0.1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92" s="428" t="n">
        <f aca="false">IF(14&gt;Haltedauer,0,INDEX(Projektion!$D$36:$AQ$36,14)+Miete_Ist_J1*-0.1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92" s="428" t="n">
        <f aca="false">IF(15&gt;Haltedauer,0,INDEX(Projektion!$D$36:$AQ$36,15)+Miete_Ist_J1*-0.1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92" s="428" t="n">
        <f aca="false">IF(16&gt;Haltedauer,0,INDEX(Projektion!$D$36:$AQ$36,16)+Miete_Ist_J1*-0.1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92" s="428" t="n">
        <f aca="false">IF(17&gt;Haltedauer,0,INDEX(Projektion!$D$36:$AQ$36,17)+Miete_Ist_J1*-0.1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92" s="428" t="n">
        <f aca="false">IF(18&gt;Haltedauer,0,INDEX(Projektion!$D$36:$AQ$36,18)+Miete_Ist_J1*-0.1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92" s="428" t="n">
        <f aca="false">IF(19&gt;Haltedauer,0,INDEX(Projektion!$D$36:$AQ$36,19)+Miete_Ist_J1*-0.1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92" s="428" t="n">
        <f aca="false">IF(20&gt;Haltedauer,0,INDEX(Projektion!$D$36:$AQ$36,20)+Miete_Ist_J1*-0.1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92" s="428" t="n">
        <f aca="false">IF(21&gt;Haltedauer,0,INDEX(Projektion!$D$36:$AQ$36,21)+Miete_Ist_J1*-0.1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92" s="428" t="n">
        <f aca="false">IF(22&gt;Haltedauer,0,INDEX(Projektion!$D$36:$AQ$36,22)+Miete_Ist_J1*-0.1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92" s="428" t="n">
        <f aca="false">IF(23&gt;Haltedauer,0,INDEX(Projektion!$D$36:$AQ$36,23)+Miete_Ist_J1*-0.1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92" s="428" t="n">
        <f aca="false">IF(24&gt;Haltedauer,0,INDEX(Projektion!$D$36:$AQ$36,24)+Miete_Ist_J1*-0.1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92" s="428" t="n">
        <f aca="false">IF(25&gt;Haltedauer,0,INDEX(Projektion!$D$36:$AQ$36,25)+Miete_Ist_J1*-0.1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92" s="428" t="n">
        <f aca="false">IF(26&gt;Haltedauer,0,INDEX(Projektion!$D$36:$AQ$36,26)+Miete_Ist_J1*-0.1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92" s="428" t="n">
        <f aca="false">IF(27&gt;Haltedauer,0,INDEX(Projektion!$D$36:$AQ$36,27)+Miete_Ist_J1*-0.1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92" s="428" t="n">
        <f aca="false">IF(28&gt;Haltedauer,0,INDEX(Projektion!$D$36:$AQ$36,28)+Miete_Ist_J1*-0.1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92" s="428" t="n">
        <f aca="false">IF(29&gt;Haltedauer,0,INDEX(Projektion!$D$36:$AQ$36,29)+Miete_Ist_J1*-0.1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92" s="428" t="n">
        <f aca="false">IF(30&gt;Haltedauer,0,INDEX(Projektion!$D$36:$AQ$36,30)+Miete_Ist_J1*-0.1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92" s="428" t="n">
        <f aca="false">IF(31&gt;Haltedauer,0,INDEX(Projektion!$D$36:$AQ$36,31)+Miete_Ist_J1*-0.1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92" s="428" t="n">
        <f aca="false">IF(32&gt;Haltedauer,0,INDEX(Projektion!$D$36:$AQ$36,32)+Miete_Ist_J1*-0.1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92" s="428" t="n">
        <f aca="false">IF(33&gt;Haltedauer,0,INDEX(Projektion!$D$36:$AQ$36,33)+Miete_Ist_J1*-0.1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92" s="428" t="n">
        <f aca="false">IF(34&gt;Haltedauer,0,INDEX(Projektion!$D$36:$AQ$36,34)+Miete_Ist_J1*-0.1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92" s="428" t="n">
        <f aca="false">IF(35&gt;Haltedauer,0,INDEX(Projektion!$D$36:$AQ$36,35)+Miete_Ist_J1*-0.1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92" s="428" t="n">
        <f aca="false">IF(36&gt;Haltedauer,0,INDEX(Projektion!$D$36:$AQ$36,36)+Miete_Ist_J1*-0.1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92" s="428" t="n">
        <f aca="false">IF(37&gt;Haltedauer,0,INDEX(Projektion!$D$36:$AQ$36,37)+Miete_Ist_J1*-0.1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92" s="428" t="n">
        <f aca="false">IF(38&gt;Haltedauer,0,INDEX(Projektion!$D$36:$AQ$36,38)+Miete_Ist_J1*-0.1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92" s="428" t="n">
        <f aca="false">IF(39&gt;Haltedauer,0,INDEX(Projektion!$D$36:$AQ$36,39)+Miete_Ist_J1*-0.1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92" s="428" t="n">
        <f aca="false">IF(40&gt;Haltedauer,0,INDEX(Projektion!$D$36:$AQ$36,40)+Miete_Ist_J1*-0.1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92" s="12"/>
    </row>
    <row r="93" customFormat="false" ht="15" hidden="true" customHeight="true" outlineLevel="1" collapsed="false">
      <c r="A93" s="12"/>
      <c r="B93" s="12"/>
      <c r="C93" s="427" t="s">
        <v>1191</v>
      </c>
      <c r="D93" s="428" t="n">
        <f aca="false">-Eigenkapital</f>
        <v>-78974.5</v>
      </c>
      <c r="E93" s="428" t="n">
        <f aca="false">IF(1&gt;Haltedauer,0,INDEX(Projektion!$D$36:$AQ$36,1)+Miete_Ist_J1*-0.1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2484.12635992701</v>
      </c>
      <c r="F93" s="428" t="n">
        <f aca="false">IF(2&gt;Haltedauer,0,INDEX(Projektion!$D$36:$AQ$36,2)+Miete_Ist_J1*-0.1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-3893.11905074499</v>
      </c>
      <c r="G93" s="428" t="n">
        <f aca="false">IF(3&gt;Haltedauer,0,INDEX(Projektion!$D$36:$AQ$36,3)+Miete_Ist_J1*-0.1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-3911.44492307043</v>
      </c>
      <c r="H93" s="428" t="n">
        <f aca="false">IF(4&gt;Haltedauer,0,INDEX(Projektion!$D$36:$AQ$36,4)+Miete_Ist_J1*-0.1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-3931.51752740622</v>
      </c>
      <c r="I93" s="428" t="n">
        <f aca="false">IF(5&gt;Haltedauer,0,INDEX(Projektion!$D$36:$AQ$36,5)+Miete_Ist_J1*-0.1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-3953.42148611686</v>
      </c>
      <c r="J93" s="428" t="n">
        <f aca="false">IF(6&gt;Haltedauer,0,INDEX(Projektion!$D$36:$AQ$36,6)+Miete_Ist_J1*-0.1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-3977.24490277223</v>
      </c>
      <c r="K93" s="428" t="n">
        <f aca="false">IF(7&gt;Haltedauer,0,INDEX(Projektion!$D$36:$AQ$36,7)+Miete_Ist_J1*-0.1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-4003.07949616695</v>
      </c>
      <c r="L93" s="428" t="n">
        <f aca="false">IF(8&gt;Haltedauer,0,INDEX(Projektion!$D$36:$AQ$36,8)+Miete_Ist_J1*-0.1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-4031.02073933845</v>
      </c>
      <c r="M93" s="428" t="n">
        <f aca="false">IF(9&gt;Haltedauer,0,INDEX(Projektion!$D$36:$AQ$36,9)+Miete_Ist_J1*-0.1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-4061.16800376696</v>
      </c>
      <c r="N93" s="428" t="n">
        <f aca="false">IF(10&gt;Haltedauer,0,INDEX(Projektion!$D$36:$AQ$36,10)+Miete_Ist_J1*-0.1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-4093.62470894781</v>
      </c>
      <c r="O93" s="428" t="n">
        <f aca="false">IF(11&gt;Haltedauer,0,INDEX(Projektion!$D$36:$AQ$36,11)+Miete_Ist_J1*-0.1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-3703.08355395002</v>
      </c>
      <c r="P93" s="428" t="n">
        <f aca="false">IF(12&gt;Haltedauer,0,INDEX(Projektion!$D$36:$AQ$36,12)+Miete_Ist_J1*-0.1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231223.065558246</v>
      </c>
      <c r="Q93" s="428" t="n">
        <f aca="false">IF(13&gt;Haltedauer,0,INDEX(Projektion!$D$36:$AQ$36,13)+Miete_Ist_J1*-0.1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93" s="428" t="n">
        <f aca="false">IF(14&gt;Haltedauer,0,INDEX(Projektion!$D$36:$AQ$36,14)+Miete_Ist_J1*-0.1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93" s="428" t="n">
        <f aca="false">IF(15&gt;Haltedauer,0,INDEX(Projektion!$D$36:$AQ$36,15)+Miete_Ist_J1*-0.1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93" s="428" t="n">
        <f aca="false">IF(16&gt;Haltedauer,0,INDEX(Projektion!$D$36:$AQ$36,16)+Miete_Ist_J1*-0.1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93" s="428" t="n">
        <f aca="false">IF(17&gt;Haltedauer,0,INDEX(Projektion!$D$36:$AQ$36,17)+Miete_Ist_J1*-0.1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93" s="428" t="n">
        <f aca="false">IF(18&gt;Haltedauer,0,INDEX(Projektion!$D$36:$AQ$36,18)+Miete_Ist_J1*-0.1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93" s="428" t="n">
        <f aca="false">IF(19&gt;Haltedauer,0,INDEX(Projektion!$D$36:$AQ$36,19)+Miete_Ist_J1*-0.1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93" s="428" t="n">
        <f aca="false">IF(20&gt;Haltedauer,0,INDEX(Projektion!$D$36:$AQ$36,20)+Miete_Ist_J1*-0.1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93" s="428" t="n">
        <f aca="false">IF(21&gt;Haltedauer,0,INDEX(Projektion!$D$36:$AQ$36,21)+Miete_Ist_J1*-0.1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93" s="428" t="n">
        <f aca="false">IF(22&gt;Haltedauer,0,INDEX(Projektion!$D$36:$AQ$36,22)+Miete_Ist_J1*-0.1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93" s="428" t="n">
        <f aca="false">IF(23&gt;Haltedauer,0,INDEX(Projektion!$D$36:$AQ$36,23)+Miete_Ist_J1*-0.1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93" s="428" t="n">
        <f aca="false">IF(24&gt;Haltedauer,0,INDEX(Projektion!$D$36:$AQ$36,24)+Miete_Ist_J1*-0.1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93" s="428" t="n">
        <f aca="false">IF(25&gt;Haltedauer,0,INDEX(Projektion!$D$36:$AQ$36,25)+Miete_Ist_J1*-0.1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93" s="428" t="n">
        <f aca="false">IF(26&gt;Haltedauer,0,INDEX(Projektion!$D$36:$AQ$36,26)+Miete_Ist_J1*-0.1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93" s="428" t="n">
        <f aca="false">IF(27&gt;Haltedauer,0,INDEX(Projektion!$D$36:$AQ$36,27)+Miete_Ist_J1*-0.1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93" s="428" t="n">
        <f aca="false">IF(28&gt;Haltedauer,0,INDEX(Projektion!$D$36:$AQ$36,28)+Miete_Ist_J1*-0.1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93" s="428" t="n">
        <f aca="false">IF(29&gt;Haltedauer,0,INDEX(Projektion!$D$36:$AQ$36,29)+Miete_Ist_J1*-0.1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93" s="428" t="n">
        <f aca="false">IF(30&gt;Haltedauer,0,INDEX(Projektion!$D$36:$AQ$36,30)+Miete_Ist_J1*-0.1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93" s="428" t="n">
        <f aca="false">IF(31&gt;Haltedauer,0,INDEX(Projektion!$D$36:$AQ$36,31)+Miete_Ist_J1*-0.1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93" s="428" t="n">
        <f aca="false">IF(32&gt;Haltedauer,0,INDEX(Projektion!$D$36:$AQ$36,32)+Miete_Ist_J1*-0.1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93" s="428" t="n">
        <f aca="false">IF(33&gt;Haltedauer,0,INDEX(Projektion!$D$36:$AQ$36,33)+Miete_Ist_J1*-0.1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93" s="428" t="n">
        <f aca="false">IF(34&gt;Haltedauer,0,INDEX(Projektion!$D$36:$AQ$36,34)+Miete_Ist_J1*-0.1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93" s="428" t="n">
        <f aca="false">IF(35&gt;Haltedauer,0,INDEX(Projektion!$D$36:$AQ$36,35)+Miete_Ist_J1*-0.1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93" s="428" t="n">
        <f aca="false">IF(36&gt;Haltedauer,0,INDEX(Projektion!$D$36:$AQ$36,36)+Miete_Ist_J1*-0.1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93" s="428" t="n">
        <f aca="false">IF(37&gt;Haltedauer,0,INDEX(Projektion!$D$36:$AQ$36,37)+Miete_Ist_J1*-0.1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93" s="428" t="n">
        <f aca="false">IF(38&gt;Haltedauer,0,INDEX(Projektion!$D$36:$AQ$36,38)+Miete_Ist_J1*-0.1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93" s="428" t="n">
        <f aca="false">IF(39&gt;Haltedauer,0,INDEX(Projektion!$D$36:$AQ$36,39)+Miete_Ist_J1*-0.1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93" s="428" t="n">
        <f aca="false">IF(40&gt;Haltedauer,0,INDEX(Projektion!$D$36:$AQ$36,40)+Miete_Ist_J1*-0.1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93" s="12"/>
    </row>
    <row r="94" customFormat="false" ht="15" hidden="true" customHeight="true" outlineLevel="1" collapsed="false">
      <c r="A94" s="12"/>
      <c r="B94" s="12"/>
      <c r="C94" s="427" t="s">
        <v>1192</v>
      </c>
      <c r="D94" s="428" t="n">
        <f aca="false">-Eigenkapital</f>
        <v>-78974.5</v>
      </c>
      <c r="E94" s="428" t="n">
        <f aca="false">IF(1&gt;Haltedauer,0,INDEX(Projektion!$D$36:$AQ$36,1)+Miete_Ist_J1*-0.1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2484.12635992701</v>
      </c>
      <c r="F94" s="428" t="n">
        <f aca="false">IF(2&gt;Haltedauer,0,INDEX(Projektion!$D$36:$AQ$36,2)+Miete_Ist_J1*-0.1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-3893.11905074499</v>
      </c>
      <c r="G94" s="428" t="n">
        <f aca="false">IF(3&gt;Haltedauer,0,INDEX(Projektion!$D$36:$AQ$36,3)+Miete_Ist_J1*-0.1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-3911.44492307043</v>
      </c>
      <c r="H94" s="428" t="n">
        <f aca="false">IF(4&gt;Haltedauer,0,INDEX(Projektion!$D$36:$AQ$36,4)+Miete_Ist_J1*-0.1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-3931.51752740622</v>
      </c>
      <c r="I94" s="428" t="n">
        <f aca="false">IF(5&gt;Haltedauer,0,INDEX(Projektion!$D$36:$AQ$36,5)+Miete_Ist_J1*-0.1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-3953.42148611686</v>
      </c>
      <c r="J94" s="428" t="n">
        <f aca="false">IF(6&gt;Haltedauer,0,INDEX(Projektion!$D$36:$AQ$36,6)+Miete_Ist_J1*-0.1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-3977.24490277223</v>
      </c>
      <c r="K94" s="428" t="n">
        <f aca="false">IF(7&gt;Haltedauer,0,INDEX(Projektion!$D$36:$AQ$36,7)+Miete_Ist_J1*-0.1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-4003.07949616695</v>
      </c>
      <c r="L94" s="428" t="n">
        <f aca="false">IF(8&gt;Haltedauer,0,INDEX(Projektion!$D$36:$AQ$36,8)+Miete_Ist_J1*-0.1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-4031.02073933845</v>
      </c>
      <c r="M94" s="428" t="n">
        <f aca="false">IF(9&gt;Haltedauer,0,INDEX(Projektion!$D$36:$AQ$36,9)+Miete_Ist_J1*-0.1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-4061.16800376696</v>
      </c>
      <c r="N94" s="428" t="n">
        <f aca="false">IF(10&gt;Haltedauer,0,INDEX(Projektion!$D$36:$AQ$36,10)+Miete_Ist_J1*-0.1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-4093.62470894781</v>
      </c>
      <c r="O94" s="428" t="n">
        <f aca="false">IF(11&gt;Haltedauer,0,INDEX(Projektion!$D$36:$AQ$36,11)+Miete_Ist_J1*-0.1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-3703.08355395002</v>
      </c>
      <c r="P94" s="428" t="n">
        <f aca="false">IF(12&gt;Haltedauer,0,INDEX(Projektion!$D$36:$AQ$36,12)+Miete_Ist_J1*-0.1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282237.539369106</v>
      </c>
      <c r="Q94" s="428" t="n">
        <f aca="false">IF(13&gt;Haltedauer,0,INDEX(Projektion!$D$36:$AQ$36,13)+Miete_Ist_J1*-0.1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94" s="428" t="n">
        <f aca="false">IF(14&gt;Haltedauer,0,INDEX(Projektion!$D$36:$AQ$36,14)+Miete_Ist_J1*-0.1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94" s="428" t="n">
        <f aca="false">IF(15&gt;Haltedauer,0,INDEX(Projektion!$D$36:$AQ$36,15)+Miete_Ist_J1*-0.1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94" s="428" t="n">
        <f aca="false">IF(16&gt;Haltedauer,0,INDEX(Projektion!$D$36:$AQ$36,16)+Miete_Ist_J1*-0.1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94" s="428" t="n">
        <f aca="false">IF(17&gt;Haltedauer,0,INDEX(Projektion!$D$36:$AQ$36,17)+Miete_Ist_J1*-0.1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94" s="428" t="n">
        <f aca="false">IF(18&gt;Haltedauer,0,INDEX(Projektion!$D$36:$AQ$36,18)+Miete_Ist_J1*-0.1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94" s="428" t="n">
        <f aca="false">IF(19&gt;Haltedauer,0,INDEX(Projektion!$D$36:$AQ$36,19)+Miete_Ist_J1*-0.1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94" s="428" t="n">
        <f aca="false">IF(20&gt;Haltedauer,0,INDEX(Projektion!$D$36:$AQ$36,20)+Miete_Ist_J1*-0.1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94" s="428" t="n">
        <f aca="false">IF(21&gt;Haltedauer,0,INDEX(Projektion!$D$36:$AQ$36,21)+Miete_Ist_J1*-0.1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94" s="428" t="n">
        <f aca="false">IF(22&gt;Haltedauer,0,INDEX(Projektion!$D$36:$AQ$36,22)+Miete_Ist_J1*-0.1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94" s="428" t="n">
        <f aca="false">IF(23&gt;Haltedauer,0,INDEX(Projektion!$D$36:$AQ$36,23)+Miete_Ist_J1*-0.1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94" s="428" t="n">
        <f aca="false">IF(24&gt;Haltedauer,0,INDEX(Projektion!$D$36:$AQ$36,24)+Miete_Ist_J1*-0.1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94" s="428" t="n">
        <f aca="false">IF(25&gt;Haltedauer,0,INDEX(Projektion!$D$36:$AQ$36,25)+Miete_Ist_J1*-0.1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94" s="428" t="n">
        <f aca="false">IF(26&gt;Haltedauer,0,INDEX(Projektion!$D$36:$AQ$36,26)+Miete_Ist_J1*-0.1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94" s="428" t="n">
        <f aca="false">IF(27&gt;Haltedauer,0,INDEX(Projektion!$D$36:$AQ$36,27)+Miete_Ist_J1*-0.1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94" s="428" t="n">
        <f aca="false">IF(28&gt;Haltedauer,0,INDEX(Projektion!$D$36:$AQ$36,28)+Miete_Ist_J1*-0.1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94" s="428" t="n">
        <f aca="false">IF(29&gt;Haltedauer,0,INDEX(Projektion!$D$36:$AQ$36,29)+Miete_Ist_J1*-0.1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94" s="428" t="n">
        <f aca="false">IF(30&gt;Haltedauer,0,INDEX(Projektion!$D$36:$AQ$36,30)+Miete_Ist_J1*-0.1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94" s="428" t="n">
        <f aca="false">IF(31&gt;Haltedauer,0,INDEX(Projektion!$D$36:$AQ$36,31)+Miete_Ist_J1*-0.1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94" s="428" t="n">
        <f aca="false">IF(32&gt;Haltedauer,0,INDEX(Projektion!$D$36:$AQ$36,32)+Miete_Ist_J1*-0.1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94" s="428" t="n">
        <f aca="false">IF(33&gt;Haltedauer,0,INDEX(Projektion!$D$36:$AQ$36,33)+Miete_Ist_J1*-0.1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94" s="428" t="n">
        <f aca="false">IF(34&gt;Haltedauer,0,INDEX(Projektion!$D$36:$AQ$36,34)+Miete_Ist_J1*-0.1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94" s="428" t="n">
        <f aca="false">IF(35&gt;Haltedauer,0,INDEX(Projektion!$D$36:$AQ$36,35)+Miete_Ist_J1*-0.1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94" s="428" t="n">
        <f aca="false">IF(36&gt;Haltedauer,0,INDEX(Projektion!$D$36:$AQ$36,36)+Miete_Ist_J1*-0.1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94" s="428" t="n">
        <f aca="false">IF(37&gt;Haltedauer,0,INDEX(Projektion!$D$36:$AQ$36,37)+Miete_Ist_J1*-0.1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94" s="428" t="n">
        <f aca="false">IF(38&gt;Haltedauer,0,INDEX(Projektion!$D$36:$AQ$36,38)+Miete_Ist_J1*-0.1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94" s="428" t="n">
        <f aca="false">IF(39&gt;Haltedauer,0,INDEX(Projektion!$D$36:$AQ$36,39)+Miete_Ist_J1*-0.1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94" s="428" t="n">
        <f aca="false">IF(40&gt;Haltedauer,0,INDEX(Projektion!$D$36:$AQ$36,40)+Miete_Ist_J1*-0.1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94" s="12"/>
    </row>
    <row r="95" customFormat="false" ht="15" hidden="true" customHeight="true" outlineLevel="1" collapsed="false">
      <c r="A95" s="12"/>
      <c r="B95" s="12"/>
      <c r="C95" s="427" t="s">
        <v>1193</v>
      </c>
      <c r="D95" s="428" t="n">
        <f aca="false">-Eigenkapital</f>
        <v>-78974.5</v>
      </c>
      <c r="E95" s="428" t="n">
        <f aca="false">IF(1&gt;Haltedauer,0,INDEX(Projektion!$D$36:$AQ$36,1)+Miete_Ist_J1*-0.05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2781.26145472701</v>
      </c>
      <c r="F95" s="428" t="n">
        <f aca="false">IF(2&gt;Haltedauer,0,INDEX(Projektion!$D$36:$AQ$36,2)+Miete_Ist_J1*-0.05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-3590.04125404899</v>
      </c>
      <c r="G95" s="428" t="n">
        <f aca="false">IF(3&gt;Haltedauer,0,INDEX(Projektion!$D$36:$AQ$36,3)+Miete_Ist_J1*-0.05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-3602.30557044051</v>
      </c>
      <c r="H95" s="428" t="n">
        <f aca="false">IF(4&gt;Haltedauer,0,INDEX(Projektion!$D$36:$AQ$36,4)+Miete_Ist_J1*-0.05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-3616.1953877237</v>
      </c>
      <c r="I95" s="428" t="n">
        <f aca="false">IF(5&gt;Haltedauer,0,INDEX(Projektion!$D$36:$AQ$36,5)+Miete_Ist_J1*-0.05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-3631.79290364069</v>
      </c>
      <c r="J95" s="428" t="n">
        <f aca="false">IF(6&gt;Haltedauer,0,INDEX(Projektion!$D$36:$AQ$36,6)+Miete_Ist_J1*-0.05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-3649.18374864654</v>
      </c>
      <c r="K95" s="428" t="n">
        <f aca="false">IF(7&gt;Haltedauer,0,INDEX(Projektion!$D$36:$AQ$36,7)+Miete_Ist_J1*-0.05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-3668.45711895875</v>
      </c>
      <c r="L95" s="428" t="n">
        <f aca="false">IF(8&gt;Haltedauer,0,INDEX(Projektion!$D$36:$AQ$36,8)+Miete_Ist_J1*-0.05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-3689.70591458608</v>
      </c>
      <c r="M95" s="428" t="n">
        <f aca="false">IF(9&gt;Haltedauer,0,INDEX(Projektion!$D$36:$AQ$36,9)+Miete_Ist_J1*-0.05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-3713.02688251954</v>
      </c>
      <c r="N95" s="428" t="n">
        <f aca="false">IF(10&gt;Haltedauer,0,INDEX(Projektion!$D$36:$AQ$36,10)+Miete_Ist_J1*-0.05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-3738.52076527545</v>
      </c>
      <c r="O95" s="428" t="n">
        <f aca="false">IF(11&gt;Haltedauer,0,INDEX(Projektion!$D$36:$AQ$36,11)+Miete_Ist_J1*-0.05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-3340.8775314042</v>
      </c>
      <c r="P95" s="428" t="n">
        <f aca="false">IF(12&gt;Haltedauer,0,INDEX(Projektion!$D$36:$AQ$36,12)+Miete_Ist_J1*-0.05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107670.551975794</v>
      </c>
      <c r="Q95" s="428" t="n">
        <f aca="false">IF(13&gt;Haltedauer,0,INDEX(Projektion!$D$36:$AQ$36,13)+Miete_Ist_J1*-0.05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95" s="428" t="n">
        <f aca="false">IF(14&gt;Haltedauer,0,INDEX(Projektion!$D$36:$AQ$36,14)+Miete_Ist_J1*-0.05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95" s="428" t="n">
        <f aca="false">IF(15&gt;Haltedauer,0,INDEX(Projektion!$D$36:$AQ$36,15)+Miete_Ist_J1*-0.05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95" s="428" t="n">
        <f aca="false">IF(16&gt;Haltedauer,0,INDEX(Projektion!$D$36:$AQ$36,16)+Miete_Ist_J1*-0.05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95" s="428" t="n">
        <f aca="false">IF(17&gt;Haltedauer,0,INDEX(Projektion!$D$36:$AQ$36,17)+Miete_Ist_J1*-0.05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95" s="428" t="n">
        <f aca="false">IF(18&gt;Haltedauer,0,INDEX(Projektion!$D$36:$AQ$36,18)+Miete_Ist_J1*-0.05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95" s="428" t="n">
        <f aca="false">IF(19&gt;Haltedauer,0,INDEX(Projektion!$D$36:$AQ$36,19)+Miete_Ist_J1*-0.05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95" s="428" t="n">
        <f aca="false">IF(20&gt;Haltedauer,0,INDEX(Projektion!$D$36:$AQ$36,20)+Miete_Ist_J1*-0.05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95" s="428" t="n">
        <f aca="false">IF(21&gt;Haltedauer,0,INDEX(Projektion!$D$36:$AQ$36,21)+Miete_Ist_J1*-0.05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95" s="428" t="n">
        <f aca="false">IF(22&gt;Haltedauer,0,INDEX(Projektion!$D$36:$AQ$36,22)+Miete_Ist_J1*-0.05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95" s="428" t="n">
        <f aca="false">IF(23&gt;Haltedauer,0,INDEX(Projektion!$D$36:$AQ$36,23)+Miete_Ist_J1*-0.05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95" s="428" t="n">
        <f aca="false">IF(24&gt;Haltedauer,0,INDEX(Projektion!$D$36:$AQ$36,24)+Miete_Ist_J1*-0.05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95" s="428" t="n">
        <f aca="false">IF(25&gt;Haltedauer,0,INDEX(Projektion!$D$36:$AQ$36,25)+Miete_Ist_J1*-0.05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95" s="428" t="n">
        <f aca="false">IF(26&gt;Haltedauer,0,INDEX(Projektion!$D$36:$AQ$36,26)+Miete_Ist_J1*-0.05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95" s="428" t="n">
        <f aca="false">IF(27&gt;Haltedauer,0,INDEX(Projektion!$D$36:$AQ$36,27)+Miete_Ist_J1*-0.05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95" s="428" t="n">
        <f aca="false">IF(28&gt;Haltedauer,0,INDEX(Projektion!$D$36:$AQ$36,28)+Miete_Ist_J1*-0.05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95" s="428" t="n">
        <f aca="false">IF(29&gt;Haltedauer,0,INDEX(Projektion!$D$36:$AQ$36,29)+Miete_Ist_J1*-0.05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95" s="428" t="n">
        <f aca="false">IF(30&gt;Haltedauer,0,INDEX(Projektion!$D$36:$AQ$36,30)+Miete_Ist_J1*-0.05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95" s="428" t="n">
        <f aca="false">IF(31&gt;Haltedauer,0,INDEX(Projektion!$D$36:$AQ$36,31)+Miete_Ist_J1*-0.05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95" s="428" t="n">
        <f aca="false">IF(32&gt;Haltedauer,0,INDEX(Projektion!$D$36:$AQ$36,32)+Miete_Ist_J1*-0.05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95" s="428" t="n">
        <f aca="false">IF(33&gt;Haltedauer,0,INDEX(Projektion!$D$36:$AQ$36,33)+Miete_Ist_J1*-0.05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95" s="428" t="n">
        <f aca="false">IF(34&gt;Haltedauer,0,INDEX(Projektion!$D$36:$AQ$36,34)+Miete_Ist_J1*-0.05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95" s="428" t="n">
        <f aca="false">IF(35&gt;Haltedauer,0,INDEX(Projektion!$D$36:$AQ$36,35)+Miete_Ist_J1*-0.05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95" s="428" t="n">
        <f aca="false">IF(36&gt;Haltedauer,0,INDEX(Projektion!$D$36:$AQ$36,36)+Miete_Ist_J1*-0.05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95" s="428" t="n">
        <f aca="false">IF(37&gt;Haltedauer,0,INDEX(Projektion!$D$36:$AQ$36,37)+Miete_Ist_J1*-0.05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95" s="428" t="n">
        <f aca="false">IF(38&gt;Haltedauer,0,INDEX(Projektion!$D$36:$AQ$36,38)+Miete_Ist_J1*-0.05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95" s="428" t="n">
        <f aca="false">IF(39&gt;Haltedauer,0,INDEX(Projektion!$D$36:$AQ$36,39)+Miete_Ist_J1*-0.05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95" s="428" t="n">
        <f aca="false">IF(40&gt;Haltedauer,0,INDEX(Projektion!$D$36:$AQ$36,40)+Miete_Ist_J1*-0.05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95" s="12"/>
    </row>
    <row r="96" customFormat="false" ht="15" hidden="true" customHeight="true" outlineLevel="1" collapsed="false">
      <c r="A96" s="12"/>
      <c r="B96" s="12"/>
      <c r="C96" s="427" t="s">
        <v>1194</v>
      </c>
      <c r="D96" s="428" t="n">
        <f aca="false">-Eigenkapital</f>
        <v>-78974.5</v>
      </c>
      <c r="E96" s="428" t="n">
        <f aca="false">IF(1&gt;Haltedauer,0,INDEX(Projektion!$D$36:$AQ$36,1)+Miete_Ist_J1*-0.05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2781.26145472701</v>
      </c>
      <c r="F96" s="428" t="n">
        <f aca="false">IF(2&gt;Haltedauer,0,INDEX(Projektion!$D$36:$AQ$36,2)+Miete_Ist_J1*-0.05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-3590.04125404899</v>
      </c>
      <c r="G96" s="428" t="n">
        <f aca="false">IF(3&gt;Haltedauer,0,INDEX(Projektion!$D$36:$AQ$36,3)+Miete_Ist_J1*-0.05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-3602.30557044051</v>
      </c>
      <c r="H96" s="428" t="n">
        <f aca="false">IF(4&gt;Haltedauer,0,INDEX(Projektion!$D$36:$AQ$36,4)+Miete_Ist_J1*-0.05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-3616.1953877237</v>
      </c>
      <c r="I96" s="428" t="n">
        <f aca="false">IF(5&gt;Haltedauer,0,INDEX(Projektion!$D$36:$AQ$36,5)+Miete_Ist_J1*-0.05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-3631.79290364069</v>
      </c>
      <c r="J96" s="428" t="n">
        <f aca="false">IF(6&gt;Haltedauer,0,INDEX(Projektion!$D$36:$AQ$36,6)+Miete_Ist_J1*-0.05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-3649.18374864654</v>
      </c>
      <c r="K96" s="428" t="n">
        <f aca="false">IF(7&gt;Haltedauer,0,INDEX(Projektion!$D$36:$AQ$36,7)+Miete_Ist_J1*-0.05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-3668.45711895875</v>
      </c>
      <c r="L96" s="428" t="n">
        <f aca="false">IF(8&gt;Haltedauer,0,INDEX(Projektion!$D$36:$AQ$36,8)+Miete_Ist_J1*-0.05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-3689.70591458608</v>
      </c>
      <c r="M96" s="428" t="n">
        <f aca="false">IF(9&gt;Haltedauer,0,INDEX(Projektion!$D$36:$AQ$36,9)+Miete_Ist_J1*-0.05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-3713.02688251954</v>
      </c>
      <c r="N96" s="428" t="n">
        <f aca="false">IF(10&gt;Haltedauer,0,INDEX(Projektion!$D$36:$AQ$36,10)+Miete_Ist_J1*-0.05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-3738.52076527545</v>
      </c>
      <c r="O96" s="428" t="n">
        <f aca="false">IF(11&gt;Haltedauer,0,INDEX(Projektion!$D$36:$AQ$36,11)+Miete_Ist_J1*-0.05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-3340.8775314042</v>
      </c>
      <c r="P96" s="428" t="n">
        <f aca="false">IF(12&gt;Haltedauer,0,INDEX(Projektion!$D$36:$AQ$36,12)+Miete_Ist_J1*-0.05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144584.245246005</v>
      </c>
      <c r="Q96" s="428" t="n">
        <f aca="false">IF(13&gt;Haltedauer,0,INDEX(Projektion!$D$36:$AQ$36,13)+Miete_Ist_J1*-0.05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96" s="428" t="n">
        <f aca="false">IF(14&gt;Haltedauer,0,INDEX(Projektion!$D$36:$AQ$36,14)+Miete_Ist_J1*-0.05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96" s="428" t="n">
        <f aca="false">IF(15&gt;Haltedauer,0,INDEX(Projektion!$D$36:$AQ$36,15)+Miete_Ist_J1*-0.05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96" s="428" t="n">
        <f aca="false">IF(16&gt;Haltedauer,0,INDEX(Projektion!$D$36:$AQ$36,16)+Miete_Ist_J1*-0.05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96" s="428" t="n">
        <f aca="false">IF(17&gt;Haltedauer,0,INDEX(Projektion!$D$36:$AQ$36,17)+Miete_Ist_J1*-0.05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96" s="428" t="n">
        <f aca="false">IF(18&gt;Haltedauer,0,INDEX(Projektion!$D$36:$AQ$36,18)+Miete_Ist_J1*-0.05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96" s="428" t="n">
        <f aca="false">IF(19&gt;Haltedauer,0,INDEX(Projektion!$D$36:$AQ$36,19)+Miete_Ist_J1*-0.05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96" s="428" t="n">
        <f aca="false">IF(20&gt;Haltedauer,0,INDEX(Projektion!$D$36:$AQ$36,20)+Miete_Ist_J1*-0.05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96" s="428" t="n">
        <f aca="false">IF(21&gt;Haltedauer,0,INDEX(Projektion!$D$36:$AQ$36,21)+Miete_Ist_J1*-0.05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96" s="428" t="n">
        <f aca="false">IF(22&gt;Haltedauer,0,INDEX(Projektion!$D$36:$AQ$36,22)+Miete_Ist_J1*-0.05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96" s="428" t="n">
        <f aca="false">IF(23&gt;Haltedauer,0,INDEX(Projektion!$D$36:$AQ$36,23)+Miete_Ist_J1*-0.05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96" s="428" t="n">
        <f aca="false">IF(24&gt;Haltedauer,0,INDEX(Projektion!$D$36:$AQ$36,24)+Miete_Ist_J1*-0.05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96" s="428" t="n">
        <f aca="false">IF(25&gt;Haltedauer,0,INDEX(Projektion!$D$36:$AQ$36,25)+Miete_Ist_J1*-0.05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96" s="428" t="n">
        <f aca="false">IF(26&gt;Haltedauer,0,INDEX(Projektion!$D$36:$AQ$36,26)+Miete_Ist_J1*-0.05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96" s="428" t="n">
        <f aca="false">IF(27&gt;Haltedauer,0,INDEX(Projektion!$D$36:$AQ$36,27)+Miete_Ist_J1*-0.05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96" s="428" t="n">
        <f aca="false">IF(28&gt;Haltedauer,0,INDEX(Projektion!$D$36:$AQ$36,28)+Miete_Ist_J1*-0.05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96" s="428" t="n">
        <f aca="false">IF(29&gt;Haltedauer,0,INDEX(Projektion!$D$36:$AQ$36,29)+Miete_Ist_J1*-0.05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96" s="428" t="n">
        <f aca="false">IF(30&gt;Haltedauer,0,INDEX(Projektion!$D$36:$AQ$36,30)+Miete_Ist_J1*-0.05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96" s="428" t="n">
        <f aca="false">IF(31&gt;Haltedauer,0,INDEX(Projektion!$D$36:$AQ$36,31)+Miete_Ist_J1*-0.05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96" s="428" t="n">
        <f aca="false">IF(32&gt;Haltedauer,0,INDEX(Projektion!$D$36:$AQ$36,32)+Miete_Ist_J1*-0.05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96" s="428" t="n">
        <f aca="false">IF(33&gt;Haltedauer,0,INDEX(Projektion!$D$36:$AQ$36,33)+Miete_Ist_J1*-0.05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96" s="428" t="n">
        <f aca="false">IF(34&gt;Haltedauer,0,INDEX(Projektion!$D$36:$AQ$36,34)+Miete_Ist_J1*-0.05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96" s="428" t="n">
        <f aca="false">IF(35&gt;Haltedauer,0,INDEX(Projektion!$D$36:$AQ$36,35)+Miete_Ist_J1*-0.05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96" s="428" t="n">
        <f aca="false">IF(36&gt;Haltedauer,0,INDEX(Projektion!$D$36:$AQ$36,36)+Miete_Ist_J1*-0.05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96" s="428" t="n">
        <f aca="false">IF(37&gt;Haltedauer,0,INDEX(Projektion!$D$36:$AQ$36,37)+Miete_Ist_J1*-0.05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96" s="428" t="n">
        <f aca="false">IF(38&gt;Haltedauer,0,INDEX(Projektion!$D$36:$AQ$36,38)+Miete_Ist_J1*-0.05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96" s="428" t="n">
        <f aca="false">IF(39&gt;Haltedauer,0,INDEX(Projektion!$D$36:$AQ$36,39)+Miete_Ist_J1*-0.05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96" s="428" t="n">
        <f aca="false">IF(40&gt;Haltedauer,0,INDEX(Projektion!$D$36:$AQ$36,40)+Miete_Ist_J1*-0.05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96" s="12"/>
    </row>
    <row r="97" customFormat="false" ht="15" hidden="true" customHeight="true" outlineLevel="1" collapsed="false">
      <c r="A97" s="12"/>
      <c r="B97" s="12"/>
      <c r="C97" s="427" t="s">
        <v>1195</v>
      </c>
      <c r="D97" s="428" t="n">
        <f aca="false">-Eigenkapital</f>
        <v>-78974.5</v>
      </c>
      <c r="E97" s="428" t="n">
        <f aca="false">IF(1&gt;Haltedauer,0,INDEX(Projektion!$D$36:$AQ$36,1)+Miete_Ist_J1*-0.05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2781.26145472701</v>
      </c>
      <c r="F97" s="428" t="n">
        <f aca="false">IF(2&gt;Haltedauer,0,INDEX(Projektion!$D$36:$AQ$36,2)+Miete_Ist_J1*-0.05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-3590.04125404899</v>
      </c>
      <c r="G97" s="428" t="n">
        <f aca="false">IF(3&gt;Haltedauer,0,INDEX(Projektion!$D$36:$AQ$36,3)+Miete_Ist_J1*-0.05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-3602.30557044051</v>
      </c>
      <c r="H97" s="428" t="n">
        <f aca="false">IF(4&gt;Haltedauer,0,INDEX(Projektion!$D$36:$AQ$36,4)+Miete_Ist_J1*-0.05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-3616.1953877237</v>
      </c>
      <c r="I97" s="428" t="n">
        <f aca="false">IF(5&gt;Haltedauer,0,INDEX(Projektion!$D$36:$AQ$36,5)+Miete_Ist_J1*-0.05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-3631.79290364069</v>
      </c>
      <c r="J97" s="428" t="n">
        <f aca="false">IF(6&gt;Haltedauer,0,INDEX(Projektion!$D$36:$AQ$36,6)+Miete_Ist_J1*-0.05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-3649.18374864654</v>
      </c>
      <c r="K97" s="428" t="n">
        <f aca="false">IF(7&gt;Haltedauer,0,INDEX(Projektion!$D$36:$AQ$36,7)+Miete_Ist_J1*-0.05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-3668.45711895875</v>
      </c>
      <c r="L97" s="428" t="n">
        <f aca="false">IF(8&gt;Haltedauer,0,INDEX(Projektion!$D$36:$AQ$36,8)+Miete_Ist_J1*-0.05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-3689.70591458608</v>
      </c>
      <c r="M97" s="428" t="n">
        <f aca="false">IF(9&gt;Haltedauer,0,INDEX(Projektion!$D$36:$AQ$36,9)+Miete_Ist_J1*-0.05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-3713.02688251954</v>
      </c>
      <c r="N97" s="428" t="n">
        <f aca="false">IF(10&gt;Haltedauer,0,INDEX(Projektion!$D$36:$AQ$36,10)+Miete_Ist_J1*-0.05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-3738.52076527545</v>
      </c>
      <c r="O97" s="428" t="n">
        <f aca="false">IF(11&gt;Haltedauer,0,INDEX(Projektion!$D$36:$AQ$36,11)+Miete_Ist_J1*-0.05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-3340.8775314042</v>
      </c>
      <c r="P97" s="428" t="n">
        <f aca="false">IF(12&gt;Haltedauer,0,INDEX(Projektion!$D$36:$AQ$36,12)+Miete_Ist_J1*-0.05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185745.008701168</v>
      </c>
      <c r="Q97" s="428" t="n">
        <f aca="false">IF(13&gt;Haltedauer,0,INDEX(Projektion!$D$36:$AQ$36,13)+Miete_Ist_J1*-0.05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97" s="428" t="n">
        <f aca="false">IF(14&gt;Haltedauer,0,INDEX(Projektion!$D$36:$AQ$36,14)+Miete_Ist_J1*-0.05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97" s="428" t="n">
        <f aca="false">IF(15&gt;Haltedauer,0,INDEX(Projektion!$D$36:$AQ$36,15)+Miete_Ist_J1*-0.05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97" s="428" t="n">
        <f aca="false">IF(16&gt;Haltedauer,0,INDEX(Projektion!$D$36:$AQ$36,16)+Miete_Ist_J1*-0.05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97" s="428" t="n">
        <f aca="false">IF(17&gt;Haltedauer,0,INDEX(Projektion!$D$36:$AQ$36,17)+Miete_Ist_J1*-0.05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97" s="428" t="n">
        <f aca="false">IF(18&gt;Haltedauer,0,INDEX(Projektion!$D$36:$AQ$36,18)+Miete_Ist_J1*-0.05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97" s="428" t="n">
        <f aca="false">IF(19&gt;Haltedauer,0,INDEX(Projektion!$D$36:$AQ$36,19)+Miete_Ist_J1*-0.05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97" s="428" t="n">
        <f aca="false">IF(20&gt;Haltedauer,0,INDEX(Projektion!$D$36:$AQ$36,20)+Miete_Ist_J1*-0.05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97" s="428" t="n">
        <f aca="false">IF(21&gt;Haltedauer,0,INDEX(Projektion!$D$36:$AQ$36,21)+Miete_Ist_J1*-0.05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97" s="428" t="n">
        <f aca="false">IF(22&gt;Haltedauer,0,INDEX(Projektion!$D$36:$AQ$36,22)+Miete_Ist_J1*-0.05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97" s="428" t="n">
        <f aca="false">IF(23&gt;Haltedauer,0,INDEX(Projektion!$D$36:$AQ$36,23)+Miete_Ist_J1*-0.05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97" s="428" t="n">
        <f aca="false">IF(24&gt;Haltedauer,0,INDEX(Projektion!$D$36:$AQ$36,24)+Miete_Ist_J1*-0.05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97" s="428" t="n">
        <f aca="false">IF(25&gt;Haltedauer,0,INDEX(Projektion!$D$36:$AQ$36,25)+Miete_Ist_J1*-0.05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97" s="428" t="n">
        <f aca="false">IF(26&gt;Haltedauer,0,INDEX(Projektion!$D$36:$AQ$36,26)+Miete_Ist_J1*-0.05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97" s="428" t="n">
        <f aca="false">IF(27&gt;Haltedauer,0,INDEX(Projektion!$D$36:$AQ$36,27)+Miete_Ist_J1*-0.05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97" s="428" t="n">
        <f aca="false">IF(28&gt;Haltedauer,0,INDEX(Projektion!$D$36:$AQ$36,28)+Miete_Ist_J1*-0.05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97" s="428" t="n">
        <f aca="false">IF(29&gt;Haltedauer,0,INDEX(Projektion!$D$36:$AQ$36,29)+Miete_Ist_J1*-0.05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97" s="428" t="n">
        <f aca="false">IF(30&gt;Haltedauer,0,INDEX(Projektion!$D$36:$AQ$36,30)+Miete_Ist_J1*-0.05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97" s="428" t="n">
        <f aca="false">IF(31&gt;Haltedauer,0,INDEX(Projektion!$D$36:$AQ$36,31)+Miete_Ist_J1*-0.05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97" s="428" t="n">
        <f aca="false">IF(32&gt;Haltedauer,0,INDEX(Projektion!$D$36:$AQ$36,32)+Miete_Ist_J1*-0.05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97" s="428" t="n">
        <f aca="false">IF(33&gt;Haltedauer,0,INDEX(Projektion!$D$36:$AQ$36,33)+Miete_Ist_J1*-0.05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97" s="428" t="n">
        <f aca="false">IF(34&gt;Haltedauer,0,INDEX(Projektion!$D$36:$AQ$36,34)+Miete_Ist_J1*-0.05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97" s="428" t="n">
        <f aca="false">IF(35&gt;Haltedauer,0,INDEX(Projektion!$D$36:$AQ$36,35)+Miete_Ist_J1*-0.05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97" s="428" t="n">
        <f aca="false">IF(36&gt;Haltedauer,0,INDEX(Projektion!$D$36:$AQ$36,36)+Miete_Ist_J1*-0.05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97" s="428" t="n">
        <f aca="false">IF(37&gt;Haltedauer,0,INDEX(Projektion!$D$36:$AQ$36,37)+Miete_Ist_J1*-0.05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97" s="428" t="n">
        <f aca="false">IF(38&gt;Haltedauer,0,INDEX(Projektion!$D$36:$AQ$36,38)+Miete_Ist_J1*-0.05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97" s="428" t="n">
        <f aca="false">IF(39&gt;Haltedauer,0,INDEX(Projektion!$D$36:$AQ$36,39)+Miete_Ist_J1*-0.05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97" s="428" t="n">
        <f aca="false">IF(40&gt;Haltedauer,0,INDEX(Projektion!$D$36:$AQ$36,40)+Miete_Ist_J1*-0.05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97" s="12"/>
    </row>
    <row r="98" customFormat="false" ht="15" hidden="true" customHeight="true" outlineLevel="1" collapsed="false">
      <c r="A98" s="12"/>
      <c r="B98" s="12"/>
      <c r="C98" s="427" t="s">
        <v>1196</v>
      </c>
      <c r="D98" s="428" t="n">
        <f aca="false">-Eigenkapital</f>
        <v>-78974.5</v>
      </c>
      <c r="E98" s="428" t="n">
        <f aca="false">IF(1&gt;Haltedauer,0,INDEX(Projektion!$D$36:$AQ$36,1)+Miete_Ist_J1*-0.05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2781.26145472701</v>
      </c>
      <c r="F98" s="428" t="n">
        <f aca="false">IF(2&gt;Haltedauer,0,INDEX(Projektion!$D$36:$AQ$36,2)+Miete_Ist_J1*-0.05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-3590.04125404899</v>
      </c>
      <c r="G98" s="428" t="n">
        <f aca="false">IF(3&gt;Haltedauer,0,INDEX(Projektion!$D$36:$AQ$36,3)+Miete_Ist_J1*-0.05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-3602.30557044051</v>
      </c>
      <c r="H98" s="428" t="n">
        <f aca="false">IF(4&gt;Haltedauer,0,INDEX(Projektion!$D$36:$AQ$36,4)+Miete_Ist_J1*-0.05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-3616.1953877237</v>
      </c>
      <c r="I98" s="428" t="n">
        <f aca="false">IF(5&gt;Haltedauer,0,INDEX(Projektion!$D$36:$AQ$36,5)+Miete_Ist_J1*-0.05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-3631.79290364069</v>
      </c>
      <c r="J98" s="428" t="n">
        <f aca="false">IF(6&gt;Haltedauer,0,INDEX(Projektion!$D$36:$AQ$36,6)+Miete_Ist_J1*-0.05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-3649.18374864654</v>
      </c>
      <c r="K98" s="428" t="n">
        <f aca="false">IF(7&gt;Haltedauer,0,INDEX(Projektion!$D$36:$AQ$36,7)+Miete_Ist_J1*-0.05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-3668.45711895875</v>
      </c>
      <c r="L98" s="428" t="n">
        <f aca="false">IF(8&gt;Haltedauer,0,INDEX(Projektion!$D$36:$AQ$36,8)+Miete_Ist_J1*-0.05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-3689.70591458608</v>
      </c>
      <c r="M98" s="428" t="n">
        <f aca="false">IF(9&gt;Haltedauer,0,INDEX(Projektion!$D$36:$AQ$36,9)+Miete_Ist_J1*-0.05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-3713.02688251954</v>
      </c>
      <c r="N98" s="428" t="n">
        <f aca="false">IF(10&gt;Haltedauer,0,INDEX(Projektion!$D$36:$AQ$36,10)+Miete_Ist_J1*-0.05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-3738.52076527545</v>
      </c>
      <c r="O98" s="428" t="n">
        <f aca="false">IF(11&gt;Haltedauer,0,INDEX(Projektion!$D$36:$AQ$36,11)+Miete_Ist_J1*-0.05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-3340.8775314042</v>
      </c>
      <c r="P98" s="428" t="n">
        <f aca="false">IF(12&gt;Haltedauer,0,INDEX(Projektion!$D$36:$AQ$36,12)+Miete_Ist_J1*-0.05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231592.515701243</v>
      </c>
      <c r="Q98" s="428" t="n">
        <f aca="false">IF(13&gt;Haltedauer,0,INDEX(Projektion!$D$36:$AQ$36,13)+Miete_Ist_J1*-0.05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98" s="428" t="n">
        <f aca="false">IF(14&gt;Haltedauer,0,INDEX(Projektion!$D$36:$AQ$36,14)+Miete_Ist_J1*-0.05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98" s="428" t="n">
        <f aca="false">IF(15&gt;Haltedauer,0,INDEX(Projektion!$D$36:$AQ$36,15)+Miete_Ist_J1*-0.05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98" s="428" t="n">
        <f aca="false">IF(16&gt;Haltedauer,0,INDEX(Projektion!$D$36:$AQ$36,16)+Miete_Ist_J1*-0.05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98" s="428" t="n">
        <f aca="false">IF(17&gt;Haltedauer,0,INDEX(Projektion!$D$36:$AQ$36,17)+Miete_Ist_J1*-0.05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98" s="428" t="n">
        <f aca="false">IF(18&gt;Haltedauer,0,INDEX(Projektion!$D$36:$AQ$36,18)+Miete_Ist_J1*-0.05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98" s="428" t="n">
        <f aca="false">IF(19&gt;Haltedauer,0,INDEX(Projektion!$D$36:$AQ$36,19)+Miete_Ist_J1*-0.05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98" s="428" t="n">
        <f aca="false">IF(20&gt;Haltedauer,0,INDEX(Projektion!$D$36:$AQ$36,20)+Miete_Ist_J1*-0.05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98" s="428" t="n">
        <f aca="false">IF(21&gt;Haltedauer,0,INDEX(Projektion!$D$36:$AQ$36,21)+Miete_Ist_J1*-0.05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98" s="428" t="n">
        <f aca="false">IF(22&gt;Haltedauer,0,INDEX(Projektion!$D$36:$AQ$36,22)+Miete_Ist_J1*-0.05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98" s="428" t="n">
        <f aca="false">IF(23&gt;Haltedauer,0,INDEX(Projektion!$D$36:$AQ$36,23)+Miete_Ist_J1*-0.05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98" s="428" t="n">
        <f aca="false">IF(24&gt;Haltedauer,0,INDEX(Projektion!$D$36:$AQ$36,24)+Miete_Ist_J1*-0.05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98" s="428" t="n">
        <f aca="false">IF(25&gt;Haltedauer,0,INDEX(Projektion!$D$36:$AQ$36,25)+Miete_Ist_J1*-0.05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98" s="428" t="n">
        <f aca="false">IF(26&gt;Haltedauer,0,INDEX(Projektion!$D$36:$AQ$36,26)+Miete_Ist_J1*-0.05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98" s="428" t="n">
        <f aca="false">IF(27&gt;Haltedauer,0,INDEX(Projektion!$D$36:$AQ$36,27)+Miete_Ist_J1*-0.05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98" s="428" t="n">
        <f aca="false">IF(28&gt;Haltedauer,0,INDEX(Projektion!$D$36:$AQ$36,28)+Miete_Ist_J1*-0.05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98" s="428" t="n">
        <f aca="false">IF(29&gt;Haltedauer,0,INDEX(Projektion!$D$36:$AQ$36,29)+Miete_Ist_J1*-0.05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98" s="428" t="n">
        <f aca="false">IF(30&gt;Haltedauer,0,INDEX(Projektion!$D$36:$AQ$36,30)+Miete_Ist_J1*-0.05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98" s="428" t="n">
        <f aca="false">IF(31&gt;Haltedauer,0,INDEX(Projektion!$D$36:$AQ$36,31)+Miete_Ist_J1*-0.05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98" s="428" t="n">
        <f aca="false">IF(32&gt;Haltedauer,0,INDEX(Projektion!$D$36:$AQ$36,32)+Miete_Ist_J1*-0.05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98" s="428" t="n">
        <f aca="false">IF(33&gt;Haltedauer,0,INDEX(Projektion!$D$36:$AQ$36,33)+Miete_Ist_J1*-0.05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98" s="428" t="n">
        <f aca="false">IF(34&gt;Haltedauer,0,INDEX(Projektion!$D$36:$AQ$36,34)+Miete_Ist_J1*-0.05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98" s="428" t="n">
        <f aca="false">IF(35&gt;Haltedauer,0,INDEX(Projektion!$D$36:$AQ$36,35)+Miete_Ist_J1*-0.05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98" s="428" t="n">
        <f aca="false">IF(36&gt;Haltedauer,0,INDEX(Projektion!$D$36:$AQ$36,36)+Miete_Ist_J1*-0.05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98" s="428" t="n">
        <f aca="false">IF(37&gt;Haltedauer,0,INDEX(Projektion!$D$36:$AQ$36,37)+Miete_Ist_J1*-0.05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98" s="428" t="n">
        <f aca="false">IF(38&gt;Haltedauer,0,INDEX(Projektion!$D$36:$AQ$36,38)+Miete_Ist_J1*-0.05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98" s="428" t="n">
        <f aca="false">IF(39&gt;Haltedauer,0,INDEX(Projektion!$D$36:$AQ$36,39)+Miete_Ist_J1*-0.05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98" s="428" t="n">
        <f aca="false">IF(40&gt;Haltedauer,0,INDEX(Projektion!$D$36:$AQ$36,40)+Miete_Ist_J1*-0.05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98" s="12"/>
    </row>
    <row r="99" customFormat="false" ht="15" hidden="true" customHeight="true" outlineLevel="1" collapsed="false">
      <c r="A99" s="12"/>
      <c r="B99" s="12"/>
      <c r="C99" s="427" t="s">
        <v>1197</v>
      </c>
      <c r="D99" s="428" t="n">
        <f aca="false">-Eigenkapital</f>
        <v>-78974.5</v>
      </c>
      <c r="E99" s="428" t="n">
        <f aca="false">IF(1&gt;Haltedauer,0,INDEX(Projektion!$D$36:$AQ$36,1)+Miete_Ist_J1*-0.05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2781.26145472701</v>
      </c>
      <c r="F99" s="428" t="n">
        <f aca="false">IF(2&gt;Haltedauer,0,INDEX(Projektion!$D$36:$AQ$36,2)+Miete_Ist_J1*-0.05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-3590.04125404899</v>
      </c>
      <c r="G99" s="428" t="n">
        <f aca="false">IF(3&gt;Haltedauer,0,INDEX(Projektion!$D$36:$AQ$36,3)+Miete_Ist_J1*-0.05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-3602.30557044051</v>
      </c>
      <c r="H99" s="428" t="n">
        <f aca="false">IF(4&gt;Haltedauer,0,INDEX(Projektion!$D$36:$AQ$36,4)+Miete_Ist_J1*-0.05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-3616.1953877237</v>
      </c>
      <c r="I99" s="428" t="n">
        <f aca="false">IF(5&gt;Haltedauer,0,INDEX(Projektion!$D$36:$AQ$36,5)+Miete_Ist_J1*-0.05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-3631.79290364069</v>
      </c>
      <c r="J99" s="428" t="n">
        <f aca="false">IF(6&gt;Haltedauer,0,INDEX(Projektion!$D$36:$AQ$36,6)+Miete_Ist_J1*-0.05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-3649.18374864654</v>
      </c>
      <c r="K99" s="428" t="n">
        <f aca="false">IF(7&gt;Haltedauer,0,INDEX(Projektion!$D$36:$AQ$36,7)+Miete_Ist_J1*-0.05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-3668.45711895875</v>
      </c>
      <c r="L99" s="428" t="n">
        <f aca="false">IF(8&gt;Haltedauer,0,INDEX(Projektion!$D$36:$AQ$36,8)+Miete_Ist_J1*-0.05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-3689.70591458608</v>
      </c>
      <c r="M99" s="428" t="n">
        <f aca="false">IF(9&gt;Haltedauer,0,INDEX(Projektion!$D$36:$AQ$36,9)+Miete_Ist_J1*-0.05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-3713.02688251954</v>
      </c>
      <c r="N99" s="428" t="n">
        <f aca="false">IF(10&gt;Haltedauer,0,INDEX(Projektion!$D$36:$AQ$36,10)+Miete_Ist_J1*-0.05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-3738.52076527545</v>
      </c>
      <c r="O99" s="428" t="n">
        <f aca="false">IF(11&gt;Haltedauer,0,INDEX(Projektion!$D$36:$AQ$36,11)+Miete_Ist_J1*-0.05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-3340.8775314042</v>
      </c>
      <c r="P99" s="428" t="n">
        <f aca="false">IF(12&gt;Haltedauer,0,INDEX(Projektion!$D$36:$AQ$36,12)+Miete_Ist_J1*-0.05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282606.989512103</v>
      </c>
      <c r="Q99" s="428" t="n">
        <f aca="false">IF(13&gt;Haltedauer,0,INDEX(Projektion!$D$36:$AQ$36,13)+Miete_Ist_J1*-0.05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99" s="428" t="n">
        <f aca="false">IF(14&gt;Haltedauer,0,INDEX(Projektion!$D$36:$AQ$36,14)+Miete_Ist_J1*-0.05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99" s="428" t="n">
        <f aca="false">IF(15&gt;Haltedauer,0,INDEX(Projektion!$D$36:$AQ$36,15)+Miete_Ist_J1*-0.05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99" s="428" t="n">
        <f aca="false">IF(16&gt;Haltedauer,0,INDEX(Projektion!$D$36:$AQ$36,16)+Miete_Ist_J1*-0.05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99" s="428" t="n">
        <f aca="false">IF(17&gt;Haltedauer,0,INDEX(Projektion!$D$36:$AQ$36,17)+Miete_Ist_J1*-0.05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99" s="428" t="n">
        <f aca="false">IF(18&gt;Haltedauer,0,INDEX(Projektion!$D$36:$AQ$36,18)+Miete_Ist_J1*-0.05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99" s="428" t="n">
        <f aca="false">IF(19&gt;Haltedauer,0,INDEX(Projektion!$D$36:$AQ$36,19)+Miete_Ist_J1*-0.05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99" s="428" t="n">
        <f aca="false">IF(20&gt;Haltedauer,0,INDEX(Projektion!$D$36:$AQ$36,20)+Miete_Ist_J1*-0.05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99" s="428" t="n">
        <f aca="false">IF(21&gt;Haltedauer,0,INDEX(Projektion!$D$36:$AQ$36,21)+Miete_Ist_J1*-0.05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99" s="428" t="n">
        <f aca="false">IF(22&gt;Haltedauer,0,INDEX(Projektion!$D$36:$AQ$36,22)+Miete_Ist_J1*-0.05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99" s="428" t="n">
        <f aca="false">IF(23&gt;Haltedauer,0,INDEX(Projektion!$D$36:$AQ$36,23)+Miete_Ist_J1*-0.05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99" s="428" t="n">
        <f aca="false">IF(24&gt;Haltedauer,0,INDEX(Projektion!$D$36:$AQ$36,24)+Miete_Ist_J1*-0.05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99" s="428" t="n">
        <f aca="false">IF(25&gt;Haltedauer,0,INDEX(Projektion!$D$36:$AQ$36,25)+Miete_Ist_J1*-0.05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99" s="428" t="n">
        <f aca="false">IF(26&gt;Haltedauer,0,INDEX(Projektion!$D$36:$AQ$36,26)+Miete_Ist_J1*-0.05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99" s="428" t="n">
        <f aca="false">IF(27&gt;Haltedauer,0,INDEX(Projektion!$D$36:$AQ$36,27)+Miete_Ist_J1*-0.05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99" s="428" t="n">
        <f aca="false">IF(28&gt;Haltedauer,0,INDEX(Projektion!$D$36:$AQ$36,28)+Miete_Ist_J1*-0.05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99" s="428" t="n">
        <f aca="false">IF(29&gt;Haltedauer,0,INDEX(Projektion!$D$36:$AQ$36,29)+Miete_Ist_J1*-0.05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99" s="428" t="n">
        <f aca="false">IF(30&gt;Haltedauer,0,INDEX(Projektion!$D$36:$AQ$36,30)+Miete_Ist_J1*-0.05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99" s="428" t="n">
        <f aca="false">IF(31&gt;Haltedauer,0,INDEX(Projektion!$D$36:$AQ$36,31)+Miete_Ist_J1*-0.05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99" s="428" t="n">
        <f aca="false">IF(32&gt;Haltedauer,0,INDEX(Projektion!$D$36:$AQ$36,32)+Miete_Ist_J1*-0.05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99" s="428" t="n">
        <f aca="false">IF(33&gt;Haltedauer,0,INDEX(Projektion!$D$36:$AQ$36,33)+Miete_Ist_J1*-0.05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99" s="428" t="n">
        <f aca="false">IF(34&gt;Haltedauer,0,INDEX(Projektion!$D$36:$AQ$36,34)+Miete_Ist_J1*-0.05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99" s="428" t="n">
        <f aca="false">IF(35&gt;Haltedauer,0,INDEX(Projektion!$D$36:$AQ$36,35)+Miete_Ist_J1*-0.05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99" s="428" t="n">
        <f aca="false">IF(36&gt;Haltedauer,0,INDEX(Projektion!$D$36:$AQ$36,36)+Miete_Ist_J1*-0.05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99" s="428" t="n">
        <f aca="false">IF(37&gt;Haltedauer,0,INDEX(Projektion!$D$36:$AQ$36,37)+Miete_Ist_J1*-0.05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99" s="428" t="n">
        <f aca="false">IF(38&gt;Haltedauer,0,INDEX(Projektion!$D$36:$AQ$36,38)+Miete_Ist_J1*-0.05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99" s="428" t="n">
        <f aca="false">IF(39&gt;Haltedauer,0,INDEX(Projektion!$D$36:$AQ$36,39)+Miete_Ist_J1*-0.05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99" s="428" t="n">
        <f aca="false">IF(40&gt;Haltedauer,0,INDEX(Projektion!$D$36:$AQ$36,40)+Miete_Ist_J1*-0.05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99" s="12"/>
    </row>
    <row r="100" customFormat="false" ht="15" hidden="true" customHeight="true" outlineLevel="1" collapsed="false">
      <c r="A100" s="12"/>
      <c r="B100" s="12"/>
      <c r="C100" s="427" t="s">
        <v>1198</v>
      </c>
      <c r="D100" s="428" t="n">
        <f aca="false">-Eigenkapital</f>
        <v>-78974.5</v>
      </c>
      <c r="E100" s="428" t="n">
        <f aca="false">IF(1&gt;Haltedauer,0,INDEX(Projektion!$D$36:$AQ$36,1)+Miete_Ist_J1*0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3078.39654952701</v>
      </c>
      <c r="F100" s="428" t="n">
        <f aca="false">IF(2&gt;Haltedauer,0,INDEX(Projektion!$D$36:$AQ$36,2)+Miete_Ist_J1*0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-3286.96345735299</v>
      </c>
      <c r="G100" s="428" t="n">
        <f aca="false">IF(3&gt;Haltedauer,0,INDEX(Projektion!$D$36:$AQ$36,3)+Miete_Ist_J1*0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-3293.16621781059</v>
      </c>
      <c r="H100" s="428" t="n">
        <f aca="false">IF(4&gt;Haltedauer,0,INDEX(Projektion!$D$36:$AQ$36,4)+Miete_Ist_J1*0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-3300.87324804118</v>
      </c>
      <c r="I100" s="428" t="n">
        <f aca="false">IF(5&gt;Haltedauer,0,INDEX(Projektion!$D$36:$AQ$36,5)+Miete_Ist_J1*0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-3310.16432116452</v>
      </c>
      <c r="J100" s="428" t="n">
        <f aca="false">IF(6&gt;Haltedauer,0,INDEX(Projektion!$D$36:$AQ$36,6)+Miete_Ist_J1*0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-3321.12259452085</v>
      </c>
      <c r="K100" s="428" t="n">
        <f aca="false">IF(7&gt;Haltedauer,0,INDEX(Projektion!$D$36:$AQ$36,7)+Miete_Ist_J1*0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-3333.83474175054</v>
      </c>
      <c r="L100" s="428" t="n">
        <f aca="false">IF(8&gt;Haltedauer,0,INDEX(Projektion!$D$36:$AQ$36,8)+Miete_Ist_J1*0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-3348.39108983371</v>
      </c>
      <c r="M100" s="428" t="n">
        <f aca="false">IF(9&gt;Haltedauer,0,INDEX(Projektion!$D$36:$AQ$36,9)+Miete_Ist_J1*0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-3364.88576127213</v>
      </c>
      <c r="N100" s="428" t="n">
        <f aca="false">IF(10&gt;Haltedauer,0,INDEX(Projektion!$D$36:$AQ$36,10)+Miete_Ist_J1*0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-3383.41682160308</v>
      </c>
      <c r="O100" s="428" t="n">
        <f aca="false">IF(11&gt;Haltedauer,0,INDEX(Projektion!$D$36:$AQ$36,11)+Miete_Ist_J1*0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-2978.67150885839</v>
      </c>
      <c r="P100" s="428" t="n">
        <f aca="false">IF(12&gt;Haltedauer,0,INDEX(Projektion!$D$36:$AQ$36,12)+Miete_Ist_J1*0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108040.002118791</v>
      </c>
      <c r="Q100" s="428" t="n">
        <f aca="false">IF(13&gt;Haltedauer,0,INDEX(Projektion!$D$36:$AQ$36,13)+Miete_Ist_J1*0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00" s="428" t="n">
        <f aca="false">IF(14&gt;Haltedauer,0,INDEX(Projektion!$D$36:$AQ$36,14)+Miete_Ist_J1*0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00" s="428" t="n">
        <f aca="false">IF(15&gt;Haltedauer,0,INDEX(Projektion!$D$36:$AQ$36,15)+Miete_Ist_J1*0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00" s="428" t="n">
        <f aca="false">IF(16&gt;Haltedauer,0,INDEX(Projektion!$D$36:$AQ$36,16)+Miete_Ist_J1*0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00" s="428" t="n">
        <f aca="false">IF(17&gt;Haltedauer,0,INDEX(Projektion!$D$36:$AQ$36,17)+Miete_Ist_J1*0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00" s="428" t="n">
        <f aca="false">IF(18&gt;Haltedauer,0,INDEX(Projektion!$D$36:$AQ$36,18)+Miete_Ist_J1*0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00" s="428" t="n">
        <f aca="false">IF(19&gt;Haltedauer,0,INDEX(Projektion!$D$36:$AQ$36,19)+Miete_Ist_J1*0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00" s="428" t="n">
        <f aca="false">IF(20&gt;Haltedauer,0,INDEX(Projektion!$D$36:$AQ$36,20)+Miete_Ist_J1*0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00" s="428" t="n">
        <f aca="false">IF(21&gt;Haltedauer,0,INDEX(Projektion!$D$36:$AQ$36,21)+Miete_Ist_J1*0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00" s="428" t="n">
        <f aca="false">IF(22&gt;Haltedauer,0,INDEX(Projektion!$D$36:$AQ$36,22)+Miete_Ist_J1*0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00" s="428" t="n">
        <f aca="false">IF(23&gt;Haltedauer,0,INDEX(Projektion!$D$36:$AQ$36,23)+Miete_Ist_J1*0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00" s="428" t="n">
        <f aca="false">IF(24&gt;Haltedauer,0,INDEX(Projektion!$D$36:$AQ$36,24)+Miete_Ist_J1*0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00" s="428" t="n">
        <f aca="false">IF(25&gt;Haltedauer,0,INDEX(Projektion!$D$36:$AQ$36,25)+Miete_Ist_J1*0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00" s="428" t="n">
        <f aca="false">IF(26&gt;Haltedauer,0,INDEX(Projektion!$D$36:$AQ$36,26)+Miete_Ist_J1*0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00" s="428" t="n">
        <f aca="false">IF(27&gt;Haltedauer,0,INDEX(Projektion!$D$36:$AQ$36,27)+Miete_Ist_J1*0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00" s="428" t="n">
        <f aca="false">IF(28&gt;Haltedauer,0,INDEX(Projektion!$D$36:$AQ$36,28)+Miete_Ist_J1*0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00" s="428" t="n">
        <f aca="false">IF(29&gt;Haltedauer,0,INDEX(Projektion!$D$36:$AQ$36,29)+Miete_Ist_J1*0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00" s="428" t="n">
        <f aca="false">IF(30&gt;Haltedauer,0,INDEX(Projektion!$D$36:$AQ$36,30)+Miete_Ist_J1*0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00" s="428" t="n">
        <f aca="false">IF(31&gt;Haltedauer,0,INDEX(Projektion!$D$36:$AQ$36,31)+Miete_Ist_J1*0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00" s="428" t="n">
        <f aca="false">IF(32&gt;Haltedauer,0,INDEX(Projektion!$D$36:$AQ$36,32)+Miete_Ist_J1*0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00" s="428" t="n">
        <f aca="false">IF(33&gt;Haltedauer,0,INDEX(Projektion!$D$36:$AQ$36,33)+Miete_Ist_J1*0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00" s="428" t="n">
        <f aca="false">IF(34&gt;Haltedauer,0,INDEX(Projektion!$D$36:$AQ$36,34)+Miete_Ist_J1*0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00" s="428" t="n">
        <f aca="false">IF(35&gt;Haltedauer,0,INDEX(Projektion!$D$36:$AQ$36,35)+Miete_Ist_J1*0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00" s="428" t="n">
        <f aca="false">IF(36&gt;Haltedauer,0,INDEX(Projektion!$D$36:$AQ$36,36)+Miete_Ist_J1*0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00" s="428" t="n">
        <f aca="false">IF(37&gt;Haltedauer,0,INDEX(Projektion!$D$36:$AQ$36,37)+Miete_Ist_J1*0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00" s="428" t="n">
        <f aca="false">IF(38&gt;Haltedauer,0,INDEX(Projektion!$D$36:$AQ$36,38)+Miete_Ist_J1*0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00" s="428" t="n">
        <f aca="false">IF(39&gt;Haltedauer,0,INDEX(Projektion!$D$36:$AQ$36,39)+Miete_Ist_J1*0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00" s="428" t="n">
        <f aca="false">IF(40&gt;Haltedauer,0,INDEX(Projektion!$D$36:$AQ$36,40)+Miete_Ist_J1*0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00" s="12"/>
    </row>
    <row r="101" customFormat="false" ht="15" hidden="true" customHeight="true" outlineLevel="1" collapsed="false">
      <c r="A101" s="12"/>
      <c r="B101" s="12"/>
      <c r="C101" s="427" t="s">
        <v>1199</v>
      </c>
      <c r="D101" s="428" t="n">
        <f aca="false">-Eigenkapital</f>
        <v>-78974.5</v>
      </c>
      <c r="E101" s="428" t="n">
        <f aca="false">IF(1&gt;Haltedauer,0,INDEX(Projektion!$D$36:$AQ$36,1)+Miete_Ist_J1*0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3078.39654952701</v>
      </c>
      <c r="F101" s="428" t="n">
        <f aca="false">IF(2&gt;Haltedauer,0,INDEX(Projektion!$D$36:$AQ$36,2)+Miete_Ist_J1*0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-3286.96345735299</v>
      </c>
      <c r="G101" s="428" t="n">
        <f aca="false">IF(3&gt;Haltedauer,0,INDEX(Projektion!$D$36:$AQ$36,3)+Miete_Ist_J1*0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-3293.16621781059</v>
      </c>
      <c r="H101" s="428" t="n">
        <f aca="false">IF(4&gt;Haltedauer,0,INDEX(Projektion!$D$36:$AQ$36,4)+Miete_Ist_J1*0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-3300.87324804118</v>
      </c>
      <c r="I101" s="428" t="n">
        <f aca="false">IF(5&gt;Haltedauer,0,INDEX(Projektion!$D$36:$AQ$36,5)+Miete_Ist_J1*0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-3310.16432116452</v>
      </c>
      <c r="J101" s="428" t="n">
        <f aca="false">IF(6&gt;Haltedauer,0,INDEX(Projektion!$D$36:$AQ$36,6)+Miete_Ist_J1*0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-3321.12259452085</v>
      </c>
      <c r="K101" s="428" t="n">
        <f aca="false">IF(7&gt;Haltedauer,0,INDEX(Projektion!$D$36:$AQ$36,7)+Miete_Ist_J1*0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-3333.83474175054</v>
      </c>
      <c r="L101" s="428" t="n">
        <f aca="false">IF(8&gt;Haltedauer,0,INDEX(Projektion!$D$36:$AQ$36,8)+Miete_Ist_J1*0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-3348.39108983371</v>
      </c>
      <c r="M101" s="428" t="n">
        <f aca="false">IF(9&gt;Haltedauer,0,INDEX(Projektion!$D$36:$AQ$36,9)+Miete_Ist_J1*0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-3364.88576127213</v>
      </c>
      <c r="N101" s="428" t="n">
        <f aca="false">IF(10&gt;Haltedauer,0,INDEX(Projektion!$D$36:$AQ$36,10)+Miete_Ist_J1*0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-3383.41682160308</v>
      </c>
      <c r="O101" s="428" t="n">
        <f aca="false">IF(11&gt;Haltedauer,0,INDEX(Projektion!$D$36:$AQ$36,11)+Miete_Ist_J1*0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-2978.67150885839</v>
      </c>
      <c r="P101" s="428" t="n">
        <f aca="false">IF(12&gt;Haltedauer,0,INDEX(Projektion!$D$36:$AQ$36,12)+Miete_Ist_J1*0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144953.695389002</v>
      </c>
      <c r="Q101" s="428" t="n">
        <f aca="false">IF(13&gt;Haltedauer,0,INDEX(Projektion!$D$36:$AQ$36,13)+Miete_Ist_J1*0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01" s="428" t="n">
        <f aca="false">IF(14&gt;Haltedauer,0,INDEX(Projektion!$D$36:$AQ$36,14)+Miete_Ist_J1*0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01" s="428" t="n">
        <f aca="false">IF(15&gt;Haltedauer,0,INDEX(Projektion!$D$36:$AQ$36,15)+Miete_Ist_J1*0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01" s="428" t="n">
        <f aca="false">IF(16&gt;Haltedauer,0,INDEX(Projektion!$D$36:$AQ$36,16)+Miete_Ist_J1*0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01" s="428" t="n">
        <f aca="false">IF(17&gt;Haltedauer,0,INDEX(Projektion!$D$36:$AQ$36,17)+Miete_Ist_J1*0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01" s="428" t="n">
        <f aca="false">IF(18&gt;Haltedauer,0,INDEX(Projektion!$D$36:$AQ$36,18)+Miete_Ist_J1*0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01" s="428" t="n">
        <f aca="false">IF(19&gt;Haltedauer,0,INDEX(Projektion!$D$36:$AQ$36,19)+Miete_Ist_J1*0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01" s="428" t="n">
        <f aca="false">IF(20&gt;Haltedauer,0,INDEX(Projektion!$D$36:$AQ$36,20)+Miete_Ist_J1*0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01" s="428" t="n">
        <f aca="false">IF(21&gt;Haltedauer,0,INDEX(Projektion!$D$36:$AQ$36,21)+Miete_Ist_J1*0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01" s="428" t="n">
        <f aca="false">IF(22&gt;Haltedauer,0,INDEX(Projektion!$D$36:$AQ$36,22)+Miete_Ist_J1*0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01" s="428" t="n">
        <f aca="false">IF(23&gt;Haltedauer,0,INDEX(Projektion!$D$36:$AQ$36,23)+Miete_Ist_J1*0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01" s="428" t="n">
        <f aca="false">IF(24&gt;Haltedauer,0,INDEX(Projektion!$D$36:$AQ$36,24)+Miete_Ist_J1*0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01" s="428" t="n">
        <f aca="false">IF(25&gt;Haltedauer,0,INDEX(Projektion!$D$36:$AQ$36,25)+Miete_Ist_J1*0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01" s="428" t="n">
        <f aca="false">IF(26&gt;Haltedauer,0,INDEX(Projektion!$D$36:$AQ$36,26)+Miete_Ist_J1*0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01" s="428" t="n">
        <f aca="false">IF(27&gt;Haltedauer,0,INDEX(Projektion!$D$36:$AQ$36,27)+Miete_Ist_J1*0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01" s="428" t="n">
        <f aca="false">IF(28&gt;Haltedauer,0,INDEX(Projektion!$D$36:$AQ$36,28)+Miete_Ist_J1*0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01" s="428" t="n">
        <f aca="false">IF(29&gt;Haltedauer,0,INDEX(Projektion!$D$36:$AQ$36,29)+Miete_Ist_J1*0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01" s="428" t="n">
        <f aca="false">IF(30&gt;Haltedauer,0,INDEX(Projektion!$D$36:$AQ$36,30)+Miete_Ist_J1*0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01" s="428" t="n">
        <f aca="false">IF(31&gt;Haltedauer,0,INDEX(Projektion!$D$36:$AQ$36,31)+Miete_Ist_J1*0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01" s="428" t="n">
        <f aca="false">IF(32&gt;Haltedauer,0,INDEX(Projektion!$D$36:$AQ$36,32)+Miete_Ist_J1*0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01" s="428" t="n">
        <f aca="false">IF(33&gt;Haltedauer,0,INDEX(Projektion!$D$36:$AQ$36,33)+Miete_Ist_J1*0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01" s="428" t="n">
        <f aca="false">IF(34&gt;Haltedauer,0,INDEX(Projektion!$D$36:$AQ$36,34)+Miete_Ist_J1*0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01" s="428" t="n">
        <f aca="false">IF(35&gt;Haltedauer,0,INDEX(Projektion!$D$36:$AQ$36,35)+Miete_Ist_J1*0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01" s="428" t="n">
        <f aca="false">IF(36&gt;Haltedauer,0,INDEX(Projektion!$D$36:$AQ$36,36)+Miete_Ist_J1*0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01" s="428" t="n">
        <f aca="false">IF(37&gt;Haltedauer,0,INDEX(Projektion!$D$36:$AQ$36,37)+Miete_Ist_J1*0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01" s="428" t="n">
        <f aca="false">IF(38&gt;Haltedauer,0,INDEX(Projektion!$D$36:$AQ$36,38)+Miete_Ist_J1*0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01" s="428" t="n">
        <f aca="false">IF(39&gt;Haltedauer,0,INDEX(Projektion!$D$36:$AQ$36,39)+Miete_Ist_J1*0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01" s="428" t="n">
        <f aca="false">IF(40&gt;Haltedauer,0,INDEX(Projektion!$D$36:$AQ$36,40)+Miete_Ist_J1*0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01" s="12"/>
    </row>
    <row r="102" customFormat="false" ht="15" hidden="true" customHeight="true" outlineLevel="1" collapsed="false">
      <c r="A102" s="12"/>
      <c r="B102" s="12"/>
      <c r="C102" s="427" t="s">
        <v>1200</v>
      </c>
      <c r="D102" s="428" t="n">
        <f aca="false">-Eigenkapital</f>
        <v>-78974.5</v>
      </c>
      <c r="E102" s="428" t="n">
        <f aca="false">IF(1&gt;Haltedauer,0,INDEX(Projektion!$D$36:$AQ$36,1)+Miete_Ist_J1*0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3078.39654952701</v>
      </c>
      <c r="F102" s="428" t="n">
        <f aca="false">IF(2&gt;Haltedauer,0,INDEX(Projektion!$D$36:$AQ$36,2)+Miete_Ist_J1*0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-3286.96345735299</v>
      </c>
      <c r="G102" s="428" t="n">
        <f aca="false">IF(3&gt;Haltedauer,0,INDEX(Projektion!$D$36:$AQ$36,3)+Miete_Ist_J1*0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-3293.16621781059</v>
      </c>
      <c r="H102" s="428" t="n">
        <f aca="false">IF(4&gt;Haltedauer,0,INDEX(Projektion!$D$36:$AQ$36,4)+Miete_Ist_J1*0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-3300.87324804118</v>
      </c>
      <c r="I102" s="428" t="n">
        <f aca="false">IF(5&gt;Haltedauer,0,INDEX(Projektion!$D$36:$AQ$36,5)+Miete_Ist_J1*0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-3310.16432116452</v>
      </c>
      <c r="J102" s="428" t="n">
        <f aca="false">IF(6&gt;Haltedauer,0,INDEX(Projektion!$D$36:$AQ$36,6)+Miete_Ist_J1*0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-3321.12259452085</v>
      </c>
      <c r="K102" s="428" t="n">
        <f aca="false">IF(7&gt;Haltedauer,0,INDEX(Projektion!$D$36:$AQ$36,7)+Miete_Ist_J1*0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-3333.83474175054</v>
      </c>
      <c r="L102" s="428" t="n">
        <f aca="false">IF(8&gt;Haltedauer,0,INDEX(Projektion!$D$36:$AQ$36,8)+Miete_Ist_J1*0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-3348.39108983371</v>
      </c>
      <c r="M102" s="428" t="n">
        <f aca="false">IF(9&gt;Haltedauer,0,INDEX(Projektion!$D$36:$AQ$36,9)+Miete_Ist_J1*0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-3364.88576127213</v>
      </c>
      <c r="N102" s="428" t="n">
        <f aca="false">IF(10&gt;Haltedauer,0,INDEX(Projektion!$D$36:$AQ$36,10)+Miete_Ist_J1*0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-3383.41682160308</v>
      </c>
      <c r="O102" s="428" t="n">
        <f aca="false">IF(11&gt;Haltedauer,0,INDEX(Projektion!$D$36:$AQ$36,11)+Miete_Ist_J1*0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-2978.67150885839</v>
      </c>
      <c r="P102" s="428" t="n">
        <f aca="false">IF(12&gt;Haltedauer,0,INDEX(Projektion!$D$36:$AQ$36,12)+Miete_Ist_J1*0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186114.458844165</v>
      </c>
      <c r="Q102" s="428" t="n">
        <f aca="false">IF(13&gt;Haltedauer,0,INDEX(Projektion!$D$36:$AQ$36,13)+Miete_Ist_J1*0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02" s="428" t="n">
        <f aca="false">IF(14&gt;Haltedauer,0,INDEX(Projektion!$D$36:$AQ$36,14)+Miete_Ist_J1*0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02" s="428" t="n">
        <f aca="false">IF(15&gt;Haltedauer,0,INDEX(Projektion!$D$36:$AQ$36,15)+Miete_Ist_J1*0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02" s="428" t="n">
        <f aca="false">IF(16&gt;Haltedauer,0,INDEX(Projektion!$D$36:$AQ$36,16)+Miete_Ist_J1*0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02" s="428" t="n">
        <f aca="false">IF(17&gt;Haltedauer,0,INDEX(Projektion!$D$36:$AQ$36,17)+Miete_Ist_J1*0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02" s="428" t="n">
        <f aca="false">IF(18&gt;Haltedauer,0,INDEX(Projektion!$D$36:$AQ$36,18)+Miete_Ist_J1*0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02" s="428" t="n">
        <f aca="false">IF(19&gt;Haltedauer,0,INDEX(Projektion!$D$36:$AQ$36,19)+Miete_Ist_J1*0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02" s="428" t="n">
        <f aca="false">IF(20&gt;Haltedauer,0,INDEX(Projektion!$D$36:$AQ$36,20)+Miete_Ist_J1*0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02" s="428" t="n">
        <f aca="false">IF(21&gt;Haltedauer,0,INDEX(Projektion!$D$36:$AQ$36,21)+Miete_Ist_J1*0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02" s="428" t="n">
        <f aca="false">IF(22&gt;Haltedauer,0,INDEX(Projektion!$D$36:$AQ$36,22)+Miete_Ist_J1*0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02" s="428" t="n">
        <f aca="false">IF(23&gt;Haltedauer,0,INDEX(Projektion!$D$36:$AQ$36,23)+Miete_Ist_J1*0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02" s="428" t="n">
        <f aca="false">IF(24&gt;Haltedauer,0,INDEX(Projektion!$D$36:$AQ$36,24)+Miete_Ist_J1*0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02" s="428" t="n">
        <f aca="false">IF(25&gt;Haltedauer,0,INDEX(Projektion!$D$36:$AQ$36,25)+Miete_Ist_J1*0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02" s="428" t="n">
        <f aca="false">IF(26&gt;Haltedauer,0,INDEX(Projektion!$D$36:$AQ$36,26)+Miete_Ist_J1*0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02" s="428" t="n">
        <f aca="false">IF(27&gt;Haltedauer,0,INDEX(Projektion!$D$36:$AQ$36,27)+Miete_Ist_J1*0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02" s="428" t="n">
        <f aca="false">IF(28&gt;Haltedauer,0,INDEX(Projektion!$D$36:$AQ$36,28)+Miete_Ist_J1*0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02" s="428" t="n">
        <f aca="false">IF(29&gt;Haltedauer,0,INDEX(Projektion!$D$36:$AQ$36,29)+Miete_Ist_J1*0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02" s="428" t="n">
        <f aca="false">IF(30&gt;Haltedauer,0,INDEX(Projektion!$D$36:$AQ$36,30)+Miete_Ist_J1*0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02" s="428" t="n">
        <f aca="false">IF(31&gt;Haltedauer,0,INDEX(Projektion!$D$36:$AQ$36,31)+Miete_Ist_J1*0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02" s="428" t="n">
        <f aca="false">IF(32&gt;Haltedauer,0,INDEX(Projektion!$D$36:$AQ$36,32)+Miete_Ist_J1*0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02" s="428" t="n">
        <f aca="false">IF(33&gt;Haltedauer,0,INDEX(Projektion!$D$36:$AQ$36,33)+Miete_Ist_J1*0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02" s="428" t="n">
        <f aca="false">IF(34&gt;Haltedauer,0,INDEX(Projektion!$D$36:$AQ$36,34)+Miete_Ist_J1*0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02" s="428" t="n">
        <f aca="false">IF(35&gt;Haltedauer,0,INDEX(Projektion!$D$36:$AQ$36,35)+Miete_Ist_J1*0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02" s="428" t="n">
        <f aca="false">IF(36&gt;Haltedauer,0,INDEX(Projektion!$D$36:$AQ$36,36)+Miete_Ist_J1*0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02" s="428" t="n">
        <f aca="false">IF(37&gt;Haltedauer,0,INDEX(Projektion!$D$36:$AQ$36,37)+Miete_Ist_J1*0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02" s="428" t="n">
        <f aca="false">IF(38&gt;Haltedauer,0,INDEX(Projektion!$D$36:$AQ$36,38)+Miete_Ist_J1*0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02" s="428" t="n">
        <f aca="false">IF(39&gt;Haltedauer,0,INDEX(Projektion!$D$36:$AQ$36,39)+Miete_Ist_J1*0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02" s="428" t="n">
        <f aca="false">IF(40&gt;Haltedauer,0,INDEX(Projektion!$D$36:$AQ$36,40)+Miete_Ist_J1*0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02" s="12"/>
    </row>
    <row r="103" customFormat="false" ht="15" hidden="true" customHeight="true" outlineLevel="1" collapsed="false">
      <c r="A103" s="12"/>
      <c r="B103" s="12"/>
      <c r="C103" s="427" t="s">
        <v>1201</v>
      </c>
      <c r="D103" s="428" t="n">
        <f aca="false">-Eigenkapital</f>
        <v>-78974.5</v>
      </c>
      <c r="E103" s="428" t="n">
        <f aca="false">IF(1&gt;Haltedauer,0,INDEX(Projektion!$D$36:$AQ$36,1)+Miete_Ist_J1*0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3078.39654952701</v>
      </c>
      <c r="F103" s="428" t="n">
        <f aca="false">IF(2&gt;Haltedauer,0,INDEX(Projektion!$D$36:$AQ$36,2)+Miete_Ist_J1*0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-3286.96345735299</v>
      </c>
      <c r="G103" s="428" t="n">
        <f aca="false">IF(3&gt;Haltedauer,0,INDEX(Projektion!$D$36:$AQ$36,3)+Miete_Ist_J1*0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-3293.16621781059</v>
      </c>
      <c r="H103" s="428" t="n">
        <f aca="false">IF(4&gt;Haltedauer,0,INDEX(Projektion!$D$36:$AQ$36,4)+Miete_Ist_J1*0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-3300.87324804118</v>
      </c>
      <c r="I103" s="428" t="n">
        <f aca="false">IF(5&gt;Haltedauer,0,INDEX(Projektion!$D$36:$AQ$36,5)+Miete_Ist_J1*0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-3310.16432116452</v>
      </c>
      <c r="J103" s="428" t="n">
        <f aca="false">IF(6&gt;Haltedauer,0,INDEX(Projektion!$D$36:$AQ$36,6)+Miete_Ist_J1*0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-3321.12259452085</v>
      </c>
      <c r="K103" s="428" t="n">
        <f aca="false">IF(7&gt;Haltedauer,0,INDEX(Projektion!$D$36:$AQ$36,7)+Miete_Ist_J1*0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-3333.83474175054</v>
      </c>
      <c r="L103" s="428" t="n">
        <f aca="false">IF(8&gt;Haltedauer,0,INDEX(Projektion!$D$36:$AQ$36,8)+Miete_Ist_J1*0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-3348.39108983371</v>
      </c>
      <c r="M103" s="428" t="n">
        <f aca="false">IF(9&gt;Haltedauer,0,INDEX(Projektion!$D$36:$AQ$36,9)+Miete_Ist_J1*0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-3364.88576127213</v>
      </c>
      <c r="N103" s="428" t="n">
        <f aca="false">IF(10&gt;Haltedauer,0,INDEX(Projektion!$D$36:$AQ$36,10)+Miete_Ist_J1*0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-3383.41682160308</v>
      </c>
      <c r="O103" s="428" t="n">
        <f aca="false">IF(11&gt;Haltedauer,0,INDEX(Projektion!$D$36:$AQ$36,11)+Miete_Ist_J1*0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-2978.67150885839</v>
      </c>
      <c r="P103" s="428" t="n">
        <f aca="false">IF(12&gt;Haltedauer,0,INDEX(Projektion!$D$36:$AQ$36,12)+Miete_Ist_J1*0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231961.965844239</v>
      </c>
      <c r="Q103" s="428" t="n">
        <f aca="false">IF(13&gt;Haltedauer,0,INDEX(Projektion!$D$36:$AQ$36,13)+Miete_Ist_J1*0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03" s="428" t="n">
        <f aca="false">IF(14&gt;Haltedauer,0,INDEX(Projektion!$D$36:$AQ$36,14)+Miete_Ist_J1*0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03" s="428" t="n">
        <f aca="false">IF(15&gt;Haltedauer,0,INDEX(Projektion!$D$36:$AQ$36,15)+Miete_Ist_J1*0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03" s="428" t="n">
        <f aca="false">IF(16&gt;Haltedauer,0,INDEX(Projektion!$D$36:$AQ$36,16)+Miete_Ist_J1*0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03" s="428" t="n">
        <f aca="false">IF(17&gt;Haltedauer,0,INDEX(Projektion!$D$36:$AQ$36,17)+Miete_Ist_J1*0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03" s="428" t="n">
        <f aca="false">IF(18&gt;Haltedauer,0,INDEX(Projektion!$D$36:$AQ$36,18)+Miete_Ist_J1*0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03" s="428" t="n">
        <f aca="false">IF(19&gt;Haltedauer,0,INDEX(Projektion!$D$36:$AQ$36,19)+Miete_Ist_J1*0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03" s="428" t="n">
        <f aca="false">IF(20&gt;Haltedauer,0,INDEX(Projektion!$D$36:$AQ$36,20)+Miete_Ist_J1*0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03" s="428" t="n">
        <f aca="false">IF(21&gt;Haltedauer,0,INDEX(Projektion!$D$36:$AQ$36,21)+Miete_Ist_J1*0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03" s="428" t="n">
        <f aca="false">IF(22&gt;Haltedauer,0,INDEX(Projektion!$D$36:$AQ$36,22)+Miete_Ist_J1*0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03" s="428" t="n">
        <f aca="false">IF(23&gt;Haltedauer,0,INDEX(Projektion!$D$36:$AQ$36,23)+Miete_Ist_J1*0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03" s="428" t="n">
        <f aca="false">IF(24&gt;Haltedauer,0,INDEX(Projektion!$D$36:$AQ$36,24)+Miete_Ist_J1*0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03" s="428" t="n">
        <f aca="false">IF(25&gt;Haltedauer,0,INDEX(Projektion!$D$36:$AQ$36,25)+Miete_Ist_J1*0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03" s="428" t="n">
        <f aca="false">IF(26&gt;Haltedauer,0,INDEX(Projektion!$D$36:$AQ$36,26)+Miete_Ist_J1*0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03" s="428" t="n">
        <f aca="false">IF(27&gt;Haltedauer,0,INDEX(Projektion!$D$36:$AQ$36,27)+Miete_Ist_J1*0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03" s="428" t="n">
        <f aca="false">IF(28&gt;Haltedauer,0,INDEX(Projektion!$D$36:$AQ$36,28)+Miete_Ist_J1*0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03" s="428" t="n">
        <f aca="false">IF(29&gt;Haltedauer,0,INDEX(Projektion!$D$36:$AQ$36,29)+Miete_Ist_J1*0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03" s="428" t="n">
        <f aca="false">IF(30&gt;Haltedauer,0,INDEX(Projektion!$D$36:$AQ$36,30)+Miete_Ist_J1*0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03" s="428" t="n">
        <f aca="false">IF(31&gt;Haltedauer,0,INDEX(Projektion!$D$36:$AQ$36,31)+Miete_Ist_J1*0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03" s="428" t="n">
        <f aca="false">IF(32&gt;Haltedauer,0,INDEX(Projektion!$D$36:$AQ$36,32)+Miete_Ist_J1*0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03" s="428" t="n">
        <f aca="false">IF(33&gt;Haltedauer,0,INDEX(Projektion!$D$36:$AQ$36,33)+Miete_Ist_J1*0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03" s="428" t="n">
        <f aca="false">IF(34&gt;Haltedauer,0,INDEX(Projektion!$D$36:$AQ$36,34)+Miete_Ist_J1*0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03" s="428" t="n">
        <f aca="false">IF(35&gt;Haltedauer,0,INDEX(Projektion!$D$36:$AQ$36,35)+Miete_Ist_J1*0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03" s="428" t="n">
        <f aca="false">IF(36&gt;Haltedauer,0,INDEX(Projektion!$D$36:$AQ$36,36)+Miete_Ist_J1*0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03" s="428" t="n">
        <f aca="false">IF(37&gt;Haltedauer,0,INDEX(Projektion!$D$36:$AQ$36,37)+Miete_Ist_J1*0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03" s="428" t="n">
        <f aca="false">IF(38&gt;Haltedauer,0,INDEX(Projektion!$D$36:$AQ$36,38)+Miete_Ist_J1*0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03" s="428" t="n">
        <f aca="false">IF(39&gt;Haltedauer,0,INDEX(Projektion!$D$36:$AQ$36,39)+Miete_Ist_J1*0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03" s="428" t="n">
        <f aca="false">IF(40&gt;Haltedauer,0,INDEX(Projektion!$D$36:$AQ$36,40)+Miete_Ist_J1*0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03" s="12"/>
    </row>
    <row r="104" customFormat="false" ht="15" hidden="true" customHeight="true" outlineLevel="1" collapsed="false">
      <c r="A104" s="12"/>
      <c r="B104" s="12"/>
      <c r="C104" s="427" t="s">
        <v>1202</v>
      </c>
      <c r="D104" s="428" t="n">
        <f aca="false">-Eigenkapital</f>
        <v>-78974.5</v>
      </c>
      <c r="E104" s="428" t="n">
        <f aca="false">IF(1&gt;Haltedauer,0,INDEX(Projektion!$D$36:$AQ$36,1)+Miete_Ist_J1*0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3078.39654952701</v>
      </c>
      <c r="F104" s="428" t="n">
        <f aca="false">IF(2&gt;Haltedauer,0,INDEX(Projektion!$D$36:$AQ$36,2)+Miete_Ist_J1*0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-3286.96345735299</v>
      </c>
      <c r="G104" s="428" t="n">
        <f aca="false">IF(3&gt;Haltedauer,0,INDEX(Projektion!$D$36:$AQ$36,3)+Miete_Ist_J1*0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-3293.16621781059</v>
      </c>
      <c r="H104" s="428" t="n">
        <f aca="false">IF(4&gt;Haltedauer,0,INDEX(Projektion!$D$36:$AQ$36,4)+Miete_Ist_J1*0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-3300.87324804118</v>
      </c>
      <c r="I104" s="428" t="n">
        <f aca="false">IF(5&gt;Haltedauer,0,INDEX(Projektion!$D$36:$AQ$36,5)+Miete_Ist_J1*0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-3310.16432116452</v>
      </c>
      <c r="J104" s="428" t="n">
        <f aca="false">IF(6&gt;Haltedauer,0,INDEX(Projektion!$D$36:$AQ$36,6)+Miete_Ist_J1*0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-3321.12259452085</v>
      </c>
      <c r="K104" s="428" t="n">
        <f aca="false">IF(7&gt;Haltedauer,0,INDEX(Projektion!$D$36:$AQ$36,7)+Miete_Ist_J1*0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-3333.83474175054</v>
      </c>
      <c r="L104" s="428" t="n">
        <f aca="false">IF(8&gt;Haltedauer,0,INDEX(Projektion!$D$36:$AQ$36,8)+Miete_Ist_J1*0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-3348.39108983371</v>
      </c>
      <c r="M104" s="428" t="n">
        <f aca="false">IF(9&gt;Haltedauer,0,INDEX(Projektion!$D$36:$AQ$36,9)+Miete_Ist_J1*0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-3364.88576127213</v>
      </c>
      <c r="N104" s="428" t="n">
        <f aca="false">IF(10&gt;Haltedauer,0,INDEX(Projektion!$D$36:$AQ$36,10)+Miete_Ist_J1*0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-3383.41682160308</v>
      </c>
      <c r="O104" s="428" t="n">
        <f aca="false">IF(11&gt;Haltedauer,0,INDEX(Projektion!$D$36:$AQ$36,11)+Miete_Ist_J1*0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-2978.67150885839</v>
      </c>
      <c r="P104" s="428" t="n">
        <f aca="false">IF(12&gt;Haltedauer,0,INDEX(Projektion!$D$36:$AQ$36,12)+Miete_Ist_J1*0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282976.4396551</v>
      </c>
      <c r="Q104" s="428" t="n">
        <f aca="false">IF(13&gt;Haltedauer,0,INDEX(Projektion!$D$36:$AQ$36,13)+Miete_Ist_J1*0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04" s="428" t="n">
        <f aca="false">IF(14&gt;Haltedauer,0,INDEX(Projektion!$D$36:$AQ$36,14)+Miete_Ist_J1*0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04" s="428" t="n">
        <f aca="false">IF(15&gt;Haltedauer,0,INDEX(Projektion!$D$36:$AQ$36,15)+Miete_Ist_J1*0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04" s="428" t="n">
        <f aca="false">IF(16&gt;Haltedauer,0,INDEX(Projektion!$D$36:$AQ$36,16)+Miete_Ist_J1*0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04" s="428" t="n">
        <f aca="false">IF(17&gt;Haltedauer,0,INDEX(Projektion!$D$36:$AQ$36,17)+Miete_Ist_J1*0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04" s="428" t="n">
        <f aca="false">IF(18&gt;Haltedauer,0,INDEX(Projektion!$D$36:$AQ$36,18)+Miete_Ist_J1*0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04" s="428" t="n">
        <f aca="false">IF(19&gt;Haltedauer,0,INDEX(Projektion!$D$36:$AQ$36,19)+Miete_Ist_J1*0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04" s="428" t="n">
        <f aca="false">IF(20&gt;Haltedauer,0,INDEX(Projektion!$D$36:$AQ$36,20)+Miete_Ist_J1*0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04" s="428" t="n">
        <f aca="false">IF(21&gt;Haltedauer,0,INDEX(Projektion!$D$36:$AQ$36,21)+Miete_Ist_J1*0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04" s="428" t="n">
        <f aca="false">IF(22&gt;Haltedauer,0,INDEX(Projektion!$D$36:$AQ$36,22)+Miete_Ist_J1*0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04" s="428" t="n">
        <f aca="false">IF(23&gt;Haltedauer,0,INDEX(Projektion!$D$36:$AQ$36,23)+Miete_Ist_J1*0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04" s="428" t="n">
        <f aca="false">IF(24&gt;Haltedauer,0,INDEX(Projektion!$D$36:$AQ$36,24)+Miete_Ist_J1*0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04" s="428" t="n">
        <f aca="false">IF(25&gt;Haltedauer,0,INDEX(Projektion!$D$36:$AQ$36,25)+Miete_Ist_J1*0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04" s="428" t="n">
        <f aca="false">IF(26&gt;Haltedauer,0,INDEX(Projektion!$D$36:$AQ$36,26)+Miete_Ist_J1*0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04" s="428" t="n">
        <f aca="false">IF(27&gt;Haltedauer,0,INDEX(Projektion!$D$36:$AQ$36,27)+Miete_Ist_J1*0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04" s="428" t="n">
        <f aca="false">IF(28&gt;Haltedauer,0,INDEX(Projektion!$D$36:$AQ$36,28)+Miete_Ist_J1*0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04" s="428" t="n">
        <f aca="false">IF(29&gt;Haltedauer,0,INDEX(Projektion!$D$36:$AQ$36,29)+Miete_Ist_J1*0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04" s="428" t="n">
        <f aca="false">IF(30&gt;Haltedauer,0,INDEX(Projektion!$D$36:$AQ$36,30)+Miete_Ist_J1*0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04" s="428" t="n">
        <f aca="false">IF(31&gt;Haltedauer,0,INDEX(Projektion!$D$36:$AQ$36,31)+Miete_Ist_J1*0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04" s="428" t="n">
        <f aca="false">IF(32&gt;Haltedauer,0,INDEX(Projektion!$D$36:$AQ$36,32)+Miete_Ist_J1*0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04" s="428" t="n">
        <f aca="false">IF(33&gt;Haltedauer,0,INDEX(Projektion!$D$36:$AQ$36,33)+Miete_Ist_J1*0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04" s="428" t="n">
        <f aca="false">IF(34&gt;Haltedauer,0,INDEX(Projektion!$D$36:$AQ$36,34)+Miete_Ist_J1*0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04" s="428" t="n">
        <f aca="false">IF(35&gt;Haltedauer,0,INDEX(Projektion!$D$36:$AQ$36,35)+Miete_Ist_J1*0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04" s="428" t="n">
        <f aca="false">IF(36&gt;Haltedauer,0,INDEX(Projektion!$D$36:$AQ$36,36)+Miete_Ist_J1*0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04" s="428" t="n">
        <f aca="false">IF(37&gt;Haltedauer,0,INDEX(Projektion!$D$36:$AQ$36,37)+Miete_Ist_J1*0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04" s="428" t="n">
        <f aca="false">IF(38&gt;Haltedauer,0,INDEX(Projektion!$D$36:$AQ$36,38)+Miete_Ist_J1*0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04" s="428" t="n">
        <f aca="false">IF(39&gt;Haltedauer,0,INDEX(Projektion!$D$36:$AQ$36,39)+Miete_Ist_J1*0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04" s="428" t="n">
        <f aca="false">IF(40&gt;Haltedauer,0,INDEX(Projektion!$D$36:$AQ$36,40)+Miete_Ist_J1*0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04" s="12"/>
    </row>
    <row r="105" customFormat="false" ht="15" hidden="true" customHeight="true" outlineLevel="1" collapsed="false">
      <c r="A105" s="12"/>
      <c r="B105" s="12"/>
      <c r="C105" s="427" t="s">
        <v>1203</v>
      </c>
      <c r="D105" s="428" t="n">
        <f aca="false">-Eigenkapital</f>
        <v>-78974.5</v>
      </c>
      <c r="E105" s="428" t="n">
        <f aca="false">IF(1&gt;Haltedauer,0,INDEX(Projektion!$D$36:$AQ$36,1)+Miete_Ist_J1*0.05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3375.53164432701</v>
      </c>
      <c r="F105" s="428" t="n">
        <f aca="false">IF(2&gt;Haltedauer,0,INDEX(Projektion!$D$36:$AQ$36,2)+Miete_Ist_J1*0.05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-2983.88566065699</v>
      </c>
      <c r="G105" s="428" t="n">
        <f aca="false">IF(3&gt;Haltedauer,0,INDEX(Projektion!$D$36:$AQ$36,3)+Miete_Ist_J1*0.05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-2984.02686518067</v>
      </c>
      <c r="H105" s="428" t="n">
        <f aca="false">IF(4&gt;Haltedauer,0,INDEX(Projektion!$D$36:$AQ$36,4)+Miete_Ist_J1*0.05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-2985.55110835866</v>
      </c>
      <c r="I105" s="428" t="n">
        <f aca="false">IF(5&gt;Haltedauer,0,INDEX(Projektion!$D$36:$AQ$36,5)+Miete_Ist_J1*0.05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-2988.53573868836</v>
      </c>
      <c r="J105" s="428" t="n">
        <f aca="false">IF(6&gt;Haltedauer,0,INDEX(Projektion!$D$36:$AQ$36,6)+Miete_Ist_J1*0.05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-2993.06144039515</v>
      </c>
      <c r="K105" s="428" t="n">
        <f aca="false">IF(7&gt;Haltedauer,0,INDEX(Projektion!$D$36:$AQ$36,7)+Miete_Ist_J1*0.05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-2999.21236454233</v>
      </c>
      <c r="L105" s="428" t="n">
        <f aca="false">IF(8&gt;Haltedauer,0,INDEX(Projektion!$D$36:$AQ$36,8)+Miete_Ist_J1*0.05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-3007.07626508134</v>
      </c>
      <c r="M105" s="428" t="n">
        <f aca="false">IF(9&gt;Haltedauer,0,INDEX(Projektion!$D$36:$AQ$36,9)+Miete_Ist_J1*0.05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-3016.74464002471</v>
      </c>
      <c r="N105" s="428" t="n">
        <f aca="false">IF(10&gt;Haltedauer,0,INDEX(Projektion!$D$36:$AQ$36,10)+Miete_Ist_J1*0.05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-3028.31287793072</v>
      </c>
      <c r="O105" s="428" t="n">
        <f aca="false">IF(11&gt;Haltedauer,0,INDEX(Projektion!$D$36:$AQ$36,11)+Miete_Ist_J1*0.05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-2616.46548631258</v>
      </c>
      <c r="P105" s="428" t="n">
        <f aca="false">IF(12&gt;Haltedauer,0,INDEX(Projektion!$D$36:$AQ$36,12)+Miete_Ist_J1*0.05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108409.452261787</v>
      </c>
      <c r="Q105" s="428" t="n">
        <f aca="false">IF(13&gt;Haltedauer,0,INDEX(Projektion!$D$36:$AQ$36,13)+Miete_Ist_J1*0.05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05" s="428" t="n">
        <f aca="false">IF(14&gt;Haltedauer,0,INDEX(Projektion!$D$36:$AQ$36,14)+Miete_Ist_J1*0.05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05" s="428" t="n">
        <f aca="false">IF(15&gt;Haltedauer,0,INDEX(Projektion!$D$36:$AQ$36,15)+Miete_Ist_J1*0.05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05" s="428" t="n">
        <f aca="false">IF(16&gt;Haltedauer,0,INDEX(Projektion!$D$36:$AQ$36,16)+Miete_Ist_J1*0.05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05" s="428" t="n">
        <f aca="false">IF(17&gt;Haltedauer,0,INDEX(Projektion!$D$36:$AQ$36,17)+Miete_Ist_J1*0.05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05" s="428" t="n">
        <f aca="false">IF(18&gt;Haltedauer,0,INDEX(Projektion!$D$36:$AQ$36,18)+Miete_Ist_J1*0.05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05" s="428" t="n">
        <f aca="false">IF(19&gt;Haltedauer,0,INDEX(Projektion!$D$36:$AQ$36,19)+Miete_Ist_J1*0.05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05" s="428" t="n">
        <f aca="false">IF(20&gt;Haltedauer,0,INDEX(Projektion!$D$36:$AQ$36,20)+Miete_Ist_J1*0.05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05" s="428" t="n">
        <f aca="false">IF(21&gt;Haltedauer,0,INDEX(Projektion!$D$36:$AQ$36,21)+Miete_Ist_J1*0.05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05" s="428" t="n">
        <f aca="false">IF(22&gt;Haltedauer,0,INDEX(Projektion!$D$36:$AQ$36,22)+Miete_Ist_J1*0.05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05" s="428" t="n">
        <f aca="false">IF(23&gt;Haltedauer,0,INDEX(Projektion!$D$36:$AQ$36,23)+Miete_Ist_J1*0.05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05" s="428" t="n">
        <f aca="false">IF(24&gt;Haltedauer,0,INDEX(Projektion!$D$36:$AQ$36,24)+Miete_Ist_J1*0.05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05" s="428" t="n">
        <f aca="false">IF(25&gt;Haltedauer,0,INDEX(Projektion!$D$36:$AQ$36,25)+Miete_Ist_J1*0.05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05" s="428" t="n">
        <f aca="false">IF(26&gt;Haltedauer,0,INDEX(Projektion!$D$36:$AQ$36,26)+Miete_Ist_J1*0.05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05" s="428" t="n">
        <f aca="false">IF(27&gt;Haltedauer,0,INDEX(Projektion!$D$36:$AQ$36,27)+Miete_Ist_J1*0.05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05" s="428" t="n">
        <f aca="false">IF(28&gt;Haltedauer,0,INDEX(Projektion!$D$36:$AQ$36,28)+Miete_Ist_J1*0.05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05" s="428" t="n">
        <f aca="false">IF(29&gt;Haltedauer,0,INDEX(Projektion!$D$36:$AQ$36,29)+Miete_Ist_J1*0.05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05" s="428" t="n">
        <f aca="false">IF(30&gt;Haltedauer,0,INDEX(Projektion!$D$36:$AQ$36,30)+Miete_Ist_J1*0.05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05" s="428" t="n">
        <f aca="false">IF(31&gt;Haltedauer,0,INDEX(Projektion!$D$36:$AQ$36,31)+Miete_Ist_J1*0.05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05" s="428" t="n">
        <f aca="false">IF(32&gt;Haltedauer,0,INDEX(Projektion!$D$36:$AQ$36,32)+Miete_Ist_J1*0.05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05" s="428" t="n">
        <f aca="false">IF(33&gt;Haltedauer,0,INDEX(Projektion!$D$36:$AQ$36,33)+Miete_Ist_J1*0.05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05" s="428" t="n">
        <f aca="false">IF(34&gt;Haltedauer,0,INDEX(Projektion!$D$36:$AQ$36,34)+Miete_Ist_J1*0.05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05" s="428" t="n">
        <f aca="false">IF(35&gt;Haltedauer,0,INDEX(Projektion!$D$36:$AQ$36,35)+Miete_Ist_J1*0.05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05" s="428" t="n">
        <f aca="false">IF(36&gt;Haltedauer,0,INDEX(Projektion!$D$36:$AQ$36,36)+Miete_Ist_J1*0.05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05" s="428" t="n">
        <f aca="false">IF(37&gt;Haltedauer,0,INDEX(Projektion!$D$36:$AQ$36,37)+Miete_Ist_J1*0.05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05" s="428" t="n">
        <f aca="false">IF(38&gt;Haltedauer,0,INDEX(Projektion!$D$36:$AQ$36,38)+Miete_Ist_J1*0.05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05" s="428" t="n">
        <f aca="false">IF(39&gt;Haltedauer,0,INDEX(Projektion!$D$36:$AQ$36,39)+Miete_Ist_J1*0.05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05" s="428" t="n">
        <f aca="false">IF(40&gt;Haltedauer,0,INDEX(Projektion!$D$36:$AQ$36,40)+Miete_Ist_J1*0.05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05" s="12"/>
    </row>
    <row r="106" customFormat="false" ht="15" hidden="true" customHeight="true" outlineLevel="1" collapsed="false">
      <c r="A106" s="12"/>
      <c r="B106" s="12"/>
      <c r="C106" s="427" t="s">
        <v>1204</v>
      </c>
      <c r="D106" s="428" t="n">
        <f aca="false">-Eigenkapital</f>
        <v>-78974.5</v>
      </c>
      <c r="E106" s="428" t="n">
        <f aca="false">IF(1&gt;Haltedauer,0,INDEX(Projektion!$D$36:$AQ$36,1)+Miete_Ist_J1*0.05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3375.53164432701</v>
      </c>
      <c r="F106" s="428" t="n">
        <f aca="false">IF(2&gt;Haltedauer,0,INDEX(Projektion!$D$36:$AQ$36,2)+Miete_Ist_J1*0.05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-2983.88566065699</v>
      </c>
      <c r="G106" s="428" t="n">
        <f aca="false">IF(3&gt;Haltedauer,0,INDEX(Projektion!$D$36:$AQ$36,3)+Miete_Ist_J1*0.05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-2984.02686518067</v>
      </c>
      <c r="H106" s="428" t="n">
        <f aca="false">IF(4&gt;Haltedauer,0,INDEX(Projektion!$D$36:$AQ$36,4)+Miete_Ist_J1*0.05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-2985.55110835866</v>
      </c>
      <c r="I106" s="428" t="n">
        <f aca="false">IF(5&gt;Haltedauer,0,INDEX(Projektion!$D$36:$AQ$36,5)+Miete_Ist_J1*0.05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-2988.53573868836</v>
      </c>
      <c r="J106" s="428" t="n">
        <f aca="false">IF(6&gt;Haltedauer,0,INDEX(Projektion!$D$36:$AQ$36,6)+Miete_Ist_J1*0.05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-2993.06144039515</v>
      </c>
      <c r="K106" s="428" t="n">
        <f aca="false">IF(7&gt;Haltedauer,0,INDEX(Projektion!$D$36:$AQ$36,7)+Miete_Ist_J1*0.05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-2999.21236454233</v>
      </c>
      <c r="L106" s="428" t="n">
        <f aca="false">IF(8&gt;Haltedauer,0,INDEX(Projektion!$D$36:$AQ$36,8)+Miete_Ist_J1*0.05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-3007.07626508134</v>
      </c>
      <c r="M106" s="428" t="n">
        <f aca="false">IF(9&gt;Haltedauer,0,INDEX(Projektion!$D$36:$AQ$36,9)+Miete_Ist_J1*0.05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-3016.74464002471</v>
      </c>
      <c r="N106" s="428" t="n">
        <f aca="false">IF(10&gt;Haltedauer,0,INDEX(Projektion!$D$36:$AQ$36,10)+Miete_Ist_J1*0.05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-3028.31287793072</v>
      </c>
      <c r="O106" s="428" t="n">
        <f aca="false">IF(11&gt;Haltedauer,0,INDEX(Projektion!$D$36:$AQ$36,11)+Miete_Ist_J1*0.05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-2616.46548631258</v>
      </c>
      <c r="P106" s="428" t="n">
        <f aca="false">IF(12&gt;Haltedauer,0,INDEX(Projektion!$D$36:$AQ$36,12)+Miete_Ist_J1*0.05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145323.145531998</v>
      </c>
      <c r="Q106" s="428" t="n">
        <f aca="false">IF(13&gt;Haltedauer,0,INDEX(Projektion!$D$36:$AQ$36,13)+Miete_Ist_J1*0.05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06" s="428" t="n">
        <f aca="false">IF(14&gt;Haltedauer,0,INDEX(Projektion!$D$36:$AQ$36,14)+Miete_Ist_J1*0.05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06" s="428" t="n">
        <f aca="false">IF(15&gt;Haltedauer,0,INDEX(Projektion!$D$36:$AQ$36,15)+Miete_Ist_J1*0.05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06" s="428" t="n">
        <f aca="false">IF(16&gt;Haltedauer,0,INDEX(Projektion!$D$36:$AQ$36,16)+Miete_Ist_J1*0.05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06" s="428" t="n">
        <f aca="false">IF(17&gt;Haltedauer,0,INDEX(Projektion!$D$36:$AQ$36,17)+Miete_Ist_J1*0.05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06" s="428" t="n">
        <f aca="false">IF(18&gt;Haltedauer,0,INDEX(Projektion!$D$36:$AQ$36,18)+Miete_Ist_J1*0.05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06" s="428" t="n">
        <f aca="false">IF(19&gt;Haltedauer,0,INDEX(Projektion!$D$36:$AQ$36,19)+Miete_Ist_J1*0.05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06" s="428" t="n">
        <f aca="false">IF(20&gt;Haltedauer,0,INDEX(Projektion!$D$36:$AQ$36,20)+Miete_Ist_J1*0.05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06" s="428" t="n">
        <f aca="false">IF(21&gt;Haltedauer,0,INDEX(Projektion!$D$36:$AQ$36,21)+Miete_Ist_J1*0.05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06" s="428" t="n">
        <f aca="false">IF(22&gt;Haltedauer,0,INDEX(Projektion!$D$36:$AQ$36,22)+Miete_Ist_J1*0.05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06" s="428" t="n">
        <f aca="false">IF(23&gt;Haltedauer,0,INDEX(Projektion!$D$36:$AQ$36,23)+Miete_Ist_J1*0.05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06" s="428" t="n">
        <f aca="false">IF(24&gt;Haltedauer,0,INDEX(Projektion!$D$36:$AQ$36,24)+Miete_Ist_J1*0.05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06" s="428" t="n">
        <f aca="false">IF(25&gt;Haltedauer,0,INDEX(Projektion!$D$36:$AQ$36,25)+Miete_Ist_J1*0.05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06" s="428" t="n">
        <f aca="false">IF(26&gt;Haltedauer,0,INDEX(Projektion!$D$36:$AQ$36,26)+Miete_Ist_J1*0.05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06" s="428" t="n">
        <f aca="false">IF(27&gt;Haltedauer,0,INDEX(Projektion!$D$36:$AQ$36,27)+Miete_Ist_J1*0.05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06" s="428" t="n">
        <f aca="false">IF(28&gt;Haltedauer,0,INDEX(Projektion!$D$36:$AQ$36,28)+Miete_Ist_J1*0.05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06" s="428" t="n">
        <f aca="false">IF(29&gt;Haltedauer,0,INDEX(Projektion!$D$36:$AQ$36,29)+Miete_Ist_J1*0.05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06" s="428" t="n">
        <f aca="false">IF(30&gt;Haltedauer,0,INDEX(Projektion!$D$36:$AQ$36,30)+Miete_Ist_J1*0.05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06" s="428" t="n">
        <f aca="false">IF(31&gt;Haltedauer,0,INDEX(Projektion!$D$36:$AQ$36,31)+Miete_Ist_J1*0.05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06" s="428" t="n">
        <f aca="false">IF(32&gt;Haltedauer,0,INDEX(Projektion!$D$36:$AQ$36,32)+Miete_Ist_J1*0.05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06" s="428" t="n">
        <f aca="false">IF(33&gt;Haltedauer,0,INDEX(Projektion!$D$36:$AQ$36,33)+Miete_Ist_J1*0.05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06" s="428" t="n">
        <f aca="false">IF(34&gt;Haltedauer,0,INDEX(Projektion!$D$36:$AQ$36,34)+Miete_Ist_J1*0.05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06" s="428" t="n">
        <f aca="false">IF(35&gt;Haltedauer,0,INDEX(Projektion!$D$36:$AQ$36,35)+Miete_Ist_J1*0.05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06" s="428" t="n">
        <f aca="false">IF(36&gt;Haltedauer,0,INDEX(Projektion!$D$36:$AQ$36,36)+Miete_Ist_J1*0.05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06" s="428" t="n">
        <f aca="false">IF(37&gt;Haltedauer,0,INDEX(Projektion!$D$36:$AQ$36,37)+Miete_Ist_J1*0.05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06" s="428" t="n">
        <f aca="false">IF(38&gt;Haltedauer,0,INDEX(Projektion!$D$36:$AQ$36,38)+Miete_Ist_J1*0.05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06" s="428" t="n">
        <f aca="false">IF(39&gt;Haltedauer,0,INDEX(Projektion!$D$36:$AQ$36,39)+Miete_Ist_J1*0.05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06" s="428" t="n">
        <f aca="false">IF(40&gt;Haltedauer,0,INDEX(Projektion!$D$36:$AQ$36,40)+Miete_Ist_J1*0.05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06" s="12"/>
    </row>
    <row r="107" customFormat="false" ht="15" hidden="true" customHeight="true" outlineLevel="1" collapsed="false">
      <c r="A107" s="12"/>
      <c r="B107" s="12"/>
      <c r="C107" s="427" t="s">
        <v>1205</v>
      </c>
      <c r="D107" s="428" t="n">
        <f aca="false">-Eigenkapital</f>
        <v>-78974.5</v>
      </c>
      <c r="E107" s="428" t="n">
        <f aca="false">IF(1&gt;Haltedauer,0,INDEX(Projektion!$D$36:$AQ$36,1)+Miete_Ist_J1*0.05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3375.53164432701</v>
      </c>
      <c r="F107" s="428" t="n">
        <f aca="false">IF(2&gt;Haltedauer,0,INDEX(Projektion!$D$36:$AQ$36,2)+Miete_Ist_J1*0.05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-2983.88566065699</v>
      </c>
      <c r="G107" s="428" t="n">
        <f aca="false">IF(3&gt;Haltedauer,0,INDEX(Projektion!$D$36:$AQ$36,3)+Miete_Ist_J1*0.05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-2984.02686518067</v>
      </c>
      <c r="H107" s="428" t="n">
        <f aca="false">IF(4&gt;Haltedauer,0,INDEX(Projektion!$D$36:$AQ$36,4)+Miete_Ist_J1*0.05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-2985.55110835866</v>
      </c>
      <c r="I107" s="428" t="n">
        <f aca="false">IF(5&gt;Haltedauer,0,INDEX(Projektion!$D$36:$AQ$36,5)+Miete_Ist_J1*0.05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-2988.53573868836</v>
      </c>
      <c r="J107" s="428" t="n">
        <f aca="false">IF(6&gt;Haltedauer,0,INDEX(Projektion!$D$36:$AQ$36,6)+Miete_Ist_J1*0.05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-2993.06144039515</v>
      </c>
      <c r="K107" s="428" t="n">
        <f aca="false">IF(7&gt;Haltedauer,0,INDEX(Projektion!$D$36:$AQ$36,7)+Miete_Ist_J1*0.05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-2999.21236454233</v>
      </c>
      <c r="L107" s="428" t="n">
        <f aca="false">IF(8&gt;Haltedauer,0,INDEX(Projektion!$D$36:$AQ$36,8)+Miete_Ist_J1*0.05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-3007.07626508134</v>
      </c>
      <c r="M107" s="428" t="n">
        <f aca="false">IF(9&gt;Haltedauer,0,INDEX(Projektion!$D$36:$AQ$36,9)+Miete_Ist_J1*0.05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-3016.74464002471</v>
      </c>
      <c r="N107" s="428" t="n">
        <f aca="false">IF(10&gt;Haltedauer,0,INDEX(Projektion!$D$36:$AQ$36,10)+Miete_Ist_J1*0.05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-3028.31287793072</v>
      </c>
      <c r="O107" s="428" t="n">
        <f aca="false">IF(11&gt;Haltedauer,0,INDEX(Projektion!$D$36:$AQ$36,11)+Miete_Ist_J1*0.05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-2616.46548631258</v>
      </c>
      <c r="P107" s="428" t="n">
        <f aca="false">IF(12&gt;Haltedauer,0,INDEX(Projektion!$D$36:$AQ$36,12)+Miete_Ist_J1*0.05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186483.908987162</v>
      </c>
      <c r="Q107" s="428" t="n">
        <f aca="false">IF(13&gt;Haltedauer,0,INDEX(Projektion!$D$36:$AQ$36,13)+Miete_Ist_J1*0.05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07" s="428" t="n">
        <f aca="false">IF(14&gt;Haltedauer,0,INDEX(Projektion!$D$36:$AQ$36,14)+Miete_Ist_J1*0.05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07" s="428" t="n">
        <f aca="false">IF(15&gt;Haltedauer,0,INDEX(Projektion!$D$36:$AQ$36,15)+Miete_Ist_J1*0.05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07" s="428" t="n">
        <f aca="false">IF(16&gt;Haltedauer,0,INDEX(Projektion!$D$36:$AQ$36,16)+Miete_Ist_J1*0.05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07" s="428" t="n">
        <f aca="false">IF(17&gt;Haltedauer,0,INDEX(Projektion!$D$36:$AQ$36,17)+Miete_Ist_J1*0.05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07" s="428" t="n">
        <f aca="false">IF(18&gt;Haltedauer,0,INDEX(Projektion!$D$36:$AQ$36,18)+Miete_Ist_J1*0.05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07" s="428" t="n">
        <f aca="false">IF(19&gt;Haltedauer,0,INDEX(Projektion!$D$36:$AQ$36,19)+Miete_Ist_J1*0.05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07" s="428" t="n">
        <f aca="false">IF(20&gt;Haltedauer,0,INDEX(Projektion!$D$36:$AQ$36,20)+Miete_Ist_J1*0.05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07" s="428" t="n">
        <f aca="false">IF(21&gt;Haltedauer,0,INDEX(Projektion!$D$36:$AQ$36,21)+Miete_Ist_J1*0.05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07" s="428" t="n">
        <f aca="false">IF(22&gt;Haltedauer,0,INDEX(Projektion!$D$36:$AQ$36,22)+Miete_Ist_J1*0.05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07" s="428" t="n">
        <f aca="false">IF(23&gt;Haltedauer,0,INDEX(Projektion!$D$36:$AQ$36,23)+Miete_Ist_J1*0.05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07" s="428" t="n">
        <f aca="false">IF(24&gt;Haltedauer,0,INDEX(Projektion!$D$36:$AQ$36,24)+Miete_Ist_J1*0.05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07" s="428" t="n">
        <f aca="false">IF(25&gt;Haltedauer,0,INDEX(Projektion!$D$36:$AQ$36,25)+Miete_Ist_J1*0.05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07" s="428" t="n">
        <f aca="false">IF(26&gt;Haltedauer,0,INDEX(Projektion!$D$36:$AQ$36,26)+Miete_Ist_J1*0.05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07" s="428" t="n">
        <f aca="false">IF(27&gt;Haltedauer,0,INDEX(Projektion!$D$36:$AQ$36,27)+Miete_Ist_J1*0.05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07" s="428" t="n">
        <f aca="false">IF(28&gt;Haltedauer,0,INDEX(Projektion!$D$36:$AQ$36,28)+Miete_Ist_J1*0.05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07" s="428" t="n">
        <f aca="false">IF(29&gt;Haltedauer,0,INDEX(Projektion!$D$36:$AQ$36,29)+Miete_Ist_J1*0.05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07" s="428" t="n">
        <f aca="false">IF(30&gt;Haltedauer,0,INDEX(Projektion!$D$36:$AQ$36,30)+Miete_Ist_J1*0.05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07" s="428" t="n">
        <f aca="false">IF(31&gt;Haltedauer,0,INDEX(Projektion!$D$36:$AQ$36,31)+Miete_Ist_J1*0.05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07" s="428" t="n">
        <f aca="false">IF(32&gt;Haltedauer,0,INDEX(Projektion!$D$36:$AQ$36,32)+Miete_Ist_J1*0.05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07" s="428" t="n">
        <f aca="false">IF(33&gt;Haltedauer,0,INDEX(Projektion!$D$36:$AQ$36,33)+Miete_Ist_J1*0.05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07" s="428" t="n">
        <f aca="false">IF(34&gt;Haltedauer,0,INDEX(Projektion!$D$36:$AQ$36,34)+Miete_Ist_J1*0.05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07" s="428" t="n">
        <f aca="false">IF(35&gt;Haltedauer,0,INDEX(Projektion!$D$36:$AQ$36,35)+Miete_Ist_J1*0.05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07" s="428" t="n">
        <f aca="false">IF(36&gt;Haltedauer,0,INDEX(Projektion!$D$36:$AQ$36,36)+Miete_Ist_J1*0.05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07" s="428" t="n">
        <f aca="false">IF(37&gt;Haltedauer,0,INDEX(Projektion!$D$36:$AQ$36,37)+Miete_Ist_J1*0.05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07" s="428" t="n">
        <f aca="false">IF(38&gt;Haltedauer,0,INDEX(Projektion!$D$36:$AQ$36,38)+Miete_Ist_J1*0.05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07" s="428" t="n">
        <f aca="false">IF(39&gt;Haltedauer,0,INDEX(Projektion!$D$36:$AQ$36,39)+Miete_Ist_J1*0.05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07" s="428" t="n">
        <f aca="false">IF(40&gt;Haltedauer,0,INDEX(Projektion!$D$36:$AQ$36,40)+Miete_Ist_J1*0.05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07" s="12"/>
    </row>
    <row r="108" customFormat="false" ht="15" hidden="true" customHeight="true" outlineLevel="1" collapsed="false">
      <c r="A108" s="12"/>
      <c r="B108" s="12"/>
      <c r="C108" s="427" t="s">
        <v>1206</v>
      </c>
      <c r="D108" s="428" t="n">
        <f aca="false">-Eigenkapital</f>
        <v>-78974.5</v>
      </c>
      <c r="E108" s="428" t="n">
        <f aca="false">IF(1&gt;Haltedauer,0,INDEX(Projektion!$D$36:$AQ$36,1)+Miete_Ist_J1*0.05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3375.53164432701</v>
      </c>
      <c r="F108" s="428" t="n">
        <f aca="false">IF(2&gt;Haltedauer,0,INDEX(Projektion!$D$36:$AQ$36,2)+Miete_Ist_J1*0.05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-2983.88566065699</v>
      </c>
      <c r="G108" s="428" t="n">
        <f aca="false">IF(3&gt;Haltedauer,0,INDEX(Projektion!$D$36:$AQ$36,3)+Miete_Ist_J1*0.05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-2984.02686518067</v>
      </c>
      <c r="H108" s="428" t="n">
        <f aca="false">IF(4&gt;Haltedauer,0,INDEX(Projektion!$D$36:$AQ$36,4)+Miete_Ist_J1*0.05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-2985.55110835866</v>
      </c>
      <c r="I108" s="428" t="n">
        <f aca="false">IF(5&gt;Haltedauer,0,INDEX(Projektion!$D$36:$AQ$36,5)+Miete_Ist_J1*0.05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-2988.53573868836</v>
      </c>
      <c r="J108" s="428" t="n">
        <f aca="false">IF(6&gt;Haltedauer,0,INDEX(Projektion!$D$36:$AQ$36,6)+Miete_Ist_J1*0.05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-2993.06144039515</v>
      </c>
      <c r="K108" s="428" t="n">
        <f aca="false">IF(7&gt;Haltedauer,0,INDEX(Projektion!$D$36:$AQ$36,7)+Miete_Ist_J1*0.05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-2999.21236454233</v>
      </c>
      <c r="L108" s="428" t="n">
        <f aca="false">IF(8&gt;Haltedauer,0,INDEX(Projektion!$D$36:$AQ$36,8)+Miete_Ist_J1*0.05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-3007.07626508134</v>
      </c>
      <c r="M108" s="428" t="n">
        <f aca="false">IF(9&gt;Haltedauer,0,INDEX(Projektion!$D$36:$AQ$36,9)+Miete_Ist_J1*0.05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-3016.74464002471</v>
      </c>
      <c r="N108" s="428" t="n">
        <f aca="false">IF(10&gt;Haltedauer,0,INDEX(Projektion!$D$36:$AQ$36,10)+Miete_Ist_J1*0.05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-3028.31287793072</v>
      </c>
      <c r="O108" s="428" t="n">
        <f aca="false">IF(11&gt;Haltedauer,0,INDEX(Projektion!$D$36:$AQ$36,11)+Miete_Ist_J1*0.05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-2616.46548631258</v>
      </c>
      <c r="P108" s="428" t="n">
        <f aca="false">IF(12&gt;Haltedauer,0,INDEX(Projektion!$D$36:$AQ$36,12)+Miete_Ist_J1*0.05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232331.415987236</v>
      </c>
      <c r="Q108" s="428" t="n">
        <f aca="false">IF(13&gt;Haltedauer,0,INDEX(Projektion!$D$36:$AQ$36,13)+Miete_Ist_J1*0.05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08" s="428" t="n">
        <f aca="false">IF(14&gt;Haltedauer,0,INDEX(Projektion!$D$36:$AQ$36,14)+Miete_Ist_J1*0.05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08" s="428" t="n">
        <f aca="false">IF(15&gt;Haltedauer,0,INDEX(Projektion!$D$36:$AQ$36,15)+Miete_Ist_J1*0.05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08" s="428" t="n">
        <f aca="false">IF(16&gt;Haltedauer,0,INDEX(Projektion!$D$36:$AQ$36,16)+Miete_Ist_J1*0.05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08" s="428" t="n">
        <f aca="false">IF(17&gt;Haltedauer,0,INDEX(Projektion!$D$36:$AQ$36,17)+Miete_Ist_J1*0.05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08" s="428" t="n">
        <f aca="false">IF(18&gt;Haltedauer,0,INDEX(Projektion!$D$36:$AQ$36,18)+Miete_Ist_J1*0.05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08" s="428" t="n">
        <f aca="false">IF(19&gt;Haltedauer,0,INDEX(Projektion!$D$36:$AQ$36,19)+Miete_Ist_J1*0.05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08" s="428" t="n">
        <f aca="false">IF(20&gt;Haltedauer,0,INDEX(Projektion!$D$36:$AQ$36,20)+Miete_Ist_J1*0.05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08" s="428" t="n">
        <f aca="false">IF(21&gt;Haltedauer,0,INDEX(Projektion!$D$36:$AQ$36,21)+Miete_Ist_J1*0.05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08" s="428" t="n">
        <f aca="false">IF(22&gt;Haltedauer,0,INDEX(Projektion!$D$36:$AQ$36,22)+Miete_Ist_J1*0.05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08" s="428" t="n">
        <f aca="false">IF(23&gt;Haltedauer,0,INDEX(Projektion!$D$36:$AQ$36,23)+Miete_Ist_J1*0.05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08" s="428" t="n">
        <f aca="false">IF(24&gt;Haltedauer,0,INDEX(Projektion!$D$36:$AQ$36,24)+Miete_Ist_J1*0.05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08" s="428" t="n">
        <f aca="false">IF(25&gt;Haltedauer,0,INDEX(Projektion!$D$36:$AQ$36,25)+Miete_Ist_J1*0.05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08" s="428" t="n">
        <f aca="false">IF(26&gt;Haltedauer,0,INDEX(Projektion!$D$36:$AQ$36,26)+Miete_Ist_J1*0.05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08" s="428" t="n">
        <f aca="false">IF(27&gt;Haltedauer,0,INDEX(Projektion!$D$36:$AQ$36,27)+Miete_Ist_J1*0.05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08" s="428" t="n">
        <f aca="false">IF(28&gt;Haltedauer,0,INDEX(Projektion!$D$36:$AQ$36,28)+Miete_Ist_J1*0.05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08" s="428" t="n">
        <f aca="false">IF(29&gt;Haltedauer,0,INDEX(Projektion!$D$36:$AQ$36,29)+Miete_Ist_J1*0.05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08" s="428" t="n">
        <f aca="false">IF(30&gt;Haltedauer,0,INDEX(Projektion!$D$36:$AQ$36,30)+Miete_Ist_J1*0.05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08" s="428" t="n">
        <f aca="false">IF(31&gt;Haltedauer,0,INDEX(Projektion!$D$36:$AQ$36,31)+Miete_Ist_J1*0.05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08" s="428" t="n">
        <f aca="false">IF(32&gt;Haltedauer,0,INDEX(Projektion!$D$36:$AQ$36,32)+Miete_Ist_J1*0.05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08" s="428" t="n">
        <f aca="false">IF(33&gt;Haltedauer,0,INDEX(Projektion!$D$36:$AQ$36,33)+Miete_Ist_J1*0.05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08" s="428" t="n">
        <f aca="false">IF(34&gt;Haltedauer,0,INDEX(Projektion!$D$36:$AQ$36,34)+Miete_Ist_J1*0.05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08" s="428" t="n">
        <f aca="false">IF(35&gt;Haltedauer,0,INDEX(Projektion!$D$36:$AQ$36,35)+Miete_Ist_J1*0.05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08" s="428" t="n">
        <f aca="false">IF(36&gt;Haltedauer,0,INDEX(Projektion!$D$36:$AQ$36,36)+Miete_Ist_J1*0.05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08" s="428" t="n">
        <f aca="false">IF(37&gt;Haltedauer,0,INDEX(Projektion!$D$36:$AQ$36,37)+Miete_Ist_J1*0.05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08" s="428" t="n">
        <f aca="false">IF(38&gt;Haltedauer,0,INDEX(Projektion!$D$36:$AQ$36,38)+Miete_Ist_J1*0.05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08" s="428" t="n">
        <f aca="false">IF(39&gt;Haltedauer,0,INDEX(Projektion!$D$36:$AQ$36,39)+Miete_Ist_J1*0.05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08" s="428" t="n">
        <f aca="false">IF(40&gt;Haltedauer,0,INDEX(Projektion!$D$36:$AQ$36,40)+Miete_Ist_J1*0.05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08" s="12"/>
    </row>
    <row r="109" customFormat="false" ht="15" hidden="true" customHeight="true" outlineLevel="1" collapsed="false">
      <c r="A109" s="12"/>
      <c r="B109" s="12"/>
      <c r="C109" s="427" t="s">
        <v>1207</v>
      </c>
      <c r="D109" s="428" t="n">
        <f aca="false">-Eigenkapital</f>
        <v>-78974.5</v>
      </c>
      <c r="E109" s="428" t="n">
        <f aca="false">IF(1&gt;Haltedauer,0,INDEX(Projektion!$D$36:$AQ$36,1)+Miete_Ist_J1*0.05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3375.53164432701</v>
      </c>
      <c r="F109" s="428" t="n">
        <f aca="false">IF(2&gt;Haltedauer,0,INDEX(Projektion!$D$36:$AQ$36,2)+Miete_Ist_J1*0.05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-2983.88566065699</v>
      </c>
      <c r="G109" s="428" t="n">
        <f aca="false">IF(3&gt;Haltedauer,0,INDEX(Projektion!$D$36:$AQ$36,3)+Miete_Ist_J1*0.05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-2984.02686518067</v>
      </c>
      <c r="H109" s="428" t="n">
        <f aca="false">IF(4&gt;Haltedauer,0,INDEX(Projektion!$D$36:$AQ$36,4)+Miete_Ist_J1*0.05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-2985.55110835866</v>
      </c>
      <c r="I109" s="428" t="n">
        <f aca="false">IF(5&gt;Haltedauer,0,INDEX(Projektion!$D$36:$AQ$36,5)+Miete_Ist_J1*0.05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-2988.53573868836</v>
      </c>
      <c r="J109" s="428" t="n">
        <f aca="false">IF(6&gt;Haltedauer,0,INDEX(Projektion!$D$36:$AQ$36,6)+Miete_Ist_J1*0.05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-2993.06144039515</v>
      </c>
      <c r="K109" s="428" t="n">
        <f aca="false">IF(7&gt;Haltedauer,0,INDEX(Projektion!$D$36:$AQ$36,7)+Miete_Ist_J1*0.05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-2999.21236454233</v>
      </c>
      <c r="L109" s="428" t="n">
        <f aca="false">IF(8&gt;Haltedauer,0,INDEX(Projektion!$D$36:$AQ$36,8)+Miete_Ist_J1*0.05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-3007.07626508134</v>
      </c>
      <c r="M109" s="428" t="n">
        <f aca="false">IF(9&gt;Haltedauer,0,INDEX(Projektion!$D$36:$AQ$36,9)+Miete_Ist_J1*0.05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-3016.74464002471</v>
      </c>
      <c r="N109" s="428" t="n">
        <f aca="false">IF(10&gt;Haltedauer,0,INDEX(Projektion!$D$36:$AQ$36,10)+Miete_Ist_J1*0.05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-3028.31287793072</v>
      </c>
      <c r="O109" s="428" t="n">
        <f aca="false">IF(11&gt;Haltedauer,0,INDEX(Projektion!$D$36:$AQ$36,11)+Miete_Ist_J1*0.05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-2616.46548631258</v>
      </c>
      <c r="P109" s="428" t="n">
        <f aca="false">IF(12&gt;Haltedauer,0,INDEX(Projektion!$D$36:$AQ$36,12)+Miete_Ist_J1*0.05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283345.889798097</v>
      </c>
      <c r="Q109" s="428" t="n">
        <f aca="false">IF(13&gt;Haltedauer,0,INDEX(Projektion!$D$36:$AQ$36,13)+Miete_Ist_J1*0.05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09" s="428" t="n">
        <f aca="false">IF(14&gt;Haltedauer,0,INDEX(Projektion!$D$36:$AQ$36,14)+Miete_Ist_J1*0.05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09" s="428" t="n">
        <f aca="false">IF(15&gt;Haltedauer,0,INDEX(Projektion!$D$36:$AQ$36,15)+Miete_Ist_J1*0.05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09" s="428" t="n">
        <f aca="false">IF(16&gt;Haltedauer,0,INDEX(Projektion!$D$36:$AQ$36,16)+Miete_Ist_J1*0.05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09" s="428" t="n">
        <f aca="false">IF(17&gt;Haltedauer,0,INDEX(Projektion!$D$36:$AQ$36,17)+Miete_Ist_J1*0.05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09" s="428" t="n">
        <f aca="false">IF(18&gt;Haltedauer,0,INDEX(Projektion!$D$36:$AQ$36,18)+Miete_Ist_J1*0.05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09" s="428" t="n">
        <f aca="false">IF(19&gt;Haltedauer,0,INDEX(Projektion!$D$36:$AQ$36,19)+Miete_Ist_J1*0.05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09" s="428" t="n">
        <f aca="false">IF(20&gt;Haltedauer,0,INDEX(Projektion!$D$36:$AQ$36,20)+Miete_Ist_J1*0.05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09" s="428" t="n">
        <f aca="false">IF(21&gt;Haltedauer,0,INDEX(Projektion!$D$36:$AQ$36,21)+Miete_Ist_J1*0.05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09" s="428" t="n">
        <f aca="false">IF(22&gt;Haltedauer,0,INDEX(Projektion!$D$36:$AQ$36,22)+Miete_Ist_J1*0.05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09" s="428" t="n">
        <f aca="false">IF(23&gt;Haltedauer,0,INDEX(Projektion!$D$36:$AQ$36,23)+Miete_Ist_J1*0.05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09" s="428" t="n">
        <f aca="false">IF(24&gt;Haltedauer,0,INDEX(Projektion!$D$36:$AQ$36,24)+Miete_Ist_J1*0.05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09" s="428" t="n">
        <f aca="false">IF(25&gt;Haltedauer,0,INDEX(Projektion!$D$36:$AQ$36,25)+Miete_Ist_J1*0.05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09" s="428" t="n">
        <f aca="false">IF(26&gt;Haltedauer,0,INDEX(Projektion!$D$36:$AQ$36,26)+Miete_Ist_J1*0.05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09" s="428" t="n">
        <f aca="false">IF(27&gt;Haltedauer,0,INDEX(Projektion!$D$36:$AQ$36,27)+Miete_Ist_J1*0.05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09" s="428" t="n">
        <f aca="false">IF(28&gt;Haltedauer,0,INDEX(Projektion!$D$36:$AQ$36,28)+Miete_Ist_J1*0.05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09" s="428" t="n">
        <f aca="false">IF(29&gt;Haltedauer,0,INDEX(Projektion!$D$36:$AQ$36,29)+Miete_Ist_J1*0.05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09" s="428" t="n">
        <f aca="false">IF(30&gt;Haltedauer,0,INDEX(Projektion!$D$36:$AQ$36,30)+Miete_Ist_J1*0.05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09" s="428" t="n">
        <f aca="false">IF(31&gt;Haltedauer,0,INDEX(Projektion!$D$36:$AQ$36,31)+Miete_Ist_J1*0.05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09" s="428" t="n">
        <f aca="false">IF(32&gt;Haltedauer,0,INDEX(Projektion!$D$36:$AQ$36,32)+Miete_Ist_J1*0.05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09" s="428" t="n">
        <f aca="false">IF(33&gt;Haltedauer,0,INDEX(Projektion!$D$36:$AQ$36,33)+Miete_Ist_J1*0.05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09" s="428" t="n">
        <f aca="false">IF(34&gt;Haltedauer,0,INDEX(Projektion!$D$36:$AQ$36,34)+Miete_Ist_J1*0.05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09" s="428" t="n">
        <f aca="false">IF(35&gt;Haltedauer,0,INDEX(Projektion!$D$36:$AQ$36,35)+Miete_Ist_J1*0.05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09" s="428" t="n">
        <f aca="false">IF(36&gt;Haltedauer,0,INDEX(Projektion!$D$36:$AQ$36,36)+Miete_Ist_J1*0.05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09" s="428" t="n">
        <f aca="false">IF(37&gt;Haltedauer,0,INDEX(Projektion!$D$36:$AQ$36,37)+Miete_Ist_J1*0.05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09" s="428" t="n">
        <f aca="false">IF(38&gt;Haltedauer,0,INDEX(Projektion!$D$36:$AQ$36,38)+Miete_Ist_J1*0.05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09" s="428" t="n">
        <f aca="false">IF(39&gt;Haltedauer,0,INDEX(Projektion!$D$36:$AQ$36,39)+Miete_Ist_J1*0.05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09" s="428" t="n">
        <f aca="false">IF(40&gt;Haltedauer,0,INDEX(Projektion!$D$36:$AQ$36,40)+Miete_Ist_J1*0.05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09" s="12"/>
    </row>
    <row r="110" customFormat="false" ht="15" hidden="true" customHeight="true" outlineLevel="1" collapsed="false">
      <c r="A110" s="12"/>
      <c r="B110" s="12"/>
      <c r="C110" s="427" t="s">
        <v>1208</v>
      </c>
      <c r="D110" s="428" t="n">
        <f aca="false">-Eigenkapital</f>
        <v>-78974.5</v>
      </c>
      <c r="E110" s="428" t="n">
        <f aca="false">IF(1&gt;Haltedauer,0,INDEX(Projektion!$D$36:$AQ$36,1)+Miete_Ist_J1*0.1*(1+Mietsteigerung)^0*(1-Steuersatz_J1)+IF(1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3672.66673912701</v>
      </c>
      <c r="F110" s="428" t="n">
        <f aca="false">IF(2&gt;Haltedauer,0,INDEX(Projektion!$D$36:$AQ$36,2)+Miete_Ist_J1*0.1*(1+Mietsteigerung)^1*(1-Steuersatz_J1)+IF(2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-2680.80786396099</v>
      </c>
      <c r="G110" s="428" t="n">
        <f aca="false">IF(3&gt;Haltedauer,0,INDEX(Projektion!$D$36:$AQ$36,3)+Miete_Ist_J1*0.1*(1+Mietsteigerung)^2*(1-Steuersatz_J1)+IF(3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-2674.88751255075</v>
      </c>
      <c r="H110" s="428" t="n">
        <f aca="false">IF(4&gt;Haltedauer,0,INDEX(Projektion!$D$36:$AQ$36,4)+Miete_Ist_J1*0.1*(1+Mietsteigerung)^3*(1-Steuersatz_J1)+IF(4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-2670.22896867615</v>
      </c>
      <c r="I110" s="428" t="n">
        <f aca="false">IF(5&gt;Haltedauer,0,INDEX(Projektion!$D$36:$AQ$36,5)+Miete_Ist_J1*0.1*(1+Mietsteigerung)^4*(1-Steuersatz_J1)+IF(5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-2666.90715621219</v>
      </c>
      <c r="J110" s="428" t="n">
        <f aca="false">IF(6&gt;Haltedauer,0,INDEX(Projektion!$D$36:$AQ$36,6)+Miete_Ist_J1*0.1*(1+Mietsteigerung)^5*(1-Steuersatz_J1)+IF(6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-2665.00028626946</v>
      </c>
      <c r="K110" s="428" t="n">
        <f aca="false">IF(7&gt;Haltedauer,0,INDEX(Projektion!$D$36:$AQ$36,7)+Miete_Ist_J1*0.1*(1+Mietsteigerung)^6*(1-Steuersatz_J1)+IF(7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-2664.58998733413</v>
      </c>
      <c r="L110" s="428" t="n">
        <f aca="false">IF(8&gt;Haltedauer,0,INDEX(Projektion!$D$36:$AQ$36,8)+Miete_Ist_J1*0.1*(1+Mietsteigerung)^7*(1-Steuersatz_J1)+IF(8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-2665.76144032897</v>
      </c>
      <c r="M110" s="428" t="n">
        <f aca="false">IF(9&gt;Haltedauer,0,INDEX(Projektion!$D$36:$AQ$36,9)+Miete_Ist_J1*0.1*(1+Mietsteigerung)^8*(1-Steuersatz_J1)+IF(9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-2668.60351877729</v>
      </c>
      <c r="N110" s="428" t="n">
        <f aca="false">IF(10&gt;Haltedauer,0,INDEX(Projektion!$D$36:$AQ$36,10)+Miete_Ist_J1*0.1*(1+Mietsteigerung)^9*(1-Steuersatz_J1)+IF(10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-2673.20893425835</v>
      </c>
      <c r="O110" s="428" t="n">
        <f aca="false">IF(11&gt;Haltedauer,0,INDEX(Projektion!$D$36:$AQ$36,11)+Miete_Ist_J1*0.1*(1+Mietsteigerung)^10*(1-Steuersatz_J1)+IF(11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-2254.25946376676</v>
      </c>
      <c r="P110" s="428" t="n">
        <f aca="false">IF(12&gt;Haltedauer,0,INDEX(Projektion!$D$36:$AQ$36,12)+Miete_Ist_J1*0.1*(1+Mietsteigerung)^11*(1-Steuersatz_J1)+IF(12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108778.902404784</v>
      </c>
      <c r="Q110" s="428" t="n">
        <f aca="false">IF(13&gt;Haltedauer,0,INDEX(Projektion!$D$36:$AQ$36,13)+Miete_Ist_J1*0.1*(1+Mietsteigerung)^12*(1-Steuersatz_J1)+IF(13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R110" s="428" t="n">
        <f aca="false">IF(14&gt;Haltedauer,0,INDEX(Projektion!$D$36:$AQ$36,14)+Miete_Ist_J1*0.1*(1+Mietsteigerung)^13*(1-Steuersatz_J1)+IF(14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S110" s="428" t="n">
        <f aca="false">IF(15&gt;Haltedauer,0,INDEX(Projektion!$D$36:$AQ$36,15)+Miete_Ist_J1*0.1*(1+Mietsteigerung)^14*(1-Steuersatz_J1)+IF(15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T110" s="428" t="n">
        <f aca="false">IF(16&gt;Haltedauer,0,INDEX(Projektion!$D$36:$AQ$36,16)+Miete_Ist_J1*0.1*(1+Mietsteigerung)^15*(1-Steuersatz_J1)+IF(16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U110" s="428" t="n">
        <f aca="false">IF(17&gt;Haltedauer,0,INDEX(Projektion!$D$36:$AQ$36,17)+Miete_Ist_J1*0.1*(1+Mietsteigerung)^16*(1-Steuersatz_J1)+IF(17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V110" s="428" t="n">
        <f aca="false">IF(18&gt;Haltedauer,0,INDEX(Projektion!$D$36:$AQ$36,18)+Miete_Ist_J1*0.1*(1+Mietsteigerung)^17*(1-Steuersatz_J1)+IF(18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W110" s="428" t="n">
        <f aca="false">IF(19&gt;Haltedauer,0,INDEX(Projektion!$D$36:$AQ$36,19)+Miete_Ist_J1*0.1*(1+Mietsteigerung)^18*(1-Steuersatz_J1)+IF(19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X110" s="428" t="n">
        <f aca="false">IF(20&gt;Haltedauer,0,INDEX(Projektion!$D$36:$AQ$36,20)+Miete_Ist_J1*0.1*(1+Mietsteigerung)^19*(1-Steuersatz_J1)+IF(20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Y110" s="428" t="n">
        <f aca="false">IF(21&gt;Haltedauer,0,INDEX(Projektion!$D$36:$AQ$36,21)+Miete_Ist_J1*0.1*(1+Mietsteigerung)^20*(1-Steuersatz_J1)+IF(21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Z110" s="428" t="n">
        <f aca="false">IF(22&gt;Haltedauer,0,INDEX(Projektion!$D$36:$AQ$36,22)+Miete_Ist_J1*0.1*(1+Mietsteigerung)^21*(1-Steuersatz_J1)+IF(22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A110" s="428" t="n">
        <f aca="false">IF(23&gt;Haltedauer,0,INDEX(Projektion!$D$36:$AQ$36,23)+Miete_Ist_J1*0.1*(1+Mietsteigerung)^22*(1-Steuersatz_J1)+IF(23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B110" s="428" t="n">
        <f aca="false">IF(24&gt;Haltedauer,0,INDEX(Projektion!$D$36:$AQ$36,24)+Miete_Ist_J1*0.1*(1+Mietsteigerung)^23*(1-Steuersatz_J1)+IF(24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C110" s="428" t="n">
        <f aca="false">IF(25&gt;Haltedauer,0,INDEX(Projektion!$D$36:$AQ$36,25)+Miete_Ist_J1*0.1*(1+Mietsteigerung)^24*(1-Steuersatz_J1)+IF(25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D110" s="428" t="n">
        <f aca="false">IF(26&gt;Haltedauer,0,INDEX(Projektion!$D$36:$AQ$36,26)+Miete_Ist_J1*0.1*(1+Mietsteigerung)^25*(1-Steuersatz_J1)+IF(26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E110" s="428" t="n">
        <f aca="false">IF(27&gt;Haltedauer,0,INDEX(Projektion!$D$36:$AQ$36,27)+Miete_Ist_J1*0.1*(1+Mietsteigerung)^26*(1-Steuersatz_J1)+IF(27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F110" s="428" t="n">
        <f aca="false">IF(28&gt;Haltedauer,0,INDEX(Projektion!$D$36:$AQ$36,28)+Miete_Ist_J1*0.1*(1+Mietsteigerung)^27*(1-Steuersatz_J1)+IF(28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G110" s="428" t="n">
        <f aca="false">IF(29&gt;Haltedauer,0,INDEX(Projektion!$D$36:$AQ$36,29)+Miete_Ist_J1*0.1*(1+Mietsteigerung)^28*(1-Steuersatz_J1)+IF(29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H110" s="428" t="n">
        <f aca="false">IF(30&gt;Haltedauer,0,INDEX(Projektion!$D$36:$AQ$36,30)+Miete_Ist_J1*0.1*(1+Mietsteigerung)^29*(1-Steuersatz_J1)+IF(30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I110" s="428" t="n">
        <f aca="false">IF(31&gt;Haltedauer,0,INDEX(Projektion!$D$36:$AQ$36,31)+Miete_Ist_J1*0.1*(1+Mietsteigerung)^30*(1-Steuersatz_J1)+IF(31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J110" s="428" t="n">
        <f aca="false">IF(32&gt;Haltedauer,0,INDEX(Projektion!$D$36:$AQ$36,32)+Miete_Ist_J1*0.1*(1+Mietsteigerung)^31*(1-Steuersatz_J1)+IF(32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K110" s="428" t="n">
        <f aca="false">IF(33&gt;Haltedauer,0,INDEX(Projektion!$D$36:$AQ$36,33)+Miete_Ist_J1*0.1*(1+Mietsteigerung)^32*(1-Steuersatz_J1)+IF(33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L110" s="428" t="n">
        <f aca="false">IF(34&gt;Haltedauer,0,INDEX(Projektion!$D$36:$AQ$36,34)+Miete_Ist_J1*0.1*(1+Mietsteigerung)^33*(1-Steuersatz_J1)+IF(34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M110" s="428" t="n">
        <f aca="false">IF(35&gt;Haltedauer,0,INDEX(Projektion!$D$36:$AQ$36,35)+Miete_Ist_J1*0.1*(1+Mietsteigerung)^34*(1-Steuersatz_J1)+IF(35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N110" s="428" t="n">
        <f aca="false">IF(36&gt;Haltedauer,0,INDEX(Projektion!$D$36:$AQ$36,36)+Miete_Ist_J1*0.1*(1+Mietsteigerung)^35*(1-Steuersatz_J1)+IF(36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O110" s="428" t="n">
        <f aca="false">IF(37&gt;Haltedauer,0,INDEX(Projektion!$D$36:$AQ$36,37)+Miete_Ist_J1*0.1*(1+Mietsteigerung)^36*(1-Steuersatz_J1)+IF(37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P110" s="428" t="n">
        <f aca="false">IF(38&gt;Haltedauer,0,INDEX(Projektion!$D$36:$AQ$36,38)+Miete_Ist_J1*0.1*(1+Mietsteigerung)^37*(1-Steuersatz_J1)+IF(38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Q110" s="428" t="n">
        <f aca="false">IF(39&gt;Haltedauer,0,INDEX(Projektion!$D$36:$AQ$36,39)+Miete_Ist_J1*0.1*(1+Mietsteigerung)^38*(1-Steuersatz_J1)+IF(39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R110" s="428" t="n">
        <f aca="false">IF(40&gt;Haltedauer,0,INDEX(Projektion!$D$36:$AQ$36,40)+Miete_Ist_J1*0.1*(1+Mietsteigerung)^39*(1-Steuersatz_J1)+IF(40=Haltedauer,((Kaufpreis+Investition_J1*Reno_Wertsteigerung_Pct)*(1+0)^Haltedauer*(1-Verkaufskosten_Pct)-Exit_Restschuld-IF(Exit_steuerpflichtig=1,MAX(0,(Kaufpreis+Investition_J1*Reno_Wertsteigerung_Pct)*(1+0)^Haltedauer*(1-Verkaufskosten_Pct)-Exit_Buchwert-Exit_VV)*Exit_Steuersatz,0)),0))</f>
        <v>0</v>
      </c>
      <c r="AS110" s="12"/>
    </row>
    <row r="111" customFormat="false" ht="15" hidden="true" customHeight="true" outlineLevel="1" collapsed="false">
      <c r="A111" s="12"/>
      <c r="B111" s="12"/>
      <c r="C111" s="427" t="s">
        <v>1209</v>
      </c>
      <c r="D111" s="428" t="n">
        <f aca="false">-Eigenkapital</f>
        <v>-78974.5</v>
      </c>
      <c r="E111" s="428" t="n">
        <f aca="false">IF(1&gt;Haltedauer,0,INDEX(Projektion!$D$36:$AQ$36,1)+Miete_Ist_J1*0.1*(1+Mietsteigerung)^0*(1-Steuersatz_J1)+IF(1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3672.66673912701</v>
      </c>
      <c r="F111" s="428" t="n">
        <f aca="false">IF(2&gt;Haltedauer,0,INDEX(Projektion!$D$36:$AQ$36,2)+Miete_Ist_J1*0.1*(1+Mietsteigerung)^1*(1-Steuersatz_J1)+IF(2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-2680.80786396099</v>
      </c>
      <c r="G111" s="428" t="n">
        <f aca="false">IF(3&gt;Haltedauer,0,INDEX(Projektion!$D$36:$AQ$36,3)+Miete_Ist_J1*0.1*(1+Mietsteigerung)^2*(1-Steuersatz_J1)+IF(3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-2674.88751255075</v>
      </c>
      <c r="H111" s="428" t="n">
        <f aca="false">IF(4&gt;Haltedauer,0,INDEX(Projektion!$D$36:$AQ$36,4)+Miete_Ist_J1*0.1*(1+Mietsteigerung)^3*(1-Steuersatz_J1)+IF(4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-2670.22896867615</v>
      </c>
      <c r="I111" s="428" t="n">
        <f aca="false">IF(5&gt;Haltedauer,0,INDEX(Projektion!$D$36:$AQ$36,5)+Miete_Ist_J1*0.1*(1+Mietsteigerung)^4*(1-Steuersatz_J1)+IF(5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-2666.90715621219</v>
      </c>
      <c r="J111" s="428" t="n">
        <f aca="false">IF(6&gt;Haltedauer,0,INDEX(Projektion!$D$36:$AQ$36,6)+Miete_Ist_J1*0.1*(1+Mietsteigerung)^5*(1-Steuersatz_J1)+IF(6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-2665.00028626946</v>
      </c>
      <c r="K111" s="428" t="n">
        <f aca="false">IF(7&gt;Haltedauer,0,INDEX(Projektion!$D$36:$AQ$36,7)+Miete_Ist_J1*0.1*(1+Mietsteigerung)^6*(1-Steuersatz_J1)+IF(7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-2664.58998733413</v>
      </c>
      <c r="L111" s="428" t="n">
        <f aca="false">IF(8&gt;Haltedauer,0,INDEX(Projektion!$D$36:$AQ$36,8)+Miete_Ist_J1*0.1*(1+Mietsteigerung)^7*(1-Steuersatz_J1)+IF(8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-2665.76144032897</v>
      </c>
      <c r="M111" s="428" t="n">
        <f aca="false">IF(9&gt;Haltedauer,0,INDEX(Projektion!$D$36:$AQ$36,9)+Miete_Ist_J1*0.1*(1+Mietsteigerung)^8*(1-Steuersatz_J1)+IF(9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-2668.60351877729</v>
      </c>
      <c r="N111" s="428" t="n">
        <f aca="false">IF(10&gt;Haltedauer,0,INDEX(Projektion!$D$36:$AQ$36,10)+Miete_Ist_J1*0.1*(1+Mietsteigerung)^9*(1-Steuersatz_J1)+IF(10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-2673.20893425835</v>
      </c>
      <c r="O111" s="428" t="n">
        <f aca="false">IF(11&gt;Haltedauer,0,INDEX(Projektion!$D$36:$AQ$36,11)+Miete_Ist_J1*0.1*(1+Mietsteigerung)^10*(1-Steuersatz_J1)+IF(11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-2254.25946376676</v>
      </c>
      <c r="P111" s="428" t="n">
        <f aca="false">IF(12&gt;Haltedauer,0,INDEX(Projektion!$D$36:$AQ$36,12)+Miete_Ist_J1*0.1*(1+Mietsteigerung)^11*(1-Steuersatz_J1)+IF(12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145692.595674995</v>
      </c>
      <c r="Q111" s="428" t="n">
        <f aca="false">IF(13&gt;Haltedauer,0,INDEX(Projektion!$D$36:$AQ$36,13)+Miete_Ist_J1*0.1*(1+Mietsteigerung)^12*(1-Steuersatz_J1)+IF(13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R111" s="428" t="n">
        <f aca="false">IF(14&gt;Haltedauer,0,INDEX(Projektion!$D$36:$AQ$36,14)+Miete_Ist_J1*0.1*(1+Mietsteigerung)^13*(1-Steuersatz_J1)+IF(14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S111" s="428" t="n">
        <f aca="false">IF(15&gt;Haltedauer,0,INDEX(Projektion!$D$36:$AQ$36,15)+Miete_Ist_J1*0.1*(1+Mietsteigerung)^14*(1-Steuersatz_J1)+IF(15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T111" s="428" t="n">
        <f aca="false">IF(16&gt;Haltedauer,0,INDEX(Projektion!$D$36:$AQ$36,16)+Miete_Ist_J1*0.1*(1+Mietsteigerung)^15*(1-Steuersatz_J1)+IF(16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U111" s="428" t="n">
        <f aca="false">IF(17&gt;Haltedauer,0,INDEX(Projektion!$D$36:$AQ$36,17)+Miete_Ist_J1*0.1*(1+Mietsteigerung)^16*(1-Steuersatz_J1)+IF(17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V111" s="428" t="n">
        <f aca="false">IF(18&gt;Haltedauer,0,INDEX(Projektion!$D$36:$AQ$36,18)+Miete_Ist_J1*0.1*(1+Mietsteigerung)^17*(1-Steuersatz_J1)+IF(18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W111" s="428" t="n">
        <f aca="false">IF(19&gt;Haltedauer,0,INDEX(Projektion!$D$36:$AQ$36,19)+Miete_Ist_J1*0.1*(1+Mietsteigerung)^18*(1-Steuersatz_J1)+IF(19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X111" s="428" t="n">
        <f aca="false">IF(20&gt;Haltedauer,0,INDEX(Projektion!$D$36:$AQ$36,20)+Miete_Ist_J1*0.1*(1+Mietsteigerung)^19*(1-Steuersatz_J1)+IF(20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Y111" s="428" t="n">
        <f aca="false">IF(21&gt;Haltedauer,0,INDEX(Projektion!$D$36:$AQ$36,21)+Miete_Ist_J1*0.1*(1+Mietsteigerung)^20*(1-Steuersatz_J1)+IF(21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Z111" s="428" t="n">
        <f aca="false">IF(22&gt;Haltedauer,0,INDEX(Projektion!$D$36:$AQ$36,22)+Miete_Ist_J1*0.1*(1+Mietsteigerung)^21*(1-Steuersatz_J1)+IF(22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A111" s="428" t="n">
        <f aca="false">IF(23&gt;Haltedauer,0,INDEX(Projektion!$D$36:$AQ$36,23)+Miete_Ist_J1*0.1*(1+Mietsteigerung)^22*(1-Steuersatz_J1)+IF(23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B111" s="428" t="n">
        <f aca="false">IF(24&gt;Haltedauer,0,INDEX(Projektion!$D$36:$AQ$36,24)+Miete_Ist_J1*0.1*(1+Mietsteigerung)^23*(1-Steuersatz_J1)+IF(24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C111" s="428" t="n">
        <f aca="false">IF(25&gt;Haltedauer,0,INDEX(Projektion!$D$36:$AQ$36,25)+Miete_Ist_J1*0.1*(1+Mietsteigerung)^24*(1-Steuersatz_J1)+IF(25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D111" s="428" t="n">
        <f aca="false">IF(26&gt;Haltedauer,0,INDEX(Projektion!$D$36:$AQ$36,26)+Miete_Ist_J1*0.1*(1+Mietsteigerung)^25*(1-Steuersatz_J1)+IF(26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E111" s="428" t="n">
        <f aca="false">IF(27&gt;Haltedauer,0,INDEX(Projektion!$D$36:$AQ$36,27)+Miete_Ist_J1*0.1*(1+Mietsteigerung)^26*(1-Steuersatz_J1)+IF(27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F111" s="428" t="n">
        <f aca="false">IF(28&gt;Haltedauer,0,INDEX(Projektion!$D$36:$AQ$36,28)+Miete_Ist_J1*0.1*(1+Mietsteigerung)^27*(1-Steuersatz_J1)+IF(28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G111" s="428" t="n">
        <f aca="false">IF(29&gt;Haltedauer,0,INDEX(Projektion!$D$36:$AQ$36,29)+Miete_Ist_J1*0.1*(1+Mietsteigerung)^28*(1-Steuersatz_J1)+IF(29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H111" s="428" t="n">
        <f aca="false">IF(30&gt;Haltedauer,0,INDEX(Projektion!$D$36:$AQ$36,30)+Miete_Ist_J1*0.1*(1+Mietsteigerung)^29*(1-Steuersatz_J1)+IF(30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I111" s="428" t="n">
        <f aca="false">IF(31&gt;Haltedauer,0,INDEX(Projektion!$D$36:$AQ$36,31)+Miete_Ist_J1*0.1*(1+Mietsteigerung)^30*(1-Steuersatz_J1)+IF(31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J111" s="428" t="n">
        <f aca="false">IF(32&gt;Haltedauer,0,INDEX(Projektion!$D$36:$AQ$36,32)+Miete_Ist_J1*0.1*(1+Mietsteigerung)^31*(1-Steuersatz_J1)+IF(32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K111" s="428" t="n">
        <f aca="false">IF(33&gt;Haltedauer,0,INDEX(Projektion!$D$36:$AQ$36,33)+Miete_Ist_J1*0.1*(1+Mietsteigerung)^32*(1-Steuersatz_J1)+IF(33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L111" s="428" t="n">
        <f aca="false">IF(34&gt;Haltedauer,0,INDEX(Projektion!$D$36:$AQ$36,34)+Miete_Ist_J1*0.1*(1+Mietsteigerung)^33*(1-Steuersatz_J1)+IF(34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M111" s="428" t="n">
        <f aca="false">IF(35&gt;Haltedauer,0,INDEX(Projektion!$D$36:$AQ$36,35)+Miete_Ist_J1*0.1*(1+Mietsteigerung)^34*(1-Steuersatz_J1)+IF(35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N111" s="428" t="n">
        <f aca="false">IF(36&gt;Haltedauer,0,INDEX(Projektion!$D$36:$AQ$36,36)+Miete_Ist_J1*0.1*(1+Mietsteigerung)^35*(1-Steuersatz_J1)+IF(36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O111" s="428" t="n">
        <f aca="false">IF(37&gt;Haltedauer,0,INDEX(Projektion!$D$36:$AQ$36,37)+Miete_Ist_J1*0.1*(1+Mietsteigerung)^36*(1-Steuersatz_J1)+IF(37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P111" s="428" t="n">
        <f aca="false">IF(38&gt;Haltedauer,0,INDEX(Projektion!$D$36:$AQ$36,38)+Miete_Ist_J1*0.1*(1+Mietsteigerung)^37*(1-Steuersatz_J1)+IF(38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Q111" s="428" t="n">
        <f aca="false">IF(39&gt;Haltedauer,0,INDEX(Projektion!$D$36:$AQ$36,39)+Miete_Ist_J1*0.1*(1+Mietsteigerung)^38*(1-Steuersatz_J1)+IF(39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R111" s="428" t="n">
        <f aca="false">IF(40&gt;Haltedauer,0,INDEX(Projektion!$D$36:$AQ$36,40)+Miete_Ist_J1*0.1*(1+Mietsteigerung)^39*(1-Steuersatz_J1)+IF(40=Haltedauer,((Kaufpreis+Investition_J1*Reno_Wertsteigerung_Pct)*(1+0.01)^Haltedauer*(1-Verkaufskosten_Pct)-Exit_Restschuld-IF(Exit_steuerpflichtig=1,MAX(0,(Kaufpreis+Investition_J1*Reno_Wertsteigerung_Pct)*(1+0.01)^Haltedauer*(1-Verkaufskosten_Pct)-Exit_Buchwert-Exit_VV)*Exit_Steuersatz,0)),0))</f>
        <v>0</v>
      </c>
      <c r="AS111" s="12"/>
    </row>
    <row r="112" customFormat="false" ht="15" hidden="true" customHeight="true" outlineLevel="1" collapsed="false">
      <c r="A112" s="12"/>
      <c r="B112" s="12"/>
      <c r="C112" s="427" t="s">
        <v>1210</v>
      </c>
      <c r="D112" s="428" t="n">
        <f aca="false">-Eigenkapital</f>
        <v>-78974.5</v>
      </c>
      <c r="E112" s="428" t="n">
        <f aca="false">IF(1&gt;Haltedauer,0,INDEX(Projektion!$D$36:$AQ$36,1)+Miete_Ist_J1*0.1*(1+Mietsteigerung)^0*(1-Steuersatz_J1)+IF(1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3672.66673912701</v>
      </c>
      <c r="F112" s="428" t="n">
        <f aca="false">IF(2&gt;Haltedauer,0,INDEX(Projektion!$D$36:$AQ$36,2)+Miete_Ist_J1*0.1*(1+Mietsteigerung)^1*(1-Steuersatz_J1)+IF(2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-2680.80786396099</v>
      </c>
      <c r="G112" s="428" t="n">
        <f aca="false">IF(3&gt;Haltedauer,0,INDEX(Projektion!$D$36:$AQ$36,3)+Miete_Ist_J1*0.1*(1+Mietsteigerung)^2*(1-Steuersatz_J1)+IF(3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-2674.88751255075</v>
      </c>
      <c r="H112" s="428" t="n">
        <f aca="false">IF(4&gt;Haltedauer,0,INDEX(Projektion!$D$36:$AQ$36,4)+Miete_Ist_J1*0.1*(1+Mietsteigerung)^3*(1-Steuersatz_J1)+IF(4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-2670.22896867615</v>
      </c>
      <c r="I112" s="428" t="n">
        <f aca="false">IF(5&gt;Haltedauer,0,INDEX(Projektion!$D$36:$AQ$36,5)+Miete_Ist_J1*0.1*(1+Mietsteigerung)^4*(1-Steuersatz_J1)+IF(5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-2666.90715621219</v>
      </c>
      <c r="J112" s="428" t="n">
        <f aca="false">IF(6&gt;Haltedauer,0,INDEX(Projektion!$D$36:$AQ$36,6)+Miete_Ist_J1*0.1*(1+Mietsteigerung)^5*(1-Steuersatz_J1)+IF(6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-2665.00028626946</v>
      </c>
      <c r="K112" s="428" t="n">
        <f aca="false">IF(7&gt;Haltedauer,0,INDEX(Projektion!$D$36:$AQ$36,7)+Miete_Ist_J1*0.1*(1+Mietsteigerung)^6*(1-Steuersatz_J1)+IF(7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-2664.58998733413</v>
      </c>
      <c r="L112" s="428" t="n">
        <f aca="false">IF(8&gt;Haltedauer,0,INDEX(Projektion!$D$36:$AQ$36,8)+Miete_Ist_J1*0.1*(1+Mietsteigerung)^7*(1-Steuersatz_J1)+IF(8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-2665.76144032897</v>
      </c>
      <c r="M112" s="428" t="n">
        <f aca="false">IF(9&gt;Haltedauer,0,INDEX(Projektion!$D$36:$AQ$36,9)+Miete_Ist_J1*0.1*(1+Mietsteigerung)^8*(1-Steuersatz_J1)+IF(9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-2668.60351877729</v>
      </c>
      <c r="N112" s="428" t="n">
        <f aca="false">IF(10&gt;Haltedauer,0,INDEX(Projektion!$D$36:$AQ$36,10)+Miete_Ist_J1*0.1*(1+Mietsteigerung)^9*(1-Steuersatz_J1)+IF(10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-2673.20893425835</v>
      </c>
      <c r="O112" s="428" t="n">
        <f aca="false">IF(11&gt;Haltedauer,0,INDEX(Projektion!$D$36:$AQ$36,11)+Miete_Ist_J1*0.1*(1+Mietsteigerung)^10*(1-Steuersatz_J1)+IF(11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-2254.25946376676</v>
      </c>
      <c r="P112" s="428" t="n">
        <f aca="false">IF(12&gt;Haltedauer,0,INDEX(Projektion!$D$36:$AQ$36,12)+Miete_Ist_J1*0.1*(1+Mietsteigerung)^11*(1-Steuersatz_J1)+IF(12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186853.359130158</v>
      </c>
      <c r="Q112" s="428" t="n">
        <f aca="false">IF(13&gt;Haltedauer,0,INDEX(Projektion!$D$36:$AQ$36,13)+Miete_Ist_J1*0.1*(1+Mietsteigerung)^12*(1-Steuersatz_J1)+IF(13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R112" s="428" t="n">
        <f aca="false">IF(14&gt;Haltedauer,0,INDEX(Projektion!$D$36:$AQ$36,14)+Miete_Ist_J1*0.1*(1+Mietsteigerung)^13*(1-Steuersatz_J1)+IF(14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S112" s="428" t="n">
        <f aca="false">IF(15&gt;Haltedauer,0,INDEX(Projektion!$D$36:$AQ$36,15)+Miete_Ist_J1*0.1*(1+Mietsteigerung)^14*(1-Steuersatz_J1)+IF(15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T112" s="428" t="n">
        <f aca="false">IF(16&gt;Haltedauer,0,INDEX(Projektion!$D$36:$AQ$36,16)+Miete_Ist_J1*0.1*(1+Mietsteigerung)^15*(1-Steuersatz_J1)+IF(16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U112" s="428" t="n">
        <f aca="false">IF(17&gt;Haltedauer,0,INDEX(Projektion!$D$36:$AQ$36,17)+Miete_Ist_J1*0.1*(1+Mietsteigerung)^16*(1-Steuersatz_J1)+IF(17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V112" s="428" t="n">
        <f aca="false">IF(18&gt;Haltedauer,0,INDEX(Projektion!$D$36:$AQ$36,18)+Miete_Ist_J1*0.1*(1+Mietsteigerung)^17*(1-Steuersatz_J1)+IF(18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W112" s="428" t="n">
        <f aca="false">IF(19&gt;Haltedauer,0,INDEX(Projektion!$D$36:$AQ$36,19)+Miete_Ist_J1*0.1*(1+Mietsteigerung)^18*(1-Steuersatz_J1)+IF(19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X112" s="428" t="n">
        <f aca="false">IF(20&gt;Haltedauer,0,INDEX(Projektion!$D$36:$AQ$36,20)+Miete_Ist_J1*0.1*(1+Mietsteigerung)^19*(1-Steuersatz_J1)+IF(20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Y112" s="428" t="n">
        <f aca="false">IF(21&gt;Haltedauer,0,INDEX(Projektion!$D$36:$AQ$36,21)+Miete_Ist_J1*0.1*(1+Mietsteigerung)^20*(1-Steuersatz_J1)+IF(21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Z112" s="428" t="n">
        <f aca="false">IF(22&gt;Haltedauer,0,INDEX(Projektion!$D$36:$AQ$36,22)+Miete_Ist_J1*0.1*(1+Mietsteigerung)^21*(1-Steuersatz_J1)+IF(22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A112" s="428" t="n">
        <f aca="false">IF(23&gt;Haltedauer,0,INDEX(Projektion!$D$36:$AQ$36,23)+Miete_Ist_J1*0.1*(1+Mietsteigerung)^22*(1-Steuersatz_J1)+IF(23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B112" s="428" t="n">
        <f aca="false">IF(24&gt;Haltedauer,0,INDEX(Projektion!$D$36:$AQ$36,24)+Miete_Ist_J1*0.1*(1+Mietsteigerung)^23*(1-Steuersatz_J1)+IF(24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C112" s="428" t="n">
        <f aca="false">IF(25&gt;Haltedauer,0,INDEX(Projektion!$D$36:$AQ$36,25)+Miete_Ist_J1*0.1*(1+Mietsteigerung)^24*(1-Steuersatz_J1)+IF(25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D112" s="428" t="n">
        <f aca="false">IF(26&gt;Haltedauer,0,INDEX(Projektion!$D$36:$AQ$36,26)+Miete_Ist_J1*0.1*(1+Mietsteigerung)^25*(1-Steuersatz_J1)+IF(26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E112" s="428" t="n">
        <f aca="false">IF(27&gt;Haltedauer,0,INDEX(Projektion!$D$36:$AQ$36,27)+Miete_Ist_J1*0.1*(1+Mietsteigerung)^26*(1-Steuersatz_J1)+IF(27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F112" s="428" t="n">
        <f aca="false">IF(28&gt;Haltedauer,0,INDEX(Projektion!$D$36:$AQ$36,28)+Miete_Ist_J1*0.1*(1+Mietsteigerung)^27*(1-Steuersatz_J1)+IF(28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G112" s="428" t="n">
        <f aca="false">IF(29&gt;Haltedauer,0,INDEX(Projektion!$D$36:$AQ$36,29)+Miete_Ist_J1*0.1*(1+Mietsteigerung)^28*(1-Steuersatz_J1)+IF(29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H112" s="428" t="n">
        <f aca="false">IF(30&gt;Haltedauer,0,INDEX(Projektion!$D$36:$AQ$36,30)+Miete_Ist_J1*0.1*(1+Mietsteigerung)^29*(1-Steuersatz_J1)+IF(30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I112" s="428" t="n">
        <f aca="false">IF(31&gt;Haltedauer,0,INDEX(Projektion!$D$36:$AQ$36,31)+Miete_Ist_J1*0.1*(1+Mietsteigerung)^30*(1-Steuersatz_J1)+IF(31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J112" s="428" t="n">
        <f aca="false">IF(32&gt;Haltedauer,0,INDEX(Projektion!$D$36:$AQ$36,32)+Miete_Ist_J1*0.1*(1+Mietsteigerung)^31*(1-Steuersatz_J1)+IF(32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K112" s="428" t="n">
        <f aca="false">IF(33&gt;Haltedauer,0,INDEX(Projektion!$D$36:$AQ$36,33)+Miete_Ist_J1*0.1*(1+Mietsteigerung)^32*(1-Steuersatz_J1)+IF(33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L112" s="428" t="n">
        <f aca="false">IF(34&gt;Haltedauer,0,INDEX(Projektion!$D$36:$AQ$36,34)+Miete_Ist_J1*0.1*(1+Mietsteigerung)^33*(1-Steuersatz_J1)+IF(34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M112" s="428" t="n">
        <f aca="false">IF(35&gt;Haltedauer,0,INDEX(Projektion!$D$36:$AQ$36,35)+Miete_Ist_J1*0.1*(1+Mietsteigerung)^34*(1-Steuersatz_J1)+IF(35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N112" s="428" t="n">
        <f aca="false">IF(36&gt;Haltedauer,0,INDEX(Projektion!$D$36:$AQ$36,36)+Miete_Ist_J1*0.1*(1+Mietsteigerung)^35*(1-Steuersatz_J1)+IF(36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O112" s="428" t="n">
        <f aca="false">IF(37&gt;Haltedauer,0,INDEX(Projektion!$D$36:$AQ$36,37)+Miete_Ist_J1*0.1*(1+Mietsteigerung)^36*(1-Steuersatz_J1)+IF(37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P112" s="428" t="n">
        <f aca="false">IF(38&gt;Haltedauer,0,INDEX(Projektion!$D$36:$AQ$36,38)+Miete_Ist_J1*0.1*(1+Mietsteigerung)^37*(1-Steuersatz_J1)+IF(38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Q112" s="428" t="n">
        <f aca="false">IF(39&gt;Haltedauer,0,INDEX(Projektion!$D$36:$AQ$36,39)+Miete_Ist_J1*0.1*(1+Mietsteigerung)^38*(1-Steuersatz_J1)+IF(39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R112" s="428" t="n">
        <f aca="false">IF(40&gt;Haltedauer,0,INDEX(Projektion!$D$36:$AQ$36,40)+Miete_Ist_J1*0.1*(1+Mietsteigerung)^39*(1-Steuersatz_J1)+IF(40=Haltedauer,((Kaufpreis+Investition_J1*Reno_Wertsteigerung_Pct)*(1+0.02)^Haltedauer*(1-Verkaufskosten_Pct)-Exit_Restschuld-IF(Exit_steuerpflichtig=1,MAX(0,(Kaufpreis+Investition_J1*Reno_Wertsteigerung_Pct)*(1+0.02)^Haltedauer*(1-Verkaufskosten_Pct)-Exit_Buchwert-Exit_VV)*Exit_Steuersatz,0)),0))</f>
        <v>0</v>
      </c>
      <c r="AS112" s="12"/>
    </row>
    <row r="113" customFormat="false" ht="15" hidden="true" customHeight="true" outlineLevel="1" collapsed="false">
      <c r="A113" s="12"/>
      <c r="B113" s="12"/>
      <c r="C113" s="427" t="s">
        <v>1211</v>
      </c>
      <c r="D113" s="428" t="n">
        <f aca="false">-Eigenkapital</f>
        <v>-78974.5</v>
      </c>
      <c r="E113" s="428" t="n">
        <f aca="false">IF(1&gt;Haltedauer,0,INDEX(Projektion!$D$36:$AQ$36,1)+Miete_Ist_J1*0.1*(1+Mietsteigerung)^0*(1-Steuersatz_J1)+IF(1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3672.66673912701</v>
      </c>
      <c r="F113" s="428" t="n">
        <f aca="false">IF(2&gt;Haltedauer,0,INDEX(Projektion!$D$36:$AQ$36,2)+Miete_Ist_J1*0.1*(1+Mietsteigerung)^1*(1-Steuersatz_J1)+IF(2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-2680.80786396099</v>
      </c>
      <c r="G113" s="428" t="n">
        <f aca="false">IF(3&gt;Haltedauer,0,INDEX(Projektion!$D$36:$AQ$36,3)+Miete_Ist_J1*0.1*(1+Mietsteigerung)^2*(1-Steuersatz_J1)+IF(3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-2674.88751255075</v>
      </c>
      <c r="H113" s="428" t="n">
        <f aca="false">IF(4&gt;Haltedauer,0,INDEX(Projektion!$D$36:$AQ$36,4)+Miete_Ist_J1*0.1*(1+Mietsteigerung)^3*(1-Steuersatz_J1)+IF(4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-2670.22896867615</v>
      </c>
      <c r="I113" s="428" t="n">
        <f aca="false">IF(5&gt;Haltedauer,0,INDEX(Projektion!$D$36:$AQ$36,5)+Miete_Ist_J1*0.1*(1+Mietsteigerung)^4*(1-Steuersatz_J1)+IF(5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-2666.90715621219</v>
      </c>
      <c r="J113" s="428" t="n">
        <f aca="false">IF(6&gt;Haltedauer,0,INDEX(Projektion!$D$36:$AQ$36,6)+Miete_Ist_J1*0.1*(1+Mietsteigerung)^5*(1-Steuersatz_J1)+IF(6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-2665.00028626946</v>
      </c>
      <c r="K113" s="428" t="n">
        <f aca="false">IF(7&gt;Haltedauer,0,INDEX(Projektion!$D$36:$AQ$36,7)+Miete_Ist_J1*0.1*(1+Mietsteigerung)^6*(1-Steuersatz_J1)+IF(7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-2664.58998733413</v>
      </c>
      <c r="L113" s="428" t="n">
        <f aca="false">IF(8&gt;Haltedauer,0,INDEX(Projektion!$D$36:$AQ$36,8)+Miete_Ist_J1*0.1*(1+Mietsteigerung)^7*(1-Steuersatz_J1)+IF(8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-2665.76144032897</v>
      </c>
      <c r="M113" s="428" t="n">
        <f aca="false">IF(9&gt;Haltedauer,0,INDEX(Projektion!$D$36:$AQ$36,9)+Miete_Ist_J1*0.1*(1+Mietsteigerung)^8*(1-Steuersatz_J1)+IF(9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-2668.60351877729</v>
      </c>
      <c r="N113" s="428" t="n">
        <f aca="false">IF(10&gt;Haltedauer,0,INDEX(Projektion!$D$36:$AQ$36,10)+Miete_Ist_J1*0.1*(1+Mietsteigerung)^9*(1-Steuersatz_J1)+IF(10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-2673.20893425835</v>
      </c>
      <c r="O113" s="428" t="n">
        <f aca="false">IF(11&gt;Haltedauer,0,INDEX(Projektion!$D$36:$AQ$36,11)+Miete_Ist_J1*0.1*(1+Mietsteigerung)^10*(1-Steuersatz_J1)+IF(11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-2254.25946376676</v>
      </c>
      <c r="P113" s="428" t="n">
        <f aca="false">IF(12&gt;Haltedauer,0,INDEX(Projektion!$D$36:$AQ$36,12)+Miete_Ist_J1*0.1*(1+Mietsteigerung)^11*(1-Steuersatz_J1)+IF(12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232700.866130233</v>
      </c>
      <c r="Q113" s="428" t="n">
        <f aca="false">IF(13&gt;Haltedauer,0,INDEX(Projektion!$D$36:$AQ$36,13)+Miete_Ist_J1*0.1*(1+Mietsteigerung)^12*(1-Steuersatz_J1)+IF(13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R113" s="428" t="n">
        <f aca="false">IF(14&gt;Haltedauer,0,INDEX(Projektion!$D$36:$AQ$36,14)+Miete_Ist_J1*0.1*(1+Mietsteigerung)^13*(1-Steuersatz_J1)+IF(14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S113" s="428" t="n">
        <f aca="false">IF(15&gt;Haltedauer,0,INDEX(Projektion!$D$36:$AQ$36,15)+Miete_Ist_J1*0.1*(1+Mietsteigerung)^14*(1-Steuersatz_J1)+IF(15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T113" s="428" t="n">
        <f aca="false">IF(16&gt;Haltedauer,0,INDEX(Projektion!$D$36:$AQ$36,16)+Miete_Ist_J1*0.1*(1+Mietsteigerung)^15*(1-Steuersatz_J1)+IF(16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U113" s="428" t="n">
        <f aca="false">IF(17&gt;Haltedauer,0,INDEX(Projektion!$D$36:$AQ$36,17)+Miete_Ist_J1*0.1*(1+Mietsteigerung)^16*(1-Steuersatz_J1)+IF(17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V113" s="428" t="n">
        <f aca="false">IF(18&gt;Haltedauer,0,INDEX(Projektion!$D$36:$AQ$36,18)+Miete_Ist_J1*0.1*(1+Mietsteigerung)^17*(1-Steuersatz_J1)+IF(18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W113" s="428" t="n">
        <f aca="false">IF(19&gt;Haltedauer,0,INDEX(Projektion!$D$36:$AQ$36,19)+Miete_Ist_J1*0.1*(1+Mietsteigerung)^18*(1-Steuersatz_J1)+IF(19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X113" s="428" t="n">
        <f aca="false">IF(20&gt;Haltedauer,0,INDEX(Projektion!$D$36:$AQ$36,20)+Miete_Ist_J1*0.1*(1+Mietsteigerung)^19*(1-Steuersatz_J1)+IF(20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Y113" s="428" t="n">
        <f aca="false">IF(21&gt;Haltedauer,0,INDEX(Projektion!$D$36:$AQ$36,21)+Miete_Ist_J1*0.1*(1+Mietsteigerung)^20*(1-Steuersatz_J1)+IF(21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Z113" s="428" t="n">
        <f aca="false">IF(22&gt;Haltedauer,0,INDEX(Projektion!$D$36:$AQ$36,22)+Miete_Ist_J1*0.1*(1+Mietsteigerung)^21*(1-Steuersatz_J1)+IF(22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A113" s="428" t="n">
        <f aca="false">IF(23&gt;Haltedauer,0,INDEX(Projektion!$D$36:$AQ$36,23)+Miete_Ist_J1*0.1*(1+Mietsteigerung)^22*(1-Steuersatz_J1)+IF(23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B113" s="428" t="n">
        <f aca="false">IF(24&gt;Haltedauer,0,INDEX(Projektion!$D$36:$AQ$36,24)+Miete_Ist_J1*0.1*(1+Mietsteigerung)^23*(1-Steuersatz_J1)+IF(24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C113" s="428" t="n">
        <f aca="false">IF(25&gt;Haltedauer,0,INDEX(Projektion!$D$36:$AQ$36,25)+Miete_Ist_J1*0.1*(1+Mietsteigerung)^24*(1-Steuersatz_J1)+IF(25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D113" s="428" t="n">
        <f aca="false">IF(26&gt;Haltedauer,0,INDEX(Projektion!$D$36:$AQ$36,26)+Miete_Ist_J1*0.1*(1+Mietsteigerung)^25*(1-Steuersatz_J1)+IF(26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E113" s="428" t="n">
        <f aca="false">IF(27&gt;Haltedauer,0,INDEX(Projektion!$D$36:$AQ$36,27)+Miete_Ist_J1*0.1*(1+Mietsteigerung)^26*(1-Steuersatz_J1)+IF(27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F113" s="428" t="n">
        <f aca="false">IF(28&gt;Haltedauer,0,INDEX(Projektion!$D$36:$AQ$36,28)+Miete_Ist_J1*0.1*(1+Mietsteigerung)^27*(1-Steuersatz_J1)+IF(28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G113" s="428" t="n">
        <f aca="false">IF(29&gt;Haltedauer,0,INDEX(Projektion!$D$36:$AQ$36,29)+Miete_Ist_J1*0.1*(1+Mietsteigerung)^28*(1-Steuersatz_J1)+IF(29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H113" s="428" t="n">
        <f aca="false">IF(30&gt;Haltedauer,0,INDEX(Projektion!$D$36:$AQ$36,30)+Miete_Ist_J1*0.1*(1+Mietsteigerung)^29*(1-Steuersatz_J1)+IF(30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I113" s="428" t="n">
        <f aca="false">IF(31&gt;Haltedauer,0,INDEX(Projektion!$D$36:$AQ$36,31)+Miete_Ist_J1*0.1*(1+Mietsteigerung)^30*(1-Steuersatz_J1)+IF(31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J113" s="428" t="n">
        <f aca="false">IF(32&gt;Haltedauer,0,INDEX(Projektion!$D$36:$AQ$36,32)+Miete_Ist_J1*0.1*(1+Mietsteigerung)^31*(1-Steuersatz_J1)+IF(32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K113" s="428" t="n">
        <f aca="false">IF(33&gt;Haltedauer,0,INDEX(Projektion!$D$36:$AQ$36,33)+Miete_Ist_J1*0.1*(1+Mietsteigerung)^32*(1-Steuersatz_J1)+IF(33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L113" s="428" t="n">
        <f aca="false">IF(34&gt;Haltedauer,0,INDEX(Projektion!$D$36:$AQ$36,34)+Miete_Ist_J1*0.1*(1+Mietsteigerung)^33*(1-Steuersatz_J1)+IF(34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M113" s="428" t="n">
        <f aca="false">IF(35&gt;Haltedauer,0,INDEX(Projektion!$D$36:$AQ$36,35)+Miete_Ist_J1*0.1*(1+Mietsteigerung)^34*(1-Steuersatz_J1)+IF(35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N113" s="428" t="n">
        <f aca="false">IF(36&gt;Haltedauer,0,INDEX(Projektion!$D$36:$AQ$36,36)+Miete_Ist_J1*0.1*(1+Mietsteigerung)^35*(1-Steuersatz_J1)+IF(36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O113" s="428" t="n">
        <f aca="false">IF(37&gt;Haltedauer,0,INDEX(Projektion!$D$36:$AQ$36,37)+Miete_Ist_J1*0.1*(1+Mietsteigerung)^36*(1-Steuersatz_J1)+IF(37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P113" s="428" t="n">
        <f aca="false">IF(38&gt;Haltedauer,0,INDEX(Projektion!$D$36:$AQ$36,38)+Miete_Ist_J1*0.1*(1+Mietsteigerung)^37*(1-Steuersatz_J1)+IF(38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Q113" s="428" t="n">
        <f aca="false">IF(39&gt;Haltedauer,0,INDEX(Projektion!$D$36:$AQ$36,39)+Miete_Ist_J1*0.1*(1+Mietsteigerung)^38*(1-Steuersatz_J1)+IF(39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R113" s="428" t="n">
        <f aca="false">IF(40&gt;Haltedauer,0,INDEX(Projektion!$D$36:$AQ$36,40)+Miete_Ist_J1*0.1*(1+Mietsteigerung)^39*(1-Steuersatz_J1)+IF(40=Haltedauer,((Kaufpreis+Investition_J1*Reno_Wertsteigerung_Pct)*(1+0.03)^Haltedauer*(1-Verkaufskosten_Pct)-Exit_Restschuld-IF(Exit_steuerpflichtig=1,MAX(0,(Kaufpreis+Investition_J1*Reno_Wertsteigerung_Pct)*(1+0.03)^Haltedauer*(1-Verkaufskosten_Pct)-Exit_Buchwert-Exit_VV)*Exit_Steuersatz,0)),0))</f>
        <v>0</v>
      </c>
      <c r="AS113" s="12"/>
    </row>
    <row r="114" customFormat="false" ht="15" hidden="true" customHeight="true" outlineLevel="1" collapsed="false">
      <c r="A114" s="12"/>
      <c r="B114" s="12"/>
      <c r="C114" s="427" t="s">
        <v>1212</v>
      </c>
      <c r="D114" s="428" t="n">
        <f aca="false">-Eigenkapital</f>
        <v>-78974.5</v>
      </c>
      <c r="E114" s="428" t="n">
        <f aca="false">IF(1&gt;Haltedauer,0,INDEX(Projektion!$D$36:$AQ$36,1)+Miete_Ist_J1*0.1*(1+Mietsteigerung)^0*(1-Steuersatz_J1)+IF(1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3672.66673912701</v>
      </c>
      <c r="F114" s="428" t="n">
        <f aca="false">IF(2&gt;Haltedauer,0,INDEX(Projektion!$D$36:$AQ$36,2)+Miete_Ist_J1*0.1*(1+Mietsteigerung)^1*(1-Steuersatz_J1)+IF(2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-2680.80786396099</v>
      </c>
      <c r="G114" s="428" t="n">
        <f aca="false">IF(3&gt;Haltedauer,0,INDEX(Projektion!$D$36:$AQ$36,3)+Miete_Ist_J1*0.1*(1+Mietsteigerung)^2*(1-Steuersatz_J1)+IF(3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-2674.88751255075</v>
      </c>
      <c r="H114" s="428" t="n">
        <f aca="false">IF(4&gt;Haltedauer,0,INDEX(Projektion!$D$36:$AQ$36,4)+Miete_Ist_J1*0.1*(1+Mietsteigerung)^3*(1-Steuersatz_J1)+IF(4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-2670.22896867615</v>
      </c>
      <c r="I114" s="428" t="n">
        <f aca="false">IF(5&gt;Haltedauer,0,INDEX(Projektion!$D$36:$AQ$36,5)+Miete_Ist_J1*0.1*(1+Mietsteigerung)^4*(1-Steuersatz_J1)+IF(5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-2666.90715621219</v>
      </c>
      <c r="J114" s="428" t="n">
        <f aca="false">IF(6&gt;Haltedauer,0,INDEX(Projektion!$D$36:$AQ$36,6)+Miete_Ist_J1*0.1*(1+Mietsteigerung)^5*(1-Steuersatz_J1)+IF(6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-2665.00028626946</v>
      </c>
      <c r="K114" s="428" t="n">
        <f aca="false">IF(7&gt;Haltedauer,0,INDEX(Projektion!$D$36:$AQ$36,7)+Miete_Ist_J1*0.1*(1+Mietsteigerung)^6*(1-Steuersatz_J1)+IF(7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-2664.58998733413</v>
      </c>
      <c r="L114" s="428" t="n">
        <f aca="false">IF(8&gt;Haltedauer,0,INDEX(Projektion!$D$36:$AQ$36,8)+Miete_Ist_J1*0.1*(1+Mietsteigerung)^7*(1-Steuersatz_J1)+IF(8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-2665.76144032897</v>
      </c>
      <c r="M114" s="428" t="n">
        <f aca="false">IF(9&gt;Haltedauer,0,INDEX(Projektion!$D$36:$AQ$36,9)+Miete_Ist_J1*0.1*(1+Mietsteigerung)^8*(1-Steuersatz_J1)+IF(9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-2668.60351877729</v>
      </c>
      <c r="N114" s="428" t="n">
        <f aca="false">IF(10&gt;Haltedauer,0,INDEX(Projektion!$D$36:$AQ$36,10)+Miete_Ist_J1*0.1*(1+Mietsteigerung)^9*(1-Steuersatz_J1)+IF(10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-2673.20893425835</v>
      </c>
      <c r="O114" s="428" t="n">
        <f aca="false">IF(11&gt;Haltedauer,0,INDEX(Projektion!$D$36:$AQ$36,11)+Miete_Ist_J1*0.1*(1+Mietsteigerung)^10*(1-Steuersatz_J1)+IF(11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-2254.25946376676</v>
      </c>
      <c r="P114" s="428" t="n">
        <f aca="false">IF(12&gt;Haltedauer,0,INDEX(Projektion!$D$36:$AQ$36,12)+Miete_Ist_J1*0.1*(1+Mietsteigerung)^11*(1-Steuersatz_J1)+IF(12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283715.339941093</v>
      </c>
      <c r="Q114" s="428" t="n">
        <f aca="false">IF(13&gt;Haltedauer,0,INDEX(Projektion!$D$36:$AQ$36,13)+Miete_Ist_J1*0.1*(1+Mietsteigerung)^12*(1-Steuersatz_J1)+IF(13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R114" s="428" t="n">
        <f aca="false">IF(14&gt;Haltedauer,0,INDEX(Projektion!$D$36:$AQ$36,14)+Miete_Ist_J1*0.1*(1+Mietsteigerung)^13*(1-Steuersatz_J1)+IF(14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S114" s="428" t="n">
        <f aca="false">IF(15&gt;Haltedauer,0,INDEX(Projektion!$D$36:$AQ$36,15)+Miete_Ist_J1*0.1*(1+Mietsteigerung)^14*(1-Steuersatz_J1)+IF(15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T114" s="428" t="n">
        <f aca="false">IF(16&gt;Haltedauer,0,INDEX(Projektion!$D$36:$AQ$36,16)+Miete_Ist_J1*0.1*(1+Mietsteigerung)^15*(1-Steuersatz_J1)+IF(16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U114" s="428" t="n">
        <f aca="false">IF(17&gt;Haltedauer,0,INDEX(Projektion!$D$36:$AQ$36,17)+Miete_Ist_J1*0.1*(1+Mietsteigerung)^16*(1-Steuersatz_J1)+IF(17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V114" s="428" t="n">
        <f aca="false">IF(18&gt;Haltedauer,0,INDEX(Projektion!$D$36:$AQ$36,18)+Miete_Ist_J1*0.1*(1+Mietsteigerung)^17*(1-Steuersatz_J1)+IF(18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W114" s="428" t="n">
        <f aca="false">IF(19&gt;Haltedauer,0,INDEX(Projektion!$D$36:$AQ$36,19)+Miete_Ist_J1*0.1*(1+Mietsteigerung)^18*(1-Steuersatz_J1)+IF(19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X114" s="428" t="n">
        <f aca="false">IF(20&gt;Haltedauer,0,INDEX(Projektion!$D$36:$AQ$36,20)+Miete_Ist_J1*0.1*(1+Mietsteigerung)^19*(1-Steuersatz_J1)+IF(20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Y114" s="428" t="n">
        <f aca="false">IF(21&gt;Haltedauer,0,INDEX(Projektion!$D$36:$AQ$36,21)+Miete_Ist_J1*0.1*(1+Mietsteigerung)^20*(1-Steuersatz_J1)+IF(21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Z114" s="428" t="n">
        <f aca="false">IF(22&gt;Haltedauer,0,INDEX(Projektion!$D$36:$AQ$36,22)+Miete_Ist_J1*0.1*(1+Mietsteigerung)^21*(1-Steuersatz_J1)+IF(22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A114" s="428" t="n">
        <f aca="false">IF(23&gt;Haltedauer,0,INDEX(Projektion!$D$36:$AQ$36,23)+Miete_Ist_J1*0.1*(1+Mietsteigerung)^22*(1-Steuersatz_J1)+IF(23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B114" s="428" t="n">
        <f aca="false">IF(24&gt;Haltedauer,0,INDEX(Projektion!$D$36:$AQ$36,24)+Miete_Ist_J1*0.1*(1+Mietsteigerung)^23*(1-Steuersatz_J1)+IF(24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C114" s="428" t="n">
        <f aca="false">IF(25&gt;Haltedauer,0,INDEX(Projektion!$D$36:$AQ$36,25)+Miete_Ist_J1*0.1*(1+Mietsteigerung)^24*(1-Steuersatz_J1)+IF(25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D114" s="428" t="n">
        <f aca="false">IF(26&gt;Haltedauer,0,INDEX(Projektion!$D$36:$AQ$36,26)+Miete_Ist_J1*0.1*(1+Mietsteigerung)^25*(1-Steuersatz_J1)+IF(26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E114" s="428" t="n">
        <f aca="false">IF(27&gt;Haltedauer,0,INDEX(Projektion!$D$36:$AQ$36,27)+Miete_Ist_J1*0.1*(1+Mietsteigerung)^26*(1-Steuersatz_J1)+IF(27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F114" s="428" t="n">
        <f aca="false">IF(28&gt;Haltedauer,0,INDEX(Projektion!$D$36:$AQ$36,28)+Miete_Ist_J1*0.1*(1+Mietsteigerung)^27*(1-Steuersatz_J1)+IF(28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G114" s="428" t="n">
        <f aca="false">IF(29&gt;Haltedauer,0,INDEX(Projektion!$D$36:$AQ$36,29)+Miete_Ist_J1*0.1*(1+Mietsteigerung)^28*(1-Steuersatz_J1)+IF(29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H114" s="428" t="n">
        <f aca="false">IF(30&gt;Haltedauer,0,INDEX(Projektion!$D$36:$AQ$36,30)+Miete_Ist_J1*0.1*(1+Mietsteigerung)^29*(1-Steuersatz_J1)+IF(30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I114" s="428" t="n">
        <f aca="false">IF(31&gt;Haltedauer,0,INDEX(Projektion!$D$36:$AQ$36,31)+Miete_Ist_J1*0.1*(1+Mietsteigerung)^30*(1-Steuersatz_J1)+IF(31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J114" s="428" t="n">
        <f aca="false">IF(32&gt;Haltedauer,0,INDEX(Projektion!$D$36:$AQ$36,32)+Miete_Ist_J1*0.1*(1+Mietsteigerung)^31*(1-Steuersatz_J1)+IF(32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K114" s="428" t="n">
        <f aca="false">IF(33&gt;Haltedauer,0,INDEX(Projektion!$D$36:$AQ$36,33)+Miete_Ist_J1*0.1*(1+Mietsteigerung)^32*(1-Steuersatz_J1)+IF(33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L114" s="428" t="n">
        <f aca="false">IF(34&gt;Haltedauer,0,INDEX(Projektion!$D$36:$AQ$36,34)+Miete_Ist_J1*0.1*(1+Mietsteigerung)^33*(1-Steuersatz_J1)+IF(34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M114" s="428" t="n">
        <f aca="false">IF(35&gt;Haltedauer,0,INDEX(Projektion!$D$36:$AQ$36,35)+Miete_Ist_J1*0.1*(1+Mietsteigerung)^34*(1-Steuersatz_J1)+IF(35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N114" s="428" t="n">
        <f aca="false">IF(36&gt;Haltedauer,0,INDEX(Projektion!$D$36:$AQ$36,36)+Miete_Ist_J1*0.1*(1+Mietsteigerung)^35*(1-Steuersatz_J1)+IF(36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O114" s="428" t="n">
        <f aca="false">IF(37&gt;Haltedauer,0,INDEX(Projektion!$D$36:$AQ$36,37)+Miete_Ist_J1*0.1*(1+Mietsteigerung)^36*(1-Steuersatz_J1)+IF(37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P114" s="428" t="n">
        <f aca="false">IF(38&gt;Haltedauer,0,INDEX(Projektion!$D$36:$AQ$36,38)+Miete_Ist_J1*0.1*(1+Mietsteigerung)^37*(1-Steuersatz_J1)+IF(38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Q114" s="428" t="n">
        <f aca="false">IF(39&gt;Haltedauer,0,INDEX(Projektion!$D$36:$AQ$36,39)+Miete_Ist_J1*0.1*(1+Mietsteigerung)^38*(1-Steuersatz_J1)+IF(39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R114" s="428" t="n">
        <f aca="false">IF(40&gt;Haltedauer,0,INDEX(Projektion!$D$36:$AQ$36,40)+Miete_Ist_J1*0.1*(1+Mietsteigerung)^39*(1-Steuersatz_J1)+IF(40=Haltedauer,((Kaufpreis+Investition_J1*Reno_Wertsteigerung_Pct)*(1+0.04)^Haltedauer*(1-Verkaufskosten_Pct)-Exit_Restschuld-IF(Exit_steuerpflichtig=1,MAX(0,(Kaufpreis+Investition_J1*Reno_Wertsteigerung_Pct)*(1+0.04)^Haltedauer*(1-Verkaufskosten_Pct)-Exit_Buchwert-Exit_VV)*Exit_Steuersatz,0)),0))</f>
        <v>0</v>
      </c>
      <c r="AS114" s="12"/>
    </row>
    <row r="115" customFormat="false" ht="15" hidden="true" customHeight="true" outlineLevel="1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customFormat="false" ht="12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customFormat="false" ht="25.5" hidden="false" customHeight="true" outlineLevel="0" collapsed="false">
      <c r="A117" s="39"/>
      <c r="B117" s="39"/>
      <c r="C117" s="126" t="s">
        <v>393</v>
      </c>
      <c r="D117" s="9"/>
      <c r="E117" s="9"/>
      <c r="F117" s="9"/>
      <c r="G117" s="9"/>
      <c r="H117" s="9"/>
      <c r="I117" s="9"/>
      <c r="J117" s="9"/>
      <c r="K117" s="39"/>
      <c r="L117" s="101" t="s">
        <v>1213</v>
      </c>
      <c r="M117" s="10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 customFormat="false" ht="12" hidden="false" customHeight="true" outlineLevel="0" collapsed="false">
      <c r="A118" s="39"/>
      <c r="B118" s="39"/>
      <c r="C118" s="8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customFormat="false" ht="18" hidden="false" customHeight="true" outlineLevel="0" collapsed="false">
      <c r="A119" s="12"/>
      <c r="B119" s="12"/>
      <c r="C119" s="79" t="s">
        <v>91</v>
      </c>
      <c r="D119" s="429"/>
      <c r="E119" s="429"/>
      <c r="F119" s="429"/>
      <c r="G119" s="429"/>
      <c r="H119" s="429"/>
      <c r="I119" s="429"/>
      <c r="J119" s="429"/>
      <c r="K119" s="429"/>
      <c r="L119" s="429"/>
      <c r="M119" s="429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 customFormat="false" ht="13.5" hidden="false" customHeight="true" outlineLevel="0" collapsed="false">
      <c r="A120" s="12"/>
      <c r="B120" s="12"/>
      <c r="C120" s="430" t="s">
        <v>92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</sheetData>
  <sheetProtection sheet="true" objects="1" formatColumns="false" formatRows="false"/>
  <mergeCells count="11">
    <mergeCell ref="L8:M8"/>
    <mergeCell ref="L9:M18"/>
    <mergeCell ref="I11:J11"/>
    <mergeCell ref="I13:J13"/>
    <mergeCell ref="I14:J14"/>
    <mergeCell ref="L20:M20"/>
    <mergeCell ref="L21:M41"/>
    <mergeCell ref="C43:I43"/>
    <mergeCell ref="L43:M43"/>
    <mergeCell ref="L44:M48"/>
    <mergeCell ref="L117:M117"/>
  </mergeCells>
  <conditionalFormatting sqref="D11">
    <cfRule type="expression" priority="2" aboveAverage="0" equalAverage="0" bottom="0" percent="0" rank="0" text="" dxfId="0">
      <formula>AND(ISNUMBER($D$11),$D$11&lt;0)</formula>
    </cfRule>
    <cfRule type="expression" priority="3" aboveAverage="0" equalAverage="0" bottom="0" percent="0" rank="0" text="" dxfId="3">
      <formula>1</formula>
    </cfRule>
  </conditionalFormatting>
  <conditionalFormatting sqref="I11">
    <cfRule type="expression" priority="4" aboveAverage="0" equalAverage="0" bottom="0" percent="0" rank="0" text="" dxfId="0">
      <formula>AND(ISNUMBER($D$11),$D$11&lt;0)</formula>
    </cfRule>
    <cfRule type="expression" priority="5" aboveAverage="0" equalAverage="0" bottom="0" percent="0" rank="0" text="" dxfId="2">
      <formula>ISNUMBER($D$11)</formula>
    </cfRule>
    <cfRule type="expression" priority="6" aboveAverage="0" equalAverage="0" bottom="0" percent="0" rank="0" text="" dxfId="3">
      <formula>1</formula>
    </cfRule>
  </conditionalFormatting>
  <conditionalFormatting sqref="D13">
    <cfRule type="expression" priority="7" aboveAverage="0" equalAverage="0" bottom="0" percent="0" rank="0" text="" dxfId="0">
      <formula>AND(ISNUMBER($D$13),$D$13&lt;0)</formula>
    </cfRule>
    <cfRule type="expression" priority="8" aboveAverage="0" equalAverage="0" bottom="0" percent="0" rank="0" text="" dxfId="3">
      <formula>1</formula>
    </cfRule>
  </conditionalFormatting>
  <conditionalFormatting sqref="I13">
    <cfRule type="expression" priority="9" aboveAverage="0" equalAverage="0" bottom="0" percent="0" rank="0" text="" dxfId="0">
      <formula>AND(ISNUMBER($D$13),$D$13&lt;0)</formula>
    </cfRule>
    <cfRule type="expression" priority="10" aboveAverage="0" equalAverage="0" bottom="0" percent="0" rank="0" text="" dxfId="2">
      <formula>ISNUMBER($D$13)</formula>
    </cfRule>
    <cfRule type="expression" priority="11" aboveAverage="0" equalAverage="0" bottom="0" percent="0" rank="0" text="" dxfId="3">
      <formula>1</formula>
    </cfRule>
  </conditionalFormatting>
  <conditionalFormatting sqref="D14">
    <cfRule type="expression" priority="12" aboveAverage="0" equalAverage="0" bottom="0" percent="0" rank="0" text="" dxfId="0">
      <formula>AND(ISNUMBER($D$14),$D$14&lt;$D$15)</formula>
    </cfRule>
    <cfRule type="expression" priority="13" aboveAverage="0" equalAverage="0" bottom="0" percent="0" rank="0" text="" dxfId="3">
      <formula>1</formula>
    </cfRule>
  </conditionalFormatting>
  <conditionalFormatting sqref="I14">
    <cfRule type="expression" priority="14" aboveAverage="0" equalAverage="0" bottom="0" percent="0" rank="0" text="" dxfId="0">
      <formula>AND(ISNUMBER($D$14),$D$14&lt;$D$15)</formula>
    </cfRule>
    <cfRule type="expression" priority="15" aboveAverage="0" equalAverage="0" bottom="0" percent="0" rank="0" text="" dxfId="2">
      <formula>ISNUMBER($D$14)</formula>
    </cfRule>
    <cfRule type="expression" priority="16" aboveAverage="0" equalAverage="0" bottom="0" percent="0" rank="0" text="" dxfId="3">
      <formula>1</formula>
    </cfRule>
  </conditionalFormatting>
  <conditionalFormatting sqref="D24:J30">
    <cfRule type="expression" priority="17" aboveAverage="0" equalAverage="0" bottom="0" percent="0" rank="0" text="" dxfId="4">
      <formula>AND(ISNUMBER(D24),D24&lt;0)</formula>
    </cfRule>
    <cfRule type="colorScale" priority="18">
      <colorScale>
        <cfvo type="min" val="0"/>
        <cfvo type="percentile" val="50"/>
        <cfvo type="max" val="0"/>
        <color rgb="FFFBFCFE"/>
        <color rgb="FFE7EEF7"/>
        <color rgb="FFC8D7EB"/>
      </colorScale>
    </cfRule>
    <cfRule type="expression" priority="19" aboveAverage="0" equalAverage="0" bottom="0" percent="0" rank="0" text="" dxfId="3">
      <formula>1</formula>
    </cfRule>
  </conditionalFormatting>
  <conditionalFormatting sqref="D35:J41">
    <cfRule type="expression" priority="20" aboveAverage="0" equalAverage="0" bottom="0" percent="0" rank="0" text="" dxfId="4">
      <formula>AND(ISNUMBER(D35),D35&lt;Ampel_DSCR_gelb)</formula>
    </cfRule>
    <cfRule type="colorScale" priority="21">
      <colorScale>
        <cfvo type="min" val="0"/>
        <cfvo type="percentile" val="50"/>
        <cfvo type="max" val="0"/>
        <color rgb="FFFBFCFE"/>
        <color rgb="FFE7EEF7"/>
        <color rgb="FFC8D7EB"/>
      </colorScale>
    </cfRule>
    <cfRule type="expression" priority="22" aboveAverage="0" equalAverage="0" bottom="0" percent="0" rank="0" text="" dxfId="3">
      <formula>1</formula>
    </cfRule>
  </conditionalFormatting>
  <conditionalFormatting sqref="D46:H46">
    <cfRule type="expression" priority="23" aboveAverage="0" equalAverage="0" bottom="0" percent="0" rank="0" text="" dxfId="44">
      <formula>ABS(D46-Wertsteigerung)&lt;0.00005</formula>
    </cfRule>
    <cfRule type="expression" priority="24" aboveAverage="0" equalAverage="0" bottom="0" percent="0" rank="0" text="" dxfId="3">
      <formula>1</formula>
    </cfRule>
  </conditionalFormatting>
  <conditionalFormatting sqref="D47:H51">
    <cfRule type="expression" priority="25" aboveAverage="0" equalAverage="0" bottom="0" percent="0" rank="0" text="" dxfId="45">
      <formula>AND(ISNUMBER(D47),$C47=0,ABS(D$46-Wertsteigerung)&lt;0.00005,D47&lt;Ampel_IRR_gelb)</formula>
    </cfRule>
    <cfRule type="expression" priority="26" aboveAverage="0" equalAverage="0" bottom="0" percent="0" rank="0" text="" dxfId="46">
      <formula>AND(ISNUMBER(D47),$C47=0,ABS(D$46-Wertsteigerung)&lt;0.00005,1)</formula>
    </cfRule>
    <cfRule type="expression" priority="27" aboveAverage="0" equalAverage="0" bottom="0" percent="0" rank="0" text="" dxfId="4">
      <formula>AND(ISNUMBER(D47),D47&lt;Ampel_IRR_gelb)</formula>
    </cfRule>
    <cfRule type="colorScale" priority="28">
      <colorScale>
        <cfvo type="min" val="0"/>
        <cfvo type="percentile" val="50"/>
        <cfvo type="max" val="0"/>
        <color rgb="FFFBFCFE"/>
        <color rgb="FFE7EEF7"/>
        <color rgb="FFC8D7EB"/>
      </colorScale>
    </cfRule>
    <cfRule type="expression" priority="29" aboveAverage="0" equalAverage="0" bottom="0" percent="0" rank="0" text="" dxfId="3">
      <formula>1</formula>
    </cfRule>
  </conditionalFormatting>
  <conditionalFormatting sqref="D59:H59">
    <cfRule type="expression" priority="30" aboveAverage="0" equalAverage="0" bottom="0" percent="0" rank="0" text="" dxfId="4">
      <formula>AND(ISNUMBER(D59),D59&lt;0)</formula>
    </cfRule>
    <cfRule type="expression" priority="31" aboveAverage="0" equalAverage="0" bottom="0" percent="0" rank="0" text="" dxfId="3">
      <formula>1</formula>
    </cfRule>
  </conditionalFormatting>
  <conditionalFormatting sqref="D62:H62">
    <cfRule type="expression" priority="32" aboveAverage="0" equalAverage="0" bottom="0" percent="0" rank="0" text="" dxfId="4">
      <formula>AND(ISNUMBER(D62),D62&lt;0)</formula>
    </cfRule>
    <cfRule type="expression" priority="33" aboveAverage="0" equalAverage="0" bottom="0" percent="0" rank="0" text="" dxfId="3">
      <formula>1</formula>
    </cfRule>
  </conditionalFormatting>
  <conditionalFormatting sqref="D55:H55">
    <cfRule type="expression" priority="34" aboveAverage="0" equalAverage="0" bottom="0" percent="0" rank="0" text="" dxfId="4">
      <formula>AND(ISNUMBER(D55),D55&lt;0)</formula>
    </cfRule>
    <cfRule type="expression" priority="35" aboveAverage="0" equalAverage="0" bottom="0" percent="0" rank="0" text="" dxfId="3">
      <formula>1</formula>
    </cfRule>
  </conditionalFormatting>
  <conditionalFormatting sqref="D56:H56">
    <cfRule type="expression" priority="36" aboveAverage="0" equalAverage="0" bottom="0" percent="0" rank="0" text="" dxfId="4">
      <formula>AND(ISNUMBER(D56),D56&lt;0)</formula>
    </cfRule>
    <cfRule type="expression" priority="37" aboveAverage="0" equalAverage="0" bottom="0" percent="0" rank="0" text="" dxfId="3">
      <formula>1</formula>
    </cfRule>
  </conditionalFormatting>
  <conditionalFormatting sqref="D57:H57">
    <cfRule type="expression" priority="38" aboveAverage="0" equalAverage="0" bottom="0" percent="0" rank="0" text="" dxfId="4">
      <formula>AND(ISNUMBER(D57),D57&lt;0)</formula>
    </cfRule>
    <cfRule type="expression" priority="39" aboveAverage="0" equalAverage="0" bottom="0" percent="0" rank="0" text="" dxfId="3">
      <formula>1</formula>
    </cfRule>
  </conditionalFormatting>
  <conditionalFormatting sqref="D58:H58">
    <cfRule type="expression" priority="40" aboveAverage="0" equalAverage="0" bottom="0" percent="0" rank="0" text="" dxfId="4">
      <formula>AND(ISNUMBER(D58),D58&lt;0)</formula>
    </cfRule>
    <cfRule type="expression" priority="41" aboveAverage="0" equalAverage="0" bottom="0" percent="0" rank="0" text="" dxfId="3">
      <formula>1</formula>
    </cfRule>
  </conditionalFormatting>
  <conditionalFormatting sqref="D60:H60">
    <cfRule type="expression" priority="42" aboveAverage="0" equalAverage="0" bottom="0" percent="0" rank="0" text="" dxfId="4">
      <formula>AND(ISNUMBER(D60),D60&lt;0)</formula>
    </cfRule>
    <cfRule type="expression" priority="43" aboveAverage="0" equalAverage="0" bottom="0" percent="0" rank="0" text="" dxfId="3">
      <formula>1</formula>
    </cfRule>
  </conditionalFormatting>
  <conditionalFormatting sqref="D61:H61">
    <cfRule type="expression" priority="44" aboveAverage="0" equalAverage="0" bottom="0" percent="0" rank="0" text="" dxfId="4">
      <formula>AND(ISNUMBER(D61),D61&lt;0)</formula>
    </cfRule>
    <cfRule type="expression" priority="45" aboveAverage="0" equalAverage="0" bottom="0" percent="0" rank="0" text="" dxfId="3">
      <formula>1</formula>
    </cfRule>
  </conditionalFormatting>
  <conditionalFormatting sqref="D63">
    <cfRule type="expression" priority="46" aboveAverage="0" equalAverage="0" bottom="0" percent="0" rank="0" text="" dxfId="4">
      <formula>AND(ISNUMBER(D63),D63&lt;0)</formula>
    </cfRule>
    <cfRule type="expression" priority="47" aboveAverage="0" equalAverage="0" bottom="0" percent="0" rank="0" text="" dxfId="3">
      <formula>1</formula>
    </cfRule>
  </conditionalFormatting>
  <conditionalFormatting sqref="E63">
    <cfRule type="expression" priority="48" aboveAverage="0" equalAverage="0" bottom="0" percent="0" rank="0" text="" dxfId="4">
      <formula>AND(ISNUMBER(E63),E63&lt;0)</formula>
    </cfRule>
    <cfRule type="expression" priority="49" aboveAverage="0" equalAverage="0" bottom="0" percent="0" rank="0" text="" dxfId="3">
      <formula>1</formula>
    </cfRule>
  </conditionalFormatting>
  <conditionalFormatting sqref="F63">
    <cfRule type="expression" priority="50" aboveAverage="0" equalAverage="0" bottom="0" percent="0" rank="0" text="" dxfId="4">
      <formula>AND(ISNUMBER(F63),F63&lt;0)</formula>
    </cfRule>
    <cfRule type="expression" priority="51" aboveAverage="0" equalAverage="0" bottom="0" percent="0" rank="0" text="" dxfId="3">
      <formula>1</formula>
    </cfRule>
  </conditionalFormatting>
  <conditionalFormatting sqref="G63">
    <cfRule type="expression" priority="52" aboveAverage="0" equalAverage="0" bottom="0" percent="0" rank="0" text="" dxfId="4">
      <formula>AND(ISNUMBER(G63),G63&lt;0)</formula>
    </cfRule>
    <cfRule type="expression" priority="53" aboveAverage="0" equalAverage="0" bottom="0" percent="0" rank="0" text="" dxfId="3">
      <formula>1</formula>
    </cfRule>
  </conditionalFormatting>
  <conditionalFormatting sqref="H63">
    <cfRule type="expression" priority="54" aboveAverage="0" equalAverage="0" bottom="0" percent="0" rank="0" text="" dxfId="4">
      <formula>AND(ISNUMBER(H63),H63&lt;0)</formula>
    </cfRule>
    <cfRule type="expression" priority="55" aboveAverage="0" equalAverage="0" bottom="0" percent="0" rank="0" text="" dxfId="3">
      <formula>1</formula>
    </cfRule>
  </conditionalFormatting>
  <hyperlinks>
    <hyperlink ref="C5" location="'Start'!A4" display="BERECHNUNG  ›  SENSITIVITÄT"/>
    <hyperlink ref="M5" location="'Start'!A4" display="‹  Start"/>
    <hyperlink ref="J8" location="'Sensitivität'!A4" display="↑ Übersicht"/>
    <hyperlink ref="J20" location="'Sensitivität'!A4" display="↑ Übersicht"/>
    <hyperlink ref="J43" location="'Sensitivität'!A4" display="↑ Übersicht"/>
    <hyperlink ref="C117" location="'Finanzierung'!D11" display="‹  Zurück: Finanzierung"/>
    <hyperlink ref="L117" location="'Bankgespräch'!A4" display="Weiter: Bankgespräch  ›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19" man="true" max="16383" min="0"/>
    <brk id="42" man="true" max="16383" min="0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Z69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.5"/>
    <col collapsed="false" customWidth="true" hidden="false" outlineLevel="0" max="2" min="2" style="1" width="27"/>
    <col collapsed="false" customWidth="true" hidden="false" outlineLevel="0" max="3" min="3" style="1" width="18"/>
    <col collapsed="false" customWidth="true" hidden="false" outlineLevel="0" max="4" min="4" style="1" width="1.51"/>
    <col collapsed="false" customWidth="true" hidden="false" outlineLevel="0" max="5" min="5" style="1" width="27"/>
    <col collapsed="false" customWidth="true" hidden="false" outlineLevel="0" max="6" min="6" style="1" width="18"/>
    <col collapsed="false" customWidth="true" hidden="false" outlineLevel="0" max="7" min="7" style="1" width="1.51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2.5"/>
    <col collapsed="false" customWidth="true" hidden="false" outlineLevel="0" max="11" min="11" style="1" width="48"/>
    <col collapsed="false" customWidth="true" hidden="false" outlineLevel="0" max="19" min="12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0"/>
      <c r="M1" s="0"/>
      <c r="N1" s="0"/>
      <c r="O1" s="0"/>
      <c r="P1" s="3"/>
      <c r="Q1" s="3"/>
      <c r="R1" s="3"/>
      <c r="S1" s="3"/>
      <c r="T1" s="3"/>
      <c r="U1" s="3"/>
      <c r="V1" s="3"/>
    </row>
    <row r="2" customFormat="false" ht="33" hidden="false" customHeight="true" outlineLevel="0" collapsed="false">
      <c r="A2" s="2"/>
      <c r="B2" s="6"/>
      <c r="C2" s="6"/>
      <c r="D2" s="6"/>
      <c r="E2" s="5"/>
      <c r="F2" s="6"/>
      <c r="G2" s="6"/>
      <c r="H2" s="5"/>
      <c r="I2" s="6"/>
      <c r="J2" s="6"/>
      <c r="K2" s="5"/>
      <c r="L2" s="0"/>
      <c r="M2" s="0"/>
      <c r="N2" s="0"/>
      <c r="O2" s="0"/>
      <c r="P2" s="7"/>
      <c r="Q2" s="7"/>
      <c r="R2" s="7"/>
      <c r="S2" s="7"/>
      <c r="T2" s="8"/>
      <c r="U2" s="9"/>
      <c r="V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0"/>
      <c r="M3" s="0"/>
      <c r="N3" s="0"/>
      <c r="O3" s="0"/>
      <c r="P3" s="11"/>
      <c r="Q3" s="11"/>
      <c r="R3" s="11"/>
      <c r="S3" s="11"/>
      <c r="T3" s="11"/>
      <c r="U3" s="11"/>
      <c r="V3" s="11"/>
    </row>
    <row r="4" customFormat="false" ht="12" hidden="false" customHeight="true" outlineLevel="0" collapsed="false"/>
    <row r="5" customFormat="false" ht="15.75" hidden="false" customHeight="true" outlineLevel="0" collapsed="false">
      <c r="B5" s="84" t="s">
        <v>1214</v>
      </c>
      <c r="C5" s="9"/>
      <c r="D5" s="9"/>
      <c r="E5" s="9"/>
      <c r="F5" s="9"/>
      <c r="G5" s="9"/>
      <c r="H5" s="9"/>
      <c r="I5" s="9"/>
      <c r="K5" s="431"/>
    </row>
    <row r="6" customFormat="false" ht="30" hidden="false" customHeight="true" outlineLevel="0" collapsed="false">
      <c r="B6" s="86" t="s">
        <v>1215</v>
      </c>
      <c r="C6" s="9"/>
      <c r="D6" s="9"/>
      <c r="E6" s="9"/>
      <c r="F6" s="9"/>
      <c r="G6" s="9"/>
      <c r="H6" s="173" t="str">
        <f aca="false">IFERROR(IF(Erstellt_fuer="","","Erstellt für "&amp;Erstellt_fuer),"")</f>
        <v>Erstellt für Max Mustermann</v>
      </c>
      <c r="I6" s="173"/>
      <c r="K6" s="432"/>
    </row>
    <row r="7" customFormat="false" ht="21.75" hidden="false" customHeight="true" outlineLevel="0" collapsed="false">
      <c r="B7" s="106" t="str">
        <f aca="false">Obj_Name&amp;"  –  "&amp;Obj_Adresse&amp;"  ·  Kauf geplant "&amp;TEXT(DAY(Kaufdatum),"00")&amp;"."&amp;TEXT(MONTH(Kaufdatum),"00")&amp;"."&amp;YEAR(Kaufdatum)</f>
        <v>Beispiel: 3-Zimmer-Eigentumswohnung  –  Musterstraße 1, 88250 Weingarten  ·  Kauf geplant 01.12.2026</v>
      </c>
      <c r="C7" s="106"/>
      <c r="D7" s="106"/>
      <c r="E7" s="106"/>
      <c r="F7" s="106"/>
      <c r="G7" s="106"/>
      <c r="H7" s="107" t="str">
        <f aca="true">"Kauf als: "&amp;CHOOSE(Rechtsform_Idx,"Privatperson","Vermögensverwaltende GmbH","GmbH")&amp;"  ·  Stand "&amp;TEXT(DAY(TODAY()),"00")&amp;"."&amp;TEXT(MONTH(TODAY()),"00")&amp;"."&amp;YEAR(TODAY())</f>
        <v>Kauf als: Privatperson  ·  Stand 24.09.2026</v>
      </c>
      <c r="I7" s="107"/>
      <c r="K7" s="9"/>
    </row>
    <row r="8" customFormat="false" ht="12" hidden="false" customHeight="true" outlineLevel="0" collapsed="false">
      <c r="B8" s="9"/>
      <c r="C8" s="9"/>
      <c r="D8" s="9"/>
      <c r="E8" s="9"/>
      <c r="F8" s="9"/>
      <c r="G8" s="9"/>
      <c r="H8" s="9"/>
      <c r="I8" s="9"/>
      <c r="K8" s="9"/>
    </row>
    <row r="9" customFormat="false" ht="12" hidden="true" customHeight="true" outlineLevel="1" collapsed="false">
      <c r="B9" s="433" t="s">
        <v>1216</v>
      </c>
      <c r="C9" s="433"/>
      <c r="D9" s="9"/>
      <c r="E9" s="433" t="s">
        <v>1217</v>
      </c>
      <c r="F9" s="433"/>
      <c r="G9" s="9"/>
      <c r="H9" s="433" t="s">
        <v>1218</v>
      </c>
      <c r="I9" s="433"/>
      <c r="K9" s="9"/>
    </row>
    <row r="10" customFormat="false" ht="12" hidden="true" customHeight="true" outlineLevel="1" collapsed="false">
      <c r="B10" s="433"/>
      <c r="C10" s="433"/>
      <c r="D10" s="9"/>
      <c r="E10" s="433"/>
      <c r="F10" s="433"/>
      <c r="G10" s="9"/>
      <c r="H10" s="433"/>
      <c r="I10" s="433"/>
      <c r="K10" s="432"/>
    </row>
    <row r="11" customFormat="false" ht="12" hidden="true" customHeight="true" outlineLevel="1" collapsed="false">
      <c r="B11" s="433"/>
      <c r="C11" s="433"/>
      <c r="D11" s="9"/>
      <c r="E11" s="433"/>
      <c r="F11" s="433"/>
      <c r="G11" s="9"/>
      <c r="H11" s="433"/>
      <c r="I11" s="433"/>
      <c r="K11" s="9"/>
    </row>
    <row r="12" customFormat="false" ht="12" hidden="true" customHeight="true" outlineLevel="1" collapsed="false">
      <c r="B12" s="433"/>
      <c r="C12" s="433"/>
      <c r="D12" s="9"/>
      <c r="E12" s="433"/>
      <c r="F12" s="433"/>
      <c r="G12" s="9"/>
      <c r="H12" s="433"/>
      <c r="I12" s="433"/>
      <c r="K12" s="9"/>
    </row>
    <row r="13" customFormat="false" ht="12" hidden="true" customHeight="true" outlineLevel="1" collapsed="false">
      <c r="B13" s="433"/>
      <c r="C13" s="433"/>
      <c r="D13" s="9"/>
      <c r="E13" s="433"/>
      <c r="F13" s="433"/>
      <c r="G13" s="9"/>
      <c r="H13" s="433"/>
      <c r="I13" s="433"/>
      <c r="K13" s="9"/>
    </row>
    <row r="14" customFormat="false" ht="12" hidden="true" customHeight="true" outlineLevel="1" collapsed="false">
      <c r="B14" s="433"/>
      <c r="C14" s="433"/>
      <c r="D14" s="9"/>
      <c r="E14" s="433"/>
      <c r="F14" s="433"/>
      <c r="G14" s="9"/>
      <c r="H14" s="433"/>
      <c r="I14" s="433"/>
      <c r="K14" s="432"/>
    </row>
    <row r="15" customFormat="false" ht="12" hidden="true" customHeight="true" outlineLevel="1" collapsed="false">
      <c r="B15" s="433"/>
      <c r="C15" s="433"/>
      <c r="D15" s="9"/>
      <c r="E15" s="433"/>
      <c r="F15" s="433"/>
      <c r="G15" s="9"/>
      <c r="H15" s="433"/>
      <c r="I15" s="433"/>
      <c r="K15" s="9"/>
    </row>
    <row r="16" customFormat="false" ht="12" hidden="true" customHeight="true" outlineLevel="1" collapsed="false">
      <c r="B16" s="9"/>
      <c r="C16" s="9"/>
      <c r="D16" s="9"/>
      <c r="E16" s="9"/>
      <c r="F16" s="9"/>
      <c r="G16" s="9"/>
      <c r="H16" s="9"/>
      <c r="I16" s="9"/>
      <c r="K16" s="9"/>
    </row>
    <row r="17" customFormat="false" ht="24" hidden="false" customHeight="true" outlineLevel="0" collapsed="false">
      <c r="B17" s="33" t="s">
        <v>1219</v>
      </c>
      <c r="C17" s="33"/>
      <c r="E17" s="33" t="s">
        <v>331</v>
      </c>
      <c r="F17" s="33"/>
      <c r="H17" s="33" t="s">
        <v>1220</v>
      </c>
      <c r="I17" s="33"/>
      <c r="K17" s="118" t="s">
        <v>1221</v>
      </c>
    </row>
    <row r="18" customFormat="false" ht="6" hidden="false" customHeight="true" outlineLevel="0" collapsed="false">
      <c r="K18" s="120" t="s">
        <v>1222</v>
      </c>
    </row>
    <row r="19" customFormat="false" ht="18" hidden="false" customHeight="true" outlineLevel="0" collapsed="false">
      <c r="B19" s="122" t="s">
        <v>1223</v>
      </c>
      <c r="C19" s="411"/>
      <c r="E19" s="122" t="s">
        <v>1224</v>
      </c>
      <c r="F19" s="411"/>
      <c r="H19" s="122" t="s">
        <v>1225</v>
      </c>
      <c r="I19" s="411"/>
      <c r="K19" s="120"/>
    </row>
    <row r="20" customFormat="false" ht="18" hidden="false" customHeight="true" outlineLevel="0" collapsed="false">
      <c r="B20" s="72" t="s">
        <v>153</v>
      </c>
      <c r="C20" s="116" t="str">
        <f aca="false">Objektart</f>
        <v>Eigentumswohnung</v>
      </c>
      <c r="E20" s="72" t="s">
        <v>1226</v>
      </c>
      <c r="F20" s="129" t="n">
        <f aca="false">Darlehen_I</f>
        <v>250000</v>
      </c>
      <c r="H20" s="72" t="s">
        <v>1227</v>
      </c>
      <c r="I20" s="129" t="n">
        <f aca="false">Miete_Monat</f>
        <v>950</v>
      </c>
      <c r="K20" s="120"/>
    </row>
    <row r="21" customFormat="false" ht="18" hidden="false" customHeight="true" outlineLevel="0" collapsed="false">
      <c r="B21" s="72" t="s">
        <v>157</v>
      </c>
      <c r="C21" s="116" t="str">
        <f aca="false">FIXED(Wohnflaeche,0)&amp;" m²"</f>
        <v>75 m²</v>
      </c>
      <c r="E21" s="72" t="s">
        <v>1228</v>
      </c>
      <c r="F21" s="116" t="str">
        <f aca="false">FIXED(Zins_I*100,2)&amp;" % / "&amp;FIXED(Tilgung_I*100,2)&amp;" %"</f>
        <v>3.60 % / 2.00 %</v>
      </c>
      <c r="H21" s="72" t="s">
        <v>869</v>
      </c>
      <c r="I21" s="132" t="n">
        <f aca="false">Miete_qm</f>
        <v>12.6666666666667</v>
      </c>
      <c r="K21" s="120"/>
    </row>
    <row r="22" customFormat="false" ht="18" hidden="false" customHeight="true" outlineLevel="0" collapsed="false">
      <c r="B22" s="72" t="s">
        <v>582</v>
      </c>
      <c r="C22" s="115" t="n">
        <f aca="false">Baujahr</f>
        <v>1996</v>
      </c>
      <c r="E22" s="72" t="s">
        <v>1229</v>
      </c>
      <c r="F22" s="116" t="str">
        <f aca="false">Zinsbindung_I&amp;" Jahre"</f>
        <v>10 Jahre</v>
      </c>
      <c r="H22" s="72" t="s">
        <v>102</v>
      </c>
      <c r="I22" s="110" t="n">
        <f aca="false">Bruttomietrendite</f>
        <v>0.04</v>
      </c>
      <c r="K22" s="120"/>
    </row>
    <row r="23" customFormat="false" ht="18" hidden="false" customHeight="true" outlineLevel="0" collapsed="false">
      <c r="B23" s="72" t="s">
        <v>183</v>
      </c>
      <c r="C23" s="129" t="n">
        <f aca="false">IF(Wohnflaeche&gt;0,KP_Immobilie/Wohnflaeche,0)</f>
        <v>3653.33333333333</v>
      </c>
      <c r="E23" s="72" t="s">
        <v>1230</v>
      </c>
      <c r="F23" s="129" t="n">
        <f aca="false">Restschuld_ZB_I</f>
        <v>191071.230070512</v>
      </c>
      <c r="H23" s="72" t="s">
        <v>189</v>
      </c>
      <c r="I23" s="134" t="n">
        <f aca="false">Kaufpreisfaktor</f>
        <v>25</v>
      </c>
      <c r="K23" s="120"/>
    </row>
    <row r="24" customFormat="false" ht="18" hidden="false" customHeight="true" outlineLevel="0" collapsed="false">
      <c r="B24" s="122" t="s">
        <v>1231</v>
      </c>
      <c r="C24" s="411"/>
      <c r="E24" s="122" t="s">
        <v>1232</v>
      </c>
      <c r="F24" s="411"/>
      <c r="H24" s="122" t="s">
        <v>1233</v>
      </c>
      <c r="I24" s="411"/>
      <c r="K24" s="120"/>
    </row>
    <row r="25" customFormat="false" ht="18" hidden="false" customHeight="true" outlineLevel="0" collapsed="false">
      <c r="B25" s="72" t="s">
        <v>585</v>
      </c>
      <c r="C25" s="129" t="n">
        <f aca="false">Kaufpreis</f>
        <v>285000</v>
      </c>
      <c r="E25" s="72" t="s">
        <v>1226</v>
      </c>
      <c r="F25" s="129" t="n">
        <f aca="false">Darlehen_II</f>
        <v>0</v>
      </c>
      <c r="H25" s="72" t="s">
        <v>294</v>
      </c>
      <c r="I25" s="129" t="n">
        <f aca="false">INDEX(Projektion!$D$15:$AQ$15,1)/12</f>
        <v>921.5</v>
      </c>
      <c r="K25" s="120"/>
    </row>
    <row r="26" customFormat="false" ht="18" hidden="false" customHeight="true" outlineLevel="0" collapsed="false">
      <c r="B26" s="72" t="s">
        <v>204</v>
      </c>
      <c r="C26" s="129" t="n">
        <f aca="false">NK_Summe</f>
        <v>30224.5</v>
      </c>
      <c r="E26" s="72" t="s">
        <v>1228</v>
      </c>
      <c r="F26" s="116" t="str">
        <f aca="false">IF(Darlehen_II&gt;0,FIXED(Zins_II*100,2)&amp;" % / "&amp;FIXED(Tilgung_II*100,2)&amp;" %","–")</f>
        <v>–</v>
      </c>
      <c r="H26" s="72" t="s">
        <v>1234</v>
      </c>
      <c r="I26" s="129" t="n">
        <f aca="false">INDEX(Projektion!$D$26:$AQ$26,1)/12</f>
        <v>207.5</v>
      </c>
      <c r="K26" s="120"/>
    </row>
    <row r="27" customFormat="false" ht="18" hidden="false" customHeight="true" outlineLevel="0" collapsed="false">
      <c r="B27" s="72" t="s">
        <v>337</v>
      </c>
      <c r="C27" s="129" t="n">
        <f aca="false">FinNK_Summe</f>
        <v>1750</v>
      </c>
      <c r="E27" s="122" t="s">
        <v>1235</v>
      </c>
      <c r="F27" s="411"/>
      <c r="H27" s="72" t="s">
        <v>386</v>
      </c>
      <c r="I27" s="129" t="n">
        <f aca="false">INDEX(Projektion!$D$30:$AQ$30,1)/12</f>
        <v>750</v>
      </c>
      <c r="K27" s="120"/>
    </row>
    <row r="28" customFormat="false" ht="18" hidden="false" customHeight="true" outlineLevel="0" collapsed="false">
      <c r="B28" s="72" t="s">
        <v>689</v>
      </c>
      <c r="C28" s="129" t="n">
        <f aca="false">Investition_J1</f>
        <v>12000</v>
      </c>
      <c r="E28" s="73" t="s">
        <v>1236</v>
      </c>
      <c r="F28" s="147" t="n">
        <f aca="false">EK_Bedarf_gesamt</f>
        <v>83974.5</v>
      </c>
      <c r="H28" s="72" t="s">
        <v>388</v>
      </c>
      <c r="I28" s="129" t="n">
        <f aca="false">INDEX(Projektion!$D$31:$AQ$31,1)/12</f>
        <v>416.666666666667</v>
      </c>
      <c r="K28" s="120"/>
    </row>
    <row r="29" customFormat="false" ht="18" hidden="false" customHeight="true" outlineLevel="0" collapsed="false">
      <c r="B29" s="73" t="s">
        <v>275</v>
      </c>
      <c r="C29" s="147" t="n">
        <f aca="false">Gesamtinvestition</f>
        <v>328974.5</v>
      </c>
      <c r="E29" s="72" t="s">
        <v>342</v>
      </c>
      <c r="F29" s="110" t="n">
        <f aca="false">EK_Quote</f>
        <v>0.240062679630184</v>
      </c>
      <c r="H29" s="141" t="s">
        <v>553</v>
      </c>
      <c r="I29" s="142" t="n">
        <f aca="false">INDEX(Projektion!$D$33:$AQ$33,1)/12</f>
        <v>-452.666666666667</v>
      </c>
      <c r="K29" s="120"/>
    </row>
    <row r="30" customFormat="false" ht="18" hidden="false" customHeight="true" outlineLevel="0" collapsed="false">
      <c r="B30" s="72" t="s">
        <v>1237</v>
      </c>
      <c r="C30" s="129" t="n">
        <f aca="false">Reserve_Einmalig</f>
        <v>5000</v>
      </c>
      <c r="E30" s="72" t="s">
        <v>344</v>
      </c>
      <c r="F30" s="110" t="n">
        <f aca="false">Beleihung</f>
        <v>0.87719298245614</v>
      </c>
      <c r="H30" s="73" t="s">
        <v>1238</v>
      </c>
      <c r="I30" s="147" t="n">
        <f aca="false">INDEX(Projektion!$D$36:$AQ$36,1)/12</f>
        <v>256.533045793917</v>
      </c>
      <c r="K30" s="120"/>
    </row>
    <row r="31" customFormat="false" ht="12" hidden="false" customHeight="true" outlineLevel="0" collapsed="false">
      <c r="K31" s="9"/>
    </row>
    <row r="32" customFormat="false" ht="24" hidden="false" customHeight="true" outlineLevel="0" collapsed="false">
      <c r="B32" s="33" t="s">
        <v>1239</v>
      </c>
      <c r="C32" s="33"/>
      <c r="E32" s="33" t="s">
        <v>1240</v>
      </c>
      <c r="F32" s="33"/>
      <c r="H32" s="33" t="s">
        <v>469</v>
      </c>
      <c r="I32" s="33"/>
      <c r="K32" s="118" t="s">
        <v>1241</v>
      </c>
    </row>
    <row r="33" customFormat="false" ht="6" hidden="false" customHeight="true" outlineLevel="0" collapsed="false">
      <c r="K33" s="120" t="s">
        <v>1242</v>
      </c>
    </row>
    <row r="34" customFormat="false" ht="18" hidden="false" customHeight="true" outlineLevel="0" collapsed="false">
      <c r="B34" s="72" t="s">
        <v>1144</v>
      </c>
      <c r="C34" s="129" t="n">
        <f aca="false">Kapitaldienst_Monat_J1</f>
        <v>1166.66666666667</v>
      </c>
      <c r="E34" s="72" t="s">
        <v>1243</v>
      </c>
      <c r="F34" s="129" t="n">
        <f aca="false">Darlehen_Summe</f>
        <v>250000</v>
      </c>
      <c r="H34" s="72" t="s">
        <v>1244</v>
      </c>
      <c r="I34" s="129" t="n">
        <f aca="false">INDEX(Projektion!$D$41:$AQ$41,5)</f>
        <v>327911.9985504</v>
      </c>
      <c r="K34" s="120"/>
    </row>
    <row r="35" customFormat="false" ht="18" hidden="false" customHeight="true" outlineLevel="0" collapsed="false">
      <c r="B35" s="72" t="s">
        <v>356</v>
      </c>
      <c r="C35" s="158" t="n">
        <f aca="false">DSCR_J1</f>
        <v>0.612</v>
      </c>
      <c r="E35" s="72" t="s">
        <v>1245</v>
      </c>
      <c r="F35" s="129" t="n">
        <f aca="false">EK_Bedarf_gesamt</f>
        <v>83974.5</v>
      </c>
      <c r="H35" s="72" t="s">
        <v>1246</v>
      </c>
      <c r="I35" s="129" t="n">
        <f aca="false">INDEX(Projektion!$D$42:$AQ$42,5)</f>
        <v>223134.02520192</v>
      </c>
      <c r="K35" s="120"/>
    </row>
    <row r="36" customFormat="false" ht="18" hidden="false" customHeight="true" outlineLevel="0" collapsed="false">
      <c r="B36" s="72" t="s">
        <v>313</v>
      </c>
      <c r="C36" s="110" t="n">
        <f aca="false">Nettomietrendite</f>
        <v>0.0260445718437143</v>
      </c>
      <c r="E36" s="72" t="s">
        <v>1247</v>
      </c>
      <c r="F36" s="129" t="n">
        <f aca="false">IF(Rechtsform_Idx=1,zvE,"lt. Jahresabschluss")</f>
        <v>75000</v>
      </c>
      <c r="H36" s="72" t="s">
        <v>1248</v>
      </c>
      <c r="I36" s="129" t="n">
        <f aca="false">INDEX(Projektion!$D$41:$AQ$41,10)</f>
        <v>362041.342738443</v>
      </c>
      <c r="K36" s="120"/>
    </row>
    <row r="37" customFormat="false" ht="18" hidden="false" customHeight="true" outlineLevel="0" collapsed="false">
      <c r="B37" s="72" t="s">
        <v>349</v>
      </c>
      <c r="C37" s="116" t="str">
        <f aca="false">Volltilgung_Txt</f>
        <v>Jahr 32 (2057)</v>
      </c>
      <c r="E37" s="72" t="s">
        <v>1249</v>
      </c>
      <c r="F37" s="129" t="n">
        <f aca="false">HH_Ueberschuss_pa</f>
        <v>1168</v>
      </c>
      <c r="H37" s="72" t="s">
        <v>1250</v>
      </c>
      <c r="I37" s="129" t="n">
        <f aca="false">INDEX(Projektion!$D$42:$AQ$42,10)</f>
        <v>191071.230070512</v>
      </c>
      <c r="K37" s="120"/>
    </row>
    <row r="38" customFormat="false" ht="18" hidden="false" customHeight="true" outlineLevel="0" collapsed="false">
      <c r="B38" s="72" t="s">
        <v>342</v>
      </c>
      <c r="C38" s="110" t="n">
        <f aca="false">EK_Quote</f>
        <v>0.240062679630184</v>
      </c>
      <c r="E38" s="72" t="s">
        <v>757</v>
      </c>
      <c r="F38" s="129" t="n">
        <f aca="false">VA_Netto</f>
        <v>78000</v>
      </c>
      <c r="H38" s="72" t="s">
        <v>1251</v>
      </c>
      <c r="I38" s="129" t="n">
        <f aca="false">INDEX(Projektion!$D$13:$AQ$13,10)</f>
        <v>13624.0552822943</v>
      </c>
      <c r="K38" s="120"/>
    </row>
    <row r="39" customFormat="false" ht="18" hidden="false" customHeight="true" outlineLevel="0" collapsed="false">
      <c r="B39" s="72" t="str">
        <f aca="false">"IRR n. St. ("&amp;Haltedauer&amp;" J.)"</f>
        <v>IRR n. St. (12 J.)</v>
      </c>
      <c r="C39" s="110" t="n">
        <f aca="false">EK_IRR</f>
        <v>0.0532739559084637</v>
      </c>
      <c r="E39" s="72" t="s">
        <v>1237</v>
      </c>
      <c r="F39" s="129" t="n">
        <f aca="false">Reserve_Einmalig</f>
        <v>5000</v>
      </c>
      <c r="H39" s="72" t="s">
        <v>1252</v>
      </c>
      <c r="I39" s="129" t="n">
        <f aca="false">INDEX(Projektion!$D$36:$AQ$36,10)</f>
        <v>-3383.41682160308</v>
      </c>
      <c r="K39" s="120"/>
    </row>
    <row r="40" customFormat="false" ht="18" hidden="false" customHeight="true" outlineLevel="0" collapsed="false">
      <c r="B40" s="72" t="s">
        <v>1253</v>
      </c>
      <c r="C40" s="116" t="str">
        <f aca="false">Zinsbindung_I&amp;" Jahre / "&amp;FIXED(Anschlusszins_I*100,2)&amp;" %"</f>
        <v>10 Jahre / 4.50 %</v>
      </c>
      <c r="E40" s="72" t="s">
        <v>1254</v>
      </c>
      <c r="F40" s="129" t="n">
        <f aca="false">Sondertilgung_I+Sondertilgung_II</f>
        <v>0</v>
      </c>
      <c r="H40" s="72" t="str">
        <f aca="false">"Nettovermögen nach "&amp;Haltedauer&amp;" Jahren"</f>
        <v>Nettovermögen nach 12 Jahren</v>
      </c>
      <c r="I40" s="129" t="n">
        <f aca="false">INDEX(Projektion!$D$43:$AQ$43,Haltedauer)</f>
        <v>196643.252967325</v>
      </c>
      <c r="K40" s="120"/>
    </row>
    <row r="41" customFormat="false" ht="18" hidden="false" customHeight="true" outlineLevel="0" collapsed="false">
      <c r="B41" s="72" t="s">
        <v>617</v>
      </c>
      <c r="C41" s="110" t="n">
        <f aca="false">INDEX(Projektion!$D$45:$AQ$45,1)</f>
        <v>0.177505353620814</v>
      </c>
      <c r="E41" s="72" t="s">
        <v>1255</v>
      </c>
      <c r="F41" s="116" t="str">
        <f aca="false">IFERROR(TRIM(MID(Obj_Adresse,FIND(",",Obj_Adresse)+1,200)),Obj_Adresse)</f>
        <v>88250 Weingarten</v>
      </c>
      <c r="H41" s="72" t="str">
        <f aca="false">"Verkaufspreis nach "&amp;Haltedauer&amp;" Jahren"</f>
        <v>Verkaufspreis nach 12 Jahren</v>
      </c>
      <c r="I41" s="129" t="n">
        <f aca="false">Exit_VP</f>
        <v>376667.812985076</v>
      </c>
      <c r="K41" s="120"/>
    </row>
    <row r="42" customFormat="false" ht="12" hidden="false" customHeight="true" outlineLevel="0" collapsed="false">
      <c r="K42" s="9"/>
    </row>
    <row r="43" customFormat="false" ht="24" hidden="false" customHeight="true" outlineLevel="0" collapsed="false">
      <c r="B43" s="33" t="s">
        <v>1256</v>
      </c>
      <c r="C43" s="33"/>
      <c r="D43" s="33"/>
      <c r="E43" s="33"/>
      <c r="F43" s="33"/>
      <c r="G43" s="33"/>
      <c r="H43" s="33"/>
      <c r="I43" s="33"/>
      <c r="K43" s="9"/>
    </row>
    <row r="44" customFormat="false" ht="15" hidden="false" customHeight="true" outlineLevel="0" collapsed="false">
      <c r="K44" s="9"/>
    </row>
    <row r="45" customFormat="false" ht="15" hidden="false" customHeight="true" outlineLevel="0" collapsed="false">
      <c r="K45" s="9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9.75" hidden="false" customHeight="true" outlineLevel="0" collapsed="false"/>
    <row r="59" customFormat="false" ht="3.75" hidden="false" customHeight="true" outlineLevel="0" collapsed="false"/>
    <row r="60" customFormat="false" ht="3.75" hidden="false" customHeight="true" outlineLevel="0" collapsed="false"/>
    <row r="61" customFormat="false" ht="30" hidden="false" customHeight="true" outlineLevel="0" collapsed="false">
      <c r="B61" s="434" t="str">
        <f aca="false">"Annahmen: Mietsteigerung "&amp;FIXED(Mietsteigerung*100,1)&amp;" % p. a.  ·  Kostensteigerung "&amp;FIXED(Kostensteigerung*100,1)&amp;" % p. a.  ·  Wertsteigerung "&amp;FIXED(Wertsteigerung*100,1)&amp;" % p. a.  ·  Mietausfallwagnis "&amp;FIXED(Mietausfall_Pct*100,1)&amp;" %  ·  Instandhaltungsrücklage "&amp;FIXED(IH_Ruecklage_qm,0)&amp;" €/m² p. a.  ·  Anschlusszins Darlehen I "&amp;FIXED(Anschlusszins_I*100,2)&amp;" %  ·  AfA: "&amp;INDEX(L_AfA,Methode_eff)</f>
        <v>Annahmen: Mietsteigerung 2.0 % p. a.  ·  Kostensteigerung 2.0 % p. a.  ·  Wertsteigerung 2.0 % p. a.  ·  Mietausfallwagnis 3.0 %  ·  Instandhaltungsrücklage 10 €/m² p. a.  ·  Anschlusszins Darlehen I 4.50 %  ·  AfA: Automatisch nach Baujahr (§ 7 Abs. 4 EStG)</v>
      </c>
      <c r="C61" s="434"/>
      <c r="D61" s="434"/>
      <c r="E61" s="434"/>
      <c r="F61" s="434"/>
      <c r="G61" s="434"/>
      <c r="H61" s="434"/>
      <c r="I61" s="434"/>
    </row>
    <row r="62" customFormat="false" ht="3.75" hidden="false" customHeight="true" outlineLevel="0" collapsed="false"/>
    <row r="63" customFormat="false" ht="30" hidden="false" customHeight="true" outlineLevel="0" collapsed="false">
      <c r="B63" s="434" t="s">
        <v>1257</v>
      </c>
      <c r="C63" s="434"/>
      <c r="D63" s="434"/>
      <c r="E63" s="434"/>
      <c r="F63" s="434"/>
      <c r="G63" s="434"/>
      <c r="H63" s="434"/>
      <c r="I63" s="434"/>
    </row>
    <row r="64" customFormat="false" ht="15.75" hidden="false" customHeight="true" outlineLevel="0" collapsed="false">
      <c r="B64" s="430" t="s">
        <v>1258</v>
      </c>
    </row>
    <row r="65" customFormat="false" ht="12" hidden="false" customHeight="true" outlineLevel="0" collapsed="false"/>
    <row r="66" customFormat="false" ht="25.5" hidden="false" customHeight="true" outlineLevel="0" collapsed="false">
      <c r="A66" s="9"/>
      <c r="B66" s="126" t="s">
        <v>1259</v>
      </c>
      <c r="C66" s="126"/>
      <c r="D66" s="9"/>
      <c r="E66" s="9"/>
      <c r="F66" s="9"/>
      <c r="G66" s="9"/>
      <c r="H66" s="101" t="s">
        <v>1260</v>
      </c>
      <c r="I66" s="101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2" hidden="false" customHeight="true" outlineLevel="0" collapsed="false">
      <c r="A67" s="9"/>
      <c r="B67" s="8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8" hidden="false" customHeight="true" outlineLevel="0" collapsed="false">
      <c r="B68" s="79" t="s">
        <v>91</v>
      </c>
      <c r="C68" s="216"/>
      <c r="D68" s="216"/>
      <c r="E68" s="216"/>
      <c r="F68" s="216"/>
      <c r="G68" s="216"/>
      <c r="H68" s="216"/>
      <c r="I68" s="216"/>
    </row>
    <row r="69" customFormat="false" ht="13.5" hidden="false" customHeight="true" outlineLevel="0" collapsed="false">
      <c r="B69" s="430" t="s">
        <v>92</v>
      </c>
    </row>
  </sheetData>
  <mergeCells count="19">
    <mergeCell ref="H6:I6"/>
    <mergeCell ref="B7:G7"/>
    <mergeCell ref="H7:I7"/>
    <mergeCell ref="B9:C15"/>
    <mergeCell ref="E9:F15"/>
    <mergeCell ref="H9:I15"/>
    <mergeCell ref="B17:C17"/>
    <mergeCell ref="E17:F17"/>
    <mergeCell ref="H17:I17"/>
    <mergeCell ref="K18:K30"/>
    <mergeCell ref="B32:C32"/>
    <mergeCell ref="E32:F32"/>
    <mergeCell ref="H32:I32"/>
    <mergeCell ref="K33:K41"/>
    <mergeCell ref="B43:I43"/>
    <mergeCell ref="B61:I61"/>
    <mergeCell ref="B63:I63"/>
    <mergeCell ref="B66:C66"/>
    <mergeCell ref="H66:I66"/>
  </mergeCells>
  <conditionalFormatting sqref="C29">
    <cfRule type="expression" priority="2" aboveAverage="0" equalAverage="0" bottom="0" percent="0" rank="0" text="" dxfId="4">
      <formula>AND(ISNUMBER(C29),C29&lt;0)</formula>
    </cfRule>
    <cfRule type="expression" priority="3" aboveAverage="0" equalAverage="0" bottom="0" percent="0" rank="0" text="" dxfId="3">
      <formula>1</formula>
    </cfRule>
  </conditionalFormatting>
  <conditionalFormatting sqref="F28">
    <cfRule type="expression" priority="4" aboveAverage="0" equalAverage="0" bottom="0" percent="0" rank="0" text="" dxfId="4">
      <formula>AND(ISNUMBER(F28),F28&lt;0)</formula>
    </cfRule>
    <cfRule type="expression" priority="5" aboveAverage="0" equalAverage="0" bottom="0" percent="0" rank="0" text="" dxfId="3">
      <formula>1</formula>
    </cfRule>
  </conditionalFormatting>
  <conditionalFormatting sqref="I29">
    <cfRule type="expression" priority="6" aboveAverage="0" equalAverage="0" bottom="0" percent="0" rank="0" text="" dxfId="4">
      <formula>AND(ISNUMBER(I29),I29&lt;0)</formula>
    </cfRule>
    <cfRule type="expression" priority="7" aboveAverage="0" equalAverage="0" bottom="0" percent="0" rank="0" text="" dxfId="0">
      <formula>AND(ISNUMBER(I29),I29&lt;0)</formula>
    </cfRule>
    <cfRule type="expression" priority="8" aboveAverage="0" equalAverage="0" bottom="0" percent="0" rank="0" text="" dxfId="3">
      <formula>1</formula>
    </cfRule>
  </conditionalFormatting>
  <conditionalFormatting sqref="I30">
    <cfRule type="expression" priority="9" aboveAverage="0" equalAverage="0" bottom="0" percent="0" rank="0" text="" dxfId="4">
      <formula>AND(ISNUMBER(I30),I30&lt;0)</formula>
    </cfRule>
    <cfRule type="expression" priority="10" aboveAverage="0" equalAverage="0" bottom="0" percent="0" rank="0" text="" dxfId="0">
      <formula>AND(ISNUMBER(I30),I30&lt;0)</formula>
    </cfRule>
    <cfRule type="expression" priority="11" aboveAverage="0" equalAverage="0" bottom="0" percent="0" rank="0" text="" dxfId="3">
      <formula>1</formula>
    </cfRule>
  </conditionalFormatting>
  <conditionalFormatting sqref="C35">
    <cfRule type="expression" priority="12" aboveAverage="0" equalAverage="0" bottom="0" percent="0" rank="0" text="" dxfId="0">
      <formula>AND(ISNUMBER($C$35),$C$35&lt;Ampel_DSCR_gelb)</formula>
    </cfRule>
    <cfRule type="expression" priority="13" aboveAverage="0" equalAverage="0" bottom="0" percent="0" rank="0" text="" dxfId="1">
      <formula>AND(ISNUMBER($C$35),$C$35&lt;Ampel_DSCR_gruen)</formula>
    </cfRule>
    <cfRule type="expression" priority="14" aboveAverage="0" equalAverage="0" bottom="0" percent="0" rank="0" text="" dxfId="2">
      <formula>ISNUMBER($C$35)</formula>
    </cfRule>
    <cfRule type="expression" priority="15" aboveAverage="0" equalAverage="0" bottom="0" percent="0" rank="0" text="" dxfId="3">
      <formula>1</formula>
    </cfRule>
  </conditionalFormatting>
  <conditionalFormatting sqref="C36">
    <cfRule type="expression" priority="16" aboveAverage="0" equalAverage="0" bottom="0" percent="0" rank="0" text="" dxfId="0">
      <formula>AND(ISNUMBER($C$36),$C$36&lt;Ampel_NMR_gelb)</formula>
    </cfRule>
    <cfRule type="expression" priority="17" aboveAverage="0" equalAverage="0" bottom="0" percent="0" rank="0" text="" dxfId="1">
      <formula>AND(ISNUMBER($C$36),$C$36&lt;Ampel_NMR_gruen)</formula>
    </cfRule>
    <cfRule type="expression" priority="18" aboveAverage="0" equalAverage="0" bottom="0" percent="0" rank="0" text="" dxfId="2">
      <formula>ISNUMBER($C$36)</formula>
    </cfRule>
    <cfRule type="expression" priority="19" aboveAverage="0" equalAverage="0" bottom="0" percent="0" rank="0" text="" dxfId="3">
      <formula>1</formula>
    </cfRule>
  </conditionalFormatting>
  <conditionalFormatting sqref="C39">
    <cfRule type="expression" priority="20" aboveAverage="0" equalAverage="0" bottom="0" percent="0" rank="0" text="" dxfId="0">
      <formula>AND(ISNUMBER($C$39),$C$39&lt;Ampel_IRR_gelb)</formula>
    </cfRule>
    <cfRule type="expression" priority="21" aboveAverage="0" equalAverage="0" bottom="0" percent="0" rank="0" text="" dxfId="1">
      <formula>AND(ISNUMBER($C$39),$C$39&lt;Ampel_IRR_gruen)</formula>
    </cfRule>
    <cfRule type="expression" priority="22" aboveAverage="0" equalAverage="0" bottom="0" percent="0" rank="0" text="" dxfId="2">
      <formula>ISNUMBER($C$39)</formula>
    </cfRule>
    <cfRule type="expression" priority="23" aboveAverage="0" equalAverage="0" bottom="0" percent="0" rank="0" text="" dxfId="3">
      <formula>1</formula>
    </cfRule>
  </conditionalFormatting>
  <conditionalFormatting sqref="C41">
    <cfRule type="expression" priority="24" aboveAverage="0" equalAverage="0" bottom="0" percent="0" rank="0" text="" dxfId="0">
      <formula>AND(ISNUMBER($C$41),$C$41&lt;Ampel_EKR_gelb)</formula>
    </cfRule>
    <cfRule type="expression" priority="25" aboveAverage="0" equalAverage="0" bottom="0" percent="0" rank="0" text="" dxfId="1">
      <formula>AND(ISNUMBER($C$41),$C$41&lt;Ampel_EKR_gruen)</formula>
    </cfRule>
    <cfRule type="expression" priority="26" aboveAverage="0" equalAverage="0" bottom="0" percent="0" rank="0" text="" dxfId="2">
      <formula>ISNUMBER($C$41)</formula>
    </cfRule>
    <cfRule type="expression" priority="27" aboveAverage="0" equalAverage="0" bottom="0" percent="0" rank="0" text="" dxfId="3">
      <formula>1</formula>
    </cfRule>
  </conditionalFormatting>
  <conditionalFormatting sqref="I22">
    <cfRule type="expression" priority="28" aboveAverage="0" equalAverage="0" bottom="0" percent="0" rank="0" text="" dxfId="0">
      <formula>AND(ISNUMBER($I$22),$I$22&lt;Ampel_BMR_gelb)</formula>
    </cfRule>
    <cfRule type="expression" priority="29" aboveAverage="0" equalAverage="0" bottom="0" percent="0" rank="0" text="" dxfId="1">
      <formula>AND(ISNUMBER($I$22),$I$22&lt;Ampel_BMR_gruen)</formula>
    </cfRule>
    <cfRule type="expression" priority="30" aboveAverage="0" equalAverage="0" bottom="0" percent="0" rank="0" text="" dxfId="2">
      <formula>ISNUMBER($I$22)</formula>
    </cfRule>
    <cfRule type="expression" priority="31" aboveAverage="0" equalAverage="0" bottom="0" percent="0" rank="0" text="" dxfId="3">
      <formula>1</formula>
    </cfRule>
  </conditionalFormatting>
  <conditionalFormatting sqref="I39">
    <cfRule type="expression" priority="32" aboveAverage="0" equalAverage="0" bottom="0" percent="0" rank="0" text="" dxfId="0">
      <formula>AND(ISNUMBER(I39),I39&lt;0)</formula>
    </cfRule>
    <cfRule type="expression" priority="33" aboveAverage="0" equalAverage="0" bottom="0" percent="0" rank="0" text="" dxfId="3">
      <formula>1</formula>
    </cfRule>
  </conditionalFormatting>
  <hyperlinks>
    <hyperlink ref="B5" location="'Start'!A4" display="BANK  ›  BANKGESPRÄCH"/>
    <hyperlink ref="B66" location="'Sensitivität'!A4" display="‹  Zurück: Sensitivität"/>
    <hyperlink ref="H66" location="'Haushaltsrechnung'!A4" display="Weiter: Haushaltsrechnung  ›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Z7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36"/>
    <col collapsed="false" customWidth="true" hidden="false" outlineLevel="0" max="6" min="6" style="1" width="3"/>
    <col collapsed="false" customWidth="true" hidden="false" outlineLevel="0" max="9" min="7" style="1" width="12"/>
    <col collapsed="false" customWidth="true" hidden="false" outlineLevel="0" max="10" min="10" style="1" width="2"/>
    <col collapsed="false" customWidth="true" hidden="false" outlineLevel="0" max="13" min="11" style="1" width="12"/>
    <col collapsed="false" customWidth="true" hidden="false" outlineLevel="0" max="15" min="14" style="1" width="11"/>
    <col collapsed="false" customWidth="true" hidden="false" outlineLevel="0" max="17" min="1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3"/>
      <c r="R1" s="3"/>
      <c r="S1" s="3"/>
      <c r="T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0"/>
      <c r="O2" s="0"/>
      <c r="P2" s="0"/>
      <c r="Q2" s="7"/>
      <c r="R2" s="8"/>
      <c r="S2" s="9"/>
      <c r="T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11"/>
      <c r="R3" s="11"/>
      <c r="S3" s="11"/>
      <c r="T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customFormat="false" ht="15.75" hidden="false" customHeight="true" outlineLevel="0" collapsed="false">
      <c r="A5" s="12"/>
      <c r="B5" s="84" t="s">
        <v>1261</v>
      </c>
      <c r="C5" s="39"/>
      <c r="D5" s="39"/>
      <c r="E5" s="3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30" hidden="false" customHeight="true" outlineLevel="0" collapsed="false">
      <c r="A6" s="12"/>
      <c r="B6" s="86" t="s">
        <v>1262</v>
      </c>
      <c r="C6" s="39"/>
      <c r="D6" s="39"/>
      <c r="E6" s="39"/>
      <c r="F6" s="12"/>
      <c r="G6" s="12"/>
      <c r="H6" s="12"/>
      <c r="I6" s="12"/>
      <c r="J6" s="12"/>
      <c r="K6" s="12"/>
      <c r="L6" s="12"/>
      <c r="M6" s="259" t="str">
        <f aca="false">IFERROR(IF(Erstellt_fuer="","","Erstellt für "&amp;Erstellt_fuer),"")</f>
        <v>Erstellt für Max Mustermann</v>
      </c>
      <c r="N6" s="12"/>
      <c r="O6" s="12"/>
      <c r="P6" s="12"/>
    </row>
    <row r="7" customFormat="false" ht="21.75" hidden="false" customHeight="true" outlineLevel="0" collapsed="false">
      <c r="A7" s="12"/>
      <c r="B7" s="106" t="s">
        <v>1263</v>
      </c>
      <c r="C7" s="39"/>
      <c r="D7" s="39"/>
      <c r="E7" s="39"/>
      <c r="F7" s="12"/>
      <c r="G7" s="12"/>
      <c r="H7" s="12"/>
      <c r="I7" s="12"/>
      <c r="J7" s="12"/>
      <c r="K7" s="12"/>
      <c r="L7" s="12"/>
      <c r="M7" s="435" t="s">
        <v>1264</v>
      </c>
      <c r="N7" s="12"/>
      <c r="O7" s="12"/>
      <c r="P7" s="12"/>
    </row>
    <row r="8" customFormat="false" ht="24" hidden="false" customHeight="true" outlineLevel="0" collapsed="false">
      <c r="A8" s="12"/>
      <c r="B8" s="33" t="s">
        <v>1265</v>
      </c>
      <c r="C8" s="264"/>
      <c r="D8" s="264"/>
      <c r="E8" s="264"/>
      <c r="F8" s="12"/>
      <c r="G8" s="33" t="s">
        <v>1266</v>
      </c>
      <c r="H8" s="436"/>
      <c r="I8" s="436"/>
      <c r="J8" s="436"/>
      <c r="K8" s="436"/>
      <c r="L8" s="436"/>
      <c r="M8" s="436"/>
      <c r="N8" s="12"/>
      <c r="O8" s="12"/>
      <c r="P8" s="12"/>
    </row>
    <row r="9" customFormat="false" ht="18" hidden="false" customHeight="true" outlineLevel="0" collapsed="false">
      <c r="A9" s="12"/>
      <c r="B9" s="72" t="s">
        <v>1267</v>
      </c>
      <c r="C9" s="18" t="s">
        <v>2</v>
      </c>
      <c r="D9" s="18"/>
      <c r="E9" s="1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2"/>
      <c r="B10" s="72" t="s">
        <v>1268</v>
      </c>
      <c r="C10" s="18" t="s">
        <v>1269</v>
      </c>
      <c r="D10" s="18"/>
      <c r="E10" s="18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2"/>
      <c r="B11" s="72" t="s">
        <v>1270</v>
      </c>
      <c r="C11" s="18" t="s">
        <v>1271</v>
      </c>
      <c r="D11" s="18"/>
      <c r="E11" s="1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2"/>
      <c r="B12" s="72" t="s">
        <v>1272</v>
      </c>
      <c r="C12" s="437" t="n">
        <v>0</v>
      </c>
      <c r="D12" s="437"/>
      <c r="E12" s="437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2"/>
      <c r="B13" s="72" t="s">
        <v>1273</v>
      </c>
      <c r="C13" s="18" t="s">
        <v>1274</v>
      </c>
      <c r="D13" s="18"/>
      <c r="E13" s="18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2"/>
      <c r="B14" s="72" t="s">
        <v>1275</v>
      </c>
      <c r="C14" s="438" t="n">
        <v>42005</v>
      </c>
      <c r="D14" s="438"/>
      <c r="E14" s="438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2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24" hidden="false" customHeight="true" outlineLevel="0" collapsed="false">
      <c r="A16" s="12"/>
      <c r="B16" s="33" t="s">
        <v>742</v>
      </c>
      <c r="C16" s="264"/>
      <c r="D16" s="264"/>
      <c r="E16" s="264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9.5" hidden="false" customHeight="true" outlineLevel="0" collapsed="false">
      <c r="A17" s="12"/>
      <c r="B17" s="96" t="s">
        <v>141</v>
      </c>
      <c r="C17" s="109" t="s">
        <v>632</v>
      </c>
      <c r="D17" s="109" t="s">
        <v>633</v>
      </c>
      <c r="E17" s="96" t="s">
        <v>1276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2"/>
      <c r="B18" s="72" t="s">
        <v>1277</v>
      </c>
      <c r="C18" s="325" t="n">
        <v>3200</v>
      </c>
      <c r="D18" s="439" t="n">
        <f aca="false">C18*12</f>
        <v>38400</v>
      </c>
      <c r="E18" s="440" t="s">
        <v>1278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2"/>
      <c r="B19" s="72" t="s">
        <v>1279</v>
      </c>
      <c r="C19" s="325" t="n">
        <v>0</v>
      </c>
      <c r="D19" s="439" t="n">
        <f aca="false">C19*12</f>
        <v>0</v>
      </c>
      <c r="E19" s="440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8" hidden="false" customHeight="true" outlineLevel="0" collapsed="false">
      <c r="A20" s="12"/>
      <c r="B20" s="72" t="s">
        <v>1280</v>
      </c>
      <c r="C20" s="325" t="n">
        <v>0</v>
      </c>
      <c r="D20" s="439" t="n">
        <f aca="false">C20*12</f>
        <v>0</v>
      </c>
      <c r="E20" s="440" t="s">
        <v>1281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18" hidden="false" customHeight="true" outlineLevel="0" collapsed="false">
      <c r="A21" s="12"/>
      <c r="B21" s="72" t="s">
        <v>1282</v>
      </c>
      <c r="C21" s="325" t="n">
        <v>0</v>
      </c>
      <c r="D21" s="439" t="n">
        <f aca="false">C21*12</f>
        <v>0</v>
      </c>
      <c r="E21" s="440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18" hidden="false" customHeight="true" outlineLevel="0" collapsed="false">
      <c r="A22" s="12"/>
      <c r="B22" s="72" t="s">
        <v>1283</v>
      </c>
      <c r="C22" s="325" t="n">
        <v>50</v>
      </c>
      <c r="D22" s="439" t="n">
        <f aca="false">C22*12</f>
        <v>600</v>
      </c>
      <c r="E22" s="440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18" hidden="false" customHeight="true" outlineLevel="0" collapsed="false">
      <c r="A23" s="12"/>
      <c r="B23" s="72" t="s">
        <v>1284</v>
      </c>
      <c r="C23" s="325" t="n">
        <v>0</v>
      </c>
      <c r="D23" s="439" t="n">
        <f aca="false">C23*12</f>
        <v>0</v>
      </c>
      <c r="E23" s="440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18" hidden="false" customHeight="true" outlineLevel="0" collapsed="false">
      <c r="A24" s="12"/>
      <c r="B24" s="72" t="s">
        <v>1285</v>
      </c>
      <c r="C24" s="325" t="n">
        <v>0</v>
      </c>
      <c r="D24" s="439" t="n">
        <f aca="false">C24*12</f>
        <v>0</v>
      </c>
      <c r="E24" s="440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18" hidden="false" customHeight="true" outlineLevel="0" collapsed="false">
      <c r="A25" s="12"/>
      <c r="B25" s="72" t="s">
        <v>1286</v>
      </c>
      <c r="C25" s="325" t="n">
        <v>0</v>
      </c>
      <c r="D25" s="439" t="n">
        <f aca="false">C25*12</f>
        <v>0</v>
      </c>
      <c r="E25" s="440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8" hidden="false" customHeight="true" outlineLevel="0" collapsed="false">
      <c r="A26" s="12"/>
      <c r="B26" s="72" t="s">
        <v>1287</v>
      </c>
      <c r="C26" s="441" t="n">
        <f aca="false">INDEX(Projektion!$D$15:$AQ$15,1)/12</f>
        <v>921.5</v>
      </c>
      <c r="D26" s="439" t="n">
        <f aca="false">C26*12</f>
        <v>11058</v>
      </c>
      <c r="E26" s="440" t="s">
        <v>1288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2"/>
      <c r="B27" s="315" t="s">
        <v>1289</v>
      </c>
      <c r="C27" s="142" t="n">
        <f aca="false">SUM(C18:C26)</f>
        <v>4171.5</v>
      </c>
      <c r="D27" s="142" t="n">
        <f aca="false">C27*12</f>
        <v>50058</v>
      </c>
      <c r="E27" s="37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2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24" hidden="false" customHeight="true" outlineLevel="0" collapsed="false">
      <c r="A29" s="12"/>
      <c r="B29" s="33" t="s">
        <v>743</v>
      </c>
      <c r="C29" s="264"/>
      <c r="D29" s="264"/>
      <c r="E29" s="264"/>
      <c r="F29" s="12"/>
      <c r="G29" s="33" t="s">
        <v>1290</v>
      </c>
      <c r="H29" s="436"/>
      <c r="I29" s="436"/>
      <c r="J29" s="436"/>
      <c r="K29" s="436"/>
      <c r="L29" s="436"/>
      <c r="M29" s="436"/>
      <c r="N29" s="12"/>
      <c r="O29" s="12"/>
      <c r="P29" s="12"/>
    </row>
    <row r="30" customFormat="false" ht="19.5" hidden="false" customHeight="true" outlineLevel="0" collapsed="false">
      <c r="A30" s="12"/>
      <c r="B30" s="96" t="s">
        <v>141</v>
      </c>
      <c r="C30" s="109" t="s">
        <v>632</v>
      </c>
      <c r="D30" s="109" t="s">
        <v>633</v>
      </c>
      <c r="E30" s="96" t="s">
        <v>1276</v>
      </c>
      <c r="F30" s="12"/>
      <c r="G30" s="382" t="s">
        <v>1291</v>
      </c>
      <c r="H30" s="382"/>
      <c r="I30" s="382"/>
      <c r="J30" s="12"/>
      <c r="K30" s="382" t="s">
        <v>1292</v>
      </c>
      <c r="L30" s="382"/>
      <c r="M30" s="382"/>
      <c r="N30" s="12"/>
      <c r="O30" s="12"/>
      <c r="P30" s="12"/>
    </row>
    <row r="31" customFormat="false" ht="18" hidden="false" customHeight="true" outlineLevel="0" collapsed="false">
      <c r="A31" s="12"/>
      <c r="B31" s="72" t="s">
        <v>1293</v>
      </c>
      <c r="C31" s="325" t="n">
        <v>1100</v>
      </c>
      <c r="D31" s="439" t="n">
        <f aca="false">C31*12</f>
        <v>13200</v>
      </c>
      <c r="E31" s="440" t="s">
        <v>1294</v>
      </c>
      <c r="F31" s="12"/>
      <c r="G31" s="92" t="n">
        <f aca="false">C46</f>
        <v>97.3333333333335</v>
      </c>
      <c r="H31" s="92"/>
      <c r="I31" s="92"/>
      <c r="J31" s="12"/>
      <c r="K31" s="182" t="n">
        <f aca="false">C47</f>
        <v>0.0233329337967958</v>
      </c>
      <c r="L31" s="182"/>
      <c r="M31" s="182"/>
      <c r="N31" s="12"/>
      <c r="O31" s="12"/>
      <c r="P31" s="12"/>
    </row>
    <row r="32" customFormat="false" ht="18" hidden="false" customHeight="true" outlineLevel="0" collapsed="false">
      <c r="A32" s="12"/>
      <c r="B32" s="72" t="s">
        <v>1295</v>
      </c>
      <c r="C32" s="325" t="n">
        <v>600</v>
      </c>
      <c r="D32" s="439" t="n">
        <f aca="false">C32*12</f>
        <v>7200</v>
      </c>
      <c r="E32" s="440"/>
      <c r="F32" s="12"/>
      <c r="G32" s="92"/>
      <c r="H32" s="92"/>
      <c r="I32" s="92"/>
      <c r="J32" s="12"/>
      <c r="K32" s="182"/>
      <c r="L32" s="182"/>
      <c r="M32" s="182"/>
      <c r="N32" s="12"/>
      <c r="O32" s="12"/>
      <c r="P32" s="12"/>
    </row>
    <row r="33" customFormat="false" ht="18" hidden="false" customHeight="true" outlineLevel="0" collapsed="false">
      <c r="A33" s="12"/>
      <c r="B33" s="72" t="s">
        <v>1296</v>
      </c>
      <c r="C33" s="325" t="n">
        <v>300</v>
      </c>
      <c r="D33" s="439" t="n">
        <f aca="false">C33*12</f>
        <v>3600</v>
      </c>
      <c r="E33" s="440"/>
      <c r="F33" s="12"/>
      <c r="G33" s="50" t="str">
        <f aca="false">"p. a. "&amp;FIXED(D46,0)&amp;" €"</f>
        <v>p. a. 1,168 €</v>
      </c>
      <c r="H33" s="50"/>
      <c r="I33" s="93" t="str">
        <f aca="false">IF(AND(ISNUMBER($C$47),$C$47&lt;0),"●  kritisch",IF(AND(ISNUMBER($C$47),$C$47&lt;0.05),"●  prüfen",IF(ISNUMBER($C$47),"●  erfüllt","")))</f>
        <v>●  prüfen</v>
      </c>
      <c r="J33" s="12"/>
      <c r="K33" s="50" t="s">
        <v>1297</v>
      </c>
      <c r="L33" s="50"/>
      <c r="M33" s="93" t="str">
        <f aca="false">IF(AND(ISNUMBER($C$47),$C$47&lt;0),"●  kritisch",IF(AND(ISNUMBER($C$47),$C$47&lt;0.05),"●  prüfen",IF(ISNUMBER($C$47),"●  erfüllt","")))</f>
        <v>●  prüfen</v>
      </c>
      <c r="N33" s="12"/>
      <c r="O33" s="12"/>
      <c r="P33" s="12"/>
    </row>
    <row r="34" customFormat="false" ht="18" hidden="false" customHeight="true" outlineLevel="0" collapsed="false">
      <c r="A34" s="12"/>
      <c r="B34" s="72" t="s">
        <v>1298</v>
      </c>
      <c r="C34" s="325" t="n">
        <v>150</v>
      </c>
      <c r="D34" s="439" t="n">
        <f aca="false">C34*12</f>
        <v>1800</v>
      </c>
      <c r="E34" s="440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8" hidden="false" customHeight="true" outlineLevel="0" collapsed="false">
      <c r="A35" s="12"/>
      <c r="B35" s="72" t="s">
        <v>1299</v>
      </c>
      <c r="C35" s="325" t="n">
        <v>250</v>
      </c>
      <c r="D35" s="439" t="n">
        <f aca="false">C35*12</f>
        <v>3000</v>
      </c>
      <c r="E35" s="440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18" hidden="false" customHeight="true" outlineLevel="0" collapsed="false">
      <c r="A36" s="12"/>
      <c r="B36" s="72" t="s">
        <v>1300</v>
      </c>
      <c r="C36" s="325" t="n">
        <v>300</v>
      </c>
      <c r="D36" s="439" t="n">
        <f aca="false">C36*12</f>
        <v>3600</v>
      </c>
      <c r="E36" s="440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customFormat="false" ht="18" hidden="false" customHeight="true" outlineLevel="0" collapsed="false">
      <c r="A37" s="12"/>
      <c r="B37" s="72" t="s">
        <v>1301</v>
      </c>
      <c r="C37" s="325" t="n">
        <v>0</v>
      </c>
      <c r="D37" s="439" t="n">
        <f aca="false">C37*12</f>
        <v>0</v>
      </c>
      <c r="E37" s="440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customFormat="false" ht="18" hidden="false" customHeight="true" outlineLevel="0" collapsed="false">
      <c r="A38" s="12"/>
      <c r="B38" s="72" t="s">
        <v>1302</v>
      </c>
      <c r="C38" s="325" t="n">
        <v>0</v>
      </c>
      <c r="D38" s="439" t="n">
        <f aca="false">C38*12</f>
        <v>0</v>
      </c>
      <c r="E38" s="440" t="s">
        <v>1303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8" hidden="false" customHeight="true" outlineLevel="0" collapsed="false">
      <c r="A39" s="12"/>
      <c r="B39" s="72" t="s">
        <v>1304</v>
      </c>
      <c r="C39" s="325" t="n">
        <v>0</v>
      </c>
      <c r="D39" s="439" t="n">
        <f aca="false">C39*12</f>
        <v>0</v>
      </c>
      <c r="E39" s="440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false" ht="18" hidden="false" customHeight="true" outlineLevel="0" collapsed="false">
      <c r="A40" s="12"/>
      <c r="B40" s="72" t="s">
        <v>1305</v>
      </c>
      <c r="C40" s="325" t="n">
        <v>0</v>
      </c>
      <c r="D40" s="439" t="n">
        <f aca="false">C40*12</f>
        <v>0</v>
      </c>
      <c r="E40" s="440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8" hidden="false" customHeight="true" outlineLevel="0" collapsed="false">
      <c r="A41" s="12"/>
      <c r="B41" s="72" t="s">
        <v>1306</v>
      </c>
      <c r="C41" s="441" t="n">
        <f aca="false">INDEX(Finanzierung!$D$40:$AQ$40,1)</f>
        <v>1166.66666666667</v>
      </c>
      <c r="D41" s="439" t="n">
        <f aca="false">C41*12</f>
        <v>14000</v>
      </c>
      <c r="E41" s="440" t="s">
        <v>1288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false" ht="18" hidden="false" customHeight="true" outlineLevel="0" collapsed="false">
      <c r="A42" s="12"/>
      <c r="B42" s="72" t="s">
        <v>1307</v>
      </c>
      <c r="C42" s="441" t="n">
        <f aca="false">INDEX(Projektion!$D$26:$AQ$26,1)/12</f>
        <v>207.5</v>
      </c>
      <c r="D42" s="439" t="n">
        <f aca="false">C42*12</f>
        <v>2490</v>
      </c>
      <c r="E42" s="440" t="s">
        <v>1288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false" ht="18" hidden="false" customHeight="true" outlineLevel="0" collapsed="false">
      <c r="A43" s="12"/>
      <c r="B43" s="315" t="s">
        <v>1308</v>
      </c>
      <c r="C43" s="142" t="n">
        <f aca="false">SUM(C31:C42)</f>
        <v>4074.16666666667</v>
      </c>
      <c r="D43" s="142" t="n">
        <f aca="false">C43*12</f>
        <v>48890</v>
      </c>
      <c r="E43" s="37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false" ht="12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false" ht="24" hidden="false" customHeight="true" outlineLevel="0" collapsed="false">
      <c r="A45" s="12"/>
      <c r="B45" s="33" t="s">
        <v>1309</v>
      </c>
      <c r="C45" s="442" t="s">
        <v>632</v>
      </c>
      <c r="D45" s="442" t="s">
        <v>633</v>
      </c>
      <c r="E45" s="264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false" ht="24" hidden="false" customHeight="true" outlineLevel="0" collapsed="false">
      <c r="A46" s="12"/>
      <c r="B46" s="443" t="s">
        <v>1310</v>
      </c>
      <c r="C46" s="444" t="n">
        <f aca="false">HH_Einnahmen-HH_Ausgaben</f>
        <v>97.3333333333335</v>
      </c>
      <c r="D46" s="444" t="n">
        <f aca="false">C46*12</f>
        <v>1168</v>
      </c>
      <c r="E46" s="306" t="s">
        <v>1311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8" hidden="false" customHeight="true" outlineLevel="0" collapsed="false">
      <c r="A47" s="12"/>
      <c r="B47" s="72" t="s">
        <v>1312</v>
      </c>
      <c r="C47" s="110" t="n">
        <f aca="false">IF(HH_Einnahmen&gt;0,C46/HH_Einnahmen,0)</f>
        <v>0.0233329337967958</v>
      </c>
      <c r="D47" s="364"/>
      <c r="E47" s="445" t="str">
        <f aca="false">IF(AND(ISNUMBER($C$47),$C$47&lt;0),"●  kritisch"&amp;"  ·  "&amp;"Ziel ≥ 5 %",IF(AND(ISNUMBER($C$47),$C$47&lt;0.05),"●  prüfen"&amp;"  ·  "&amp;"Ziel ≥ 5 %",IF(ISNUMBER($C$47),"●  erfüllt"&amp;"  ·  "&amp;"Ziel ≥ 5 %","")))</f>
        <v>●  prüfen  ·  Ziel ≥ 5 %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false" ht="12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25.5" hidden="false" customHeight="true" outlineLevel="0" collapsed="false">
      <c r="A49" s="39"/>
      <c r="B49" s="446" t="s">
        <v>1313</v>
      </c>
      <c r="C49" s="9"/>
      <c r="D49" s="9"/>
      <c r="E49" s="101" t="s">
        <v>1314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2" hidden="false" customHeight="true" outlineLevel="0" collapsed="false">
      <c r="A50" s="39"/>
      <c r="B50" s="81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" hidden="false" customHeight="true" outlineLevel="0" collapsed="false">
      <c r="A51" s="12"/>
      <c r="B51" s="79" t="s">
        <v>91</v>
      </c>
      <c r="C51" s="429"/>
      <c r="D51" s="429"/>
      <c r="E51" s="429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3.5" hidden="false" customHeight="true" outlineLevel="0" collapsed="false">
      <c r="A52" s="12"/>
      <c r="B52" s="430" t="s">
        <v>92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</sheetData>
  <sheetProtection sheet="true" objects="1" scenarios="true"/>
  <mergeCells count="12">
    <mergeCell ref="C9:E9"/>
    <mergeCell ref="C10:E10"/>
    <mergeCell ref="C11:E11"/>
    <mergeCell ref="C12:E12"/>
    <mergeCell ref="C13:E13"/>
    <mergeCell ref="C14:E14"/>
    <mergeCell ref="G30:I30"/>
    <mergeCell ref="K30:M30"/>
    <mergeCell ref="G31:I32"/>
    <mergeCell ref="K31:M32"/>
    <mergeCell ref="G33:H33"/>
    <mergeCell ref="K33:L33"/>
  </mergeCells>
  <conditionalFormatting sqref="C27:E27">
    <cfRule type="expression" priority="2" aboveAverage="0" equalAverage="0" bottom="0" percent="0" rank="0" text="" dxfId="4">
      <formula>AND(ISNUMBER(C27),C27&lt;0)</formula>
    </cfRule>
    <cfRule type="expression" priority="3" aboveAverage="0" equalAverage="0" bottom="0" percent="0" rank="0" text="" dxfId="4">
      <formula>AND(ISNUMBER(C27),C27&lt;0)</formula>
    </cfRule>
    <cfRule type="expression" priority="4" aboveAverage="0" equalAverage="0" bottom="0" percent="0" rank="0" text="" dxfId="3">
      <formula>1</formula>
    </cfRule>
  </conditionalFormatting>
  <conditionalFormatting sqref="C43:E43">
    <cfRule type="expression" priority="5" aboveAverage="0" equalAverage="0" bottom="0" percent="0" rank="0" text="" dxfId="4">
      <formula>AND(ISNUMBER(C43),C43&lt;0)</formula>
    </cfRule>
    <cfRule type="expression" priority="6" aboveAverage="0" equalAverage="0" bottom="0" percent="0" rank="0" text="" dxfId="4">
      <formula>AND(ISNUMBER(C43),C43&lt;0)</formula>
    </cfRule>
    <cfRule type="expression" priority="7" aboveAverage="0" equalAverage="0" bottom="0" percent="0" rank="0" text="" dxfId="3">
      <formula>1</formula>
    </cfRule>
  </conditionalFormatting>
  <conditionalFormatting sqref="C46:D46">
    <cfRule type="expression" priority="8" aboveAverage="0" equalAverage="0" bottom="0" percent="0" rank="0" text="" dxfId="0">
      <formula>AND(ISNUMBER($C$47),$C$47&lt;0)</formula>
    </cfRule>
    <cfRule type="expression" priority="9" aboveAverage="0" equalAverage="0" bottom="0" percent="0" rank="0" text="" dxfId="1">
      <formula>AND(ISNUMBER($C$47),$C$47&lt;0.05)</formula>
    </cfRule>
    <cfRule type="expression" priority="10" aboveAverage="0" equalAverage="0" bottom="0" percent="0" rank="0" text="" dxfId="2">
      <formula>ISNUMBER($C$47)</formula>
    </cfRule>
    <cfRule type="expression" priority="11" aboveAverage="0" equalAverage="0" bottom="0" percent="0" rank="0" text="" dxfId="3">
      <formula>1</formula>
    </cfRule>
  </conditionalFormatting>
  <conditionalFormatting sqref="C47">
    <cfRule type="expression" priority="12" aboveAverage="0" equalAverage="0" bottom="0" percent="0" rank="0" text="" dxfId="0">
      <formula>AND(ISNUMBER($C$47),$C$47&lt;0)</formula>
    </cfRule>
    <cfRule type="expression" priority="13" aboveAverage="0" equalAverage="0" bottom="0" percent="0" rank="0" text="" dxfId="1">
      <formula>AND(ISNUMBER($C$47),$C$47&lt;0.05)</formula>
    </cfRule>
    <cfRule type="expression" priority="14" aboveAverage="0" equalAverage="0" bottom="0" percent="0" rank="0" text="" dxfId="2">
      <formula>ISNUMBER($C$47)</formula>
    </cfRule>
    <cfRule type="expression" priority="15" aboveAverage="0" equalAverage="0" bottom="0" percent="0" rank="0" text="" dxfId="3">
      <formula>1</formula>
    </cfRule>
  </conditionalFormatting>
  <conditionalFormatting sqref="E47">
    <cfRule type="expression" priority="16" aboveAverage="0" equalAverage="0" bottom="0" percent="0" rank="0" text="" dxfId="0">
      <formula>AND(ISNUMBER($C$47),$C$47&lt;0)</formula>
    </cfRule>
    <cfRule type="expression" priority="17" aboveAverage="0" equalAverage="0" bottom="0" percent="0" rank="0" text="" dxfId="1">
      <formula>AND(ISNUMBER($C$47),$C$47&lt;0.05)</formula>
    </cfRule>
    <cfRule type="expression" priority="18" aboveAverage="0" equalAverage="0" bottom="0" percent="0" rank="0" text="" dxfId="2">
      <formula>ISNUMBER($C$47)</formula>
    </cfRule>
    <cfRule type="expression" priority="19" aboveAverage="0" equalAverage="0" bottom="0" percent="0" rank="0" text="" dxfId="3">
      <formula>1</formula>
    </cfRule>
  </conditionalFormatting>
  <conditionalFormatting sqref="I33">
    <cfRule type="expression" priority="20" aboveAverage="0" equalAverage="0" bottom="0" percent="0" rank="0" text="" dxfId="0">
      <formula>AND(ISNUMBER($C$47),$C$47&lt;0)</formula>
    </cfRule>
    <cfRule type="expression" priority="21" aboveAverage="0" equalAverage="0" bottom="0" percent="0" rank="0" text="" dxfId="1">
      <formula>AND(ISNUMBER($C$47),$C$47&lt;0.05)</formula>
    </cfRule>
    <cfRule type="expression" priority="22" aboveAverage="0" equalAverage="0" bottom="0" percent="0" rank="0" text="" dxfId="2">
      <formula>ISNUMBER($C$47)</formula>
    </cfRule>
    <cfRule type="expression" priority="23" aboveAverage="0" equalAverage="0" bottom="0" percent="0" rank="0" text="" dxfId="3">
      <formula>1</formula>
    </cfRule>
  </conditionalFormatting>
  <conditionalFormatting sqref="G31:I32">
    <cfRule type="expression" priority="24" aboveAverage="0" equalAverage="0" bottom="0" percent="0" rank="0" text="" dxfId="0">
      <formula>AND(ISNUMBER($C$47),$C$47&lt;0)</formula>
    </cfRule>
    <cfRule type="expression" priority="25" aboveAverage="0" equalAverage="0" bottom="0" percent="0" rank="0" text="" dxfId="1">
      <formula>AND(ISNUMBER($C$47),$C$47&lt;0.05)</formula>
    </cfRule>
    <cfRule type="expression" priority="26" aboveAverage="0" equalAverage="0" bottom="0" percent="0" rank="0" text="" dxfId="2">
      <formula>ISNUMBER($C$47)</formula>
    </cfRule>
    <cfRule type="expression" priority="27" aboveAverage="0" equalAverage="0" bottom="0" percent="0" rank="0" text="" dxfId="4">
      <formula>AND(ISNUMBER(G31),G31&lt;0)</formula>
    </cfRule>
    <cfRule type="expression" priority="28" aboveAverage="0" equalAverage="0" bottom="0" percent="0" rank="0" text="" dxfId="3">
      <formula>1</formula>
    </cfRule>
  </conditionalFormatting>
  <conditionalFormatting sqref="M33">
    <cfRule type="expression" priority="29" aboveAverage="0" equalAverage="0" bottom="0" percent="0" rank="0" text="" dxfId="0">
      <formula>AND(ISNUMBER($C$47),$C$47&lt;0)</formula>
    </cfRule>
    <cfRule type="expression" priority="30" aboveAverage="0" equalAverage="0" bottom="0" percent="0" rank="0" text="" dxfId="1">
      <formula>AND(ISNUMBER($C$47),$C$47&lt;0.05)</formula>
    </cfRule>
    <cfRule type="expression" priority="31" aboveAverage="0" equalAverage="0" bottom="0" percent="0" rank="0" text="" dxfId="2">
      <formula>ISNUMBER($C$47)</formula>
    </cfRule>
    <cfRule type="expression" priority="32" aboveAverage="0" equalAverage="0" bottom="0" percent="0" rank="0" text="" dxfId="3">
      <formula>1</formula>
    </cfRule>
  </conditionalFormatting>
  <conditionalFormatting sqref="K31:M32">
    <cfRule type="expression" priority="33" aboveAverage="0" equalAverage="0" bottom="0" percent="0" rank="0" text="" dxfId="0">
      <formula>AND(ISNUMBER($C$47),$C$47&lt;0)</formula>
    </cfRule>
    <cfRule type="expression" priority="34" aboveAverage="0" equalAverage="0" bottom="0" percent="0" rank="0" text="" dxfId="1">
      <formula>AND(ISNUMBER($C$47),$C$47&lt;0.05)</formula>
    </cfRule>
    <cfRule type="expression" priority="35" aboveAverage="0" equalAverage="0" bottom="0" percent="0" rank="0" text="" dxfId="2">
      <formula>ISNUMBER($C$47)</formula>
    </cfRule>
    <cfRule type="expression" priority="36" aboveAverage="0" equalAverage="0" bottom="0" percent="0" rank="0" text="" dxfId="3">
      <formula>1</formula>
    </cfRule>
  </conditionalFormatting>
  <dataValidations count="2">
    <dataValidation allowBlank="true" error="Bitte eine ganze Zahl zwischen 0 und 20 eingeben." errorStyle="stop" errorTitle="Ungültige Anzahl" operator="between" prompt="Anzahl unterhaltspflichtiger Kinder (0–20)." promptTitle="Kinder" showDropDown="false" showErrorMessage="1" showInputMessage="true" sqref="C12" type="whole">
      <formula1>0</formula1>
      <formula2>20</formula2>
    </dataValidation>
    <dataValidation allowBlank="true" error="Bitte ein Datum zwischen 1950 und heute eingeben." errorStyle="stop" errorTitle="Ungültiges Datum" operator="between" prompt="Datum im Format TT.MM.JJJJ, z. B. 01.01.2015." promptTitle="Beschäftigt seit" showDropDown="false" showErrorMessage="1" showInputMessage="true" sqref="C14" type="date">
      <formula1>DATE(1950,1,1)</formula1>
      <formula2>TODAY()</formula2>
    </dataValidation>
  </dataValidations>
  <hyperlinks>
    <hyperlink ref="B5" location="'Bankgespräch'!A4" display="BANK  ›  HAUSHALTSRECHNUNG"/>
    <hyperlink ref="B49" location="'Bankgespräch'!A4" display="‹  Zurück: Bankgespräch"/>
    <hyperlink ref="E49" location="'Vermögensaufstellung'!A4" display="Weiter: Vermögensaufstellung  ›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rowBreaks count="1" manualBreakCount="1">
    <brk id="28" man="true" max="16383" min="0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C9"/>
    <pageSetUpPr fitToPage="true"/>
  </sheetPr>
  <dimension ref="A1:Z60"/>
  <sheetViews>
    <sheetView showFormulas="false" showGridLines="false" showRowColHeaders="0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36"/>
    <col collapsed="false" customWidth="true" hidden="false" outlineLevel="0" max="6" min="6" style="1" width="3"/>
    <col collapsed="false" customWidth="true" hidden="false" outlineLevel="0" max="9" min="7" style="1" width="12"/>
    <col collapsed="false" customWidth="true" hidden="false" outlineLevel="0" max="10" min="10" style="1" width="2"/>
    <col collapsed="false" customWidth="true" hidden="false" outlineLevel="0" max="13" min="11" style="1" width="12"/>
    <col collapsed="false" customWidth="true" hidden="false" outlineLevel="0" max="15" min="14" style="1" width="11"/>
    <col collapsed="false" customWidth="true" hidden="false" outlineLevel="0" max="17" min="1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0"/>
      <c r="O1" s="0"/>
      <c r="P1" s="0"/>
      <c r="Q1" s="3"/>
      <c r="R1" s="3"/>
      <c r="S1" s="3"/>
      <c r="T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0"/>
      <c r="O2" s="0"/>
      <c r="P2" s="0"/>
      <c r="Q2" s="7"/>
      <c r="R2" s="8"/>
      <c r="S2" s="9"/>
      <c r="T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0"/>
      <c r="O3" s="0"/>
      <c r="P3" s="0"/>
      <c r="Q3" s="11"/>
      <c r="R3" s="11"/>
      <c r="S3" s="11"/>
      <c r="T3" s="11"/>
    </row>
    <row r="4" customFormat="false" ht="12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customFormat="false" ht="15.75" hidden="false" customHeight="true" outlineLevel="0" collapsed="false">
      <c r="A5" s="12"/>
      <c r="B5" s="84" t="s">
        <v>1315</v>
      </c>
      <c r="C5" s="39"/>
      <c r="D5" s="39"/>
      <c r="E5" s="3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30" hidden="false" customHeight="true" outlineLevel="0" collapsed="false">
      <c r="A6" s="12"/>
      <c r="B6" s="86" t="s">
        <v>1316</v>
      </c>
      <c r="C6" s="39"/>
      <c r="D6" s="39"/>
      <c r="E6" s="39"/>
      <c r="F6" s="12"/>
      <c r="G6" s="12"/>
      <c r="H6" s="12"/>
      <c r="I6" s="12"/>
      <c r="J6" s="12"/>
      <c r="K6" s="12"/>
      <c r="L6" s="12"/>
      <c r="M6" s="259" t="str">
        <f aca="false">IFERROR(IF(Erstellt_fuer="","","Erstellt für "&amp;Erstellt_fuer),"")</f>
        <v>Erstellt für Max Mustermann</v>
      </c>
      <c r="N6" s="12"/>
      <c r="O6" s="12"/>
      <c r="P6" s="12"/>
    </row>
    <row r="7" customFormat="false" ht="21.75" hidden="false" customHeight="true" outlineLevel="0" collapsed="false">
      <c r="A7" s="12"/>
      <c r="B7" s="106" t="s">
        <v>1317</v>
      </c>
      <c r="C7" s="39"/>
      <c r="D7" s="39"/>
      <c r="E7" s="39"/>
      <c r="F7" s="12"/>
      <c r="G7" s="12"/>
      <c r="H7" s="12"/>
      <c r="I7" s="12"/>
      <c r="J7" s="12"/>
      <c r="K7" s="12"/>
      <c r="L7" s="12"/>
      <c r="M7" s="435" t="s">
        <v>1264</v>
      </c>
      <c r="N7" s="12"/>
      <c r="O7" s="12"/>
      <c r="P7" s="12"/>
    </row>
    <row r="8" customFormat="false" ht="24" hidden="false" customHeight="true" outlineLevel="0" collapsed="false">
      <c r="A8" s="12"/>
      <c r="B8" s="33" t="s">
        <v>1318</v>
      </c>
      <c r="C8" s="264"/>
      <c r="D8" s="264"/>
      <c r="E8" s="264"/>
      <c r="F8" s="12"/>
      <c r="G8" s="33" t="s">
        <v>1319</v>
      </c>
      <c r="H8" s="436"/>
      <c r="I8" s="436"/>
      <c r="J8" s="436"/>
      <c r="K8" s="436"/>
      <c r="L8" s="436"/>
      <c r="M8" s="436"/>
      <c r="N8" s="12"/>
      <c r="O8" s="12"/>
      <c r="P8" s="12"/>
    </row>
    <row r="9" customFormat="false" ht="19.5" hidden="false" customHeight="true" outlineLevel="0" collapsed="false">
      <c r="A9" s="12"/>
      <c r="B9" s="96" t="s">
        <v>141</v>
      </c>
      <c r="C9" s="109" t="s">
        <v>1320</v>
      </c>
      <c r="D9" s="95" t="s">
        <v>1321</v>
      </c>
      <c r="E9" s="96" t="s">
        <v>1322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8" hidden="false" customHeight="true" outlineLevel="0" collapsed="false">
      <c r="A10" s="12"/>
      <c r="B10" s="72" t="s">
        <v>684</v>
      </c>
      <c r="C10" s="130" t="n">
        <v>8000</v>
      </c>
      <c r="D10" s="447" t="s">
        <v>1323</v>
      </c>
      <c r="E10" s="440" t="s">
        <v>1324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8" hidden="false" customHeight="true" outlineLevel="0" collapsed="false">
      <c r="A11" s="12"/>
      <c r="B11" s="72" t="s">
        <v>686</v>
      </c>
      <c r="C11" s="130" t="n">
        <v>25000</v>
      </c>
      <c r="D11" s="447" t="s">
        <v>1323</v>
      </c>
      <c r="E11" s="440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8" hidden="false" customHeight="true" outlineLevel="0" collapsed="false">
      <c r="A12" s="12"/>
      <c r="B12" s="72" t="s">
        <v>688</v>
      </c>
      <c r="C12" s="130" t="n">
        <v>30000</v>
      </c>
      <c r="D12" s="447" t="s">
        <v>1323</v>
      </c>
      <c r="E12" s="440" t="s">
        <v>1325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8" hidden="false" customHeight="true" outlineLevel="0" collapsed="false">
      <c r="A13" s="12"/>
      <c r="B13" s="72" t="s">
        <v>1326</v>
      </c>
      <c r="C13" s="130" t="n">
        <v>0</v>
      </c>
      <c r="D13" s="447" t="s">
        <v>1323</v>
      </c>
      <c r="E13" s="44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8" hidden="false" customHeight="true" outlineLevel="0" collapsed="false">
      <c r="A14" s="12"/>
      <c r="B14" s="72" t="s">
        <v>1327</v>
      </c>
      <c r="C14" s="130" t="n">
        <v>0</v>
      </c>
      <c r="D14" s="447" t="s">
        <v>1323</v>
      </c>
      <c r="E14" s="44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8" hidden="false" customHeight="true" outlineLevel="0" collapsed="false">
      <c r="A15" s="12"/>
      <c r="B15" s="72" t="s">
        <v>1328</v>
      </c>
      <c r="C15" s="130" t="n">
        <v>0</v>
      </c>
      <c r="D15" s="447" t="s">
        <v>1323</v>
      </c>
      <c r="E15" s="440" t="s">
        <v>1329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18" hidden="false" customHeight="true" outlineLevel="0" collapsed="false">
      <c r="A16" s="12"/>
      <c r="B16" s="72" t="s">
        <v>1330</v>
      </c>
      <c r="C16" s="130" t="n">
        <v>0</v>
      </c>
      <c r="D16" s="447" t="s">
        <v>1323</v>
      </c>
      <c r="E16" s="440" t="s">
        <v>1331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8" hidden="false" customHeight="true" outlineLevel="0" collapsed="false">
      <c r="A17" s="12"/>
      <c r="B17" s="72" t="s">
        <v>702</v>
      </c>
      <c r="C17" s="130" t="n">
        <v>15000</v>
      </c>
      <c r="D17" s="447" t="s">
        <v>1323</v>
      </c>
      <c r="E17" s="440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8" hidden="false" customHeight="true" outlineLevel="0" collapsed="false">
      <c r="A18" s="12"/>
      <c r="B18" s="72" t="s">
        <v>705</v>
      </c>
      <c r="C18" s="130" t="n">
        <v>0</v>
      </c>
      <c r="D18" s="447" t="s">
        <v>1323</v>
      </c>
      <c r="E18" s="44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8" hidden="false" customHeight="true" outlineLevel="0" collapsed="false">
      <c r="A19" s="12"/>
      <c r="B19" s="315" t="s">
        <v>1332</v>
      </c>
      <c r="C19" s="142" t="n">
        <f aca="false">SUM(C10:C18)</f>
        <v>78000</v>
      </c>
      <c r="D19" s="372"/>
      <c r="E19" s="37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2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24" hidden="false" customHeight="true" outlineLevel="0" collapsed="false">
      <c r="A21" s="12"/>
      <c r="B21" s="33" t="s">
        <v>1333</v>
      </c>
      <c r="C21" s="264"/>
      <c r="D21" s="264"/>
      <c r="E21" s="264"/>
      <c r="F21" s="12"/>
      <c r="G21" s="33" t="s">
        <v>1334</v>
      </c>
      <c r="H21" s="436"/>
      <c r="I21" s="436"/>
      <c r="J21" s="436"/>
      <c r="K21" s="436"/>
      <c r="L21" s="436"/>
      <c r="M21" s="436"/>
      <c r="N21" s="12"/>
      <c r="O21" s="12"/>
      <c r="P21" s="12"/>
    </row>
    <row r="22" customFormat="false" ht="19.5" hidden="false" customHeight="true" outlineLevel="0" collapsed="false">
      <c r="A22" s="12"/>
      <c r="B22" s="96" t="s">
        <v>141</v>
      </c>
      <c r="C22" s="109" t="s">
        <v>1335</v>
      </c>
      <c r="D22" s="109" t="s">
        <v>1336</v>
      </c>
      <c r="E22" s="96" t="s">
        <v>1337</v>
      </c>
      <c r="F22" s="12"/>
      <c r="G22" s="382" t="s">
        <v>1338</v>
      </c>
      <c r="H22" s="382"/>
      <c r="I22" s="382"/>
      <c r="J22" s="12"/>
      <c r="K22" s="382" t="s">
        <v>1339</v>
      </c>
      <c r="L22" s="382"/>
      <c r="M22" s="382"/>
      <c r="N22" s="12"/>
      <c r="O22" s="12"/>
      <c r="P22" s="12"/>
    </row>
    <row r="23" customFormat="false" ht="18" hidden="false" customHeight="true" outlineLevel="0" collapsed="false">
      <c r="A23" s="12"/>
      <c r="B23" s="72" t="s">
        <v>1340</v>
      </c>
      <c r="C23" s="130" t="n">
        <v>0</v>
      </c>
      <c r="D23" s="130" t="n">
        <v>0</v>
      </c>
      <c r="E23" s="440" t="s">
        <v>1341</v>
      </c>
      <c r="F23" s="12"/>
      <c r="G23" s="92" t="n">
        <f aca="false">C32</f>
        <v>78000</v>
      </c>
      <c r="H23" s="92"/>
      <c r="I23" s="92"/>
      <c r="J23" s="12"/>
      <c r="K23" s="92" t="n">
        <f aca="false">C34</f>
        <v>-20974.5</v>
      </c>
      <c r="L23" s="92"/>
      <c r="M23" s="92"/>
      <c r="N23" s="12"/>
      <c r="O23" s="12"/>
      <c r="P23" s="12"/>
    </row>
    <row r="24" customFormat="false" ht="18" hidden="false" customHeight="true" outlineLevel="0" collapsed="false">
      <c r="A24" s="12"/>
      <c r="B24" s="72" t="s">
        <v>1342</v>
      </c>
      <c r="C24" s="130" t="n">
        <v>0</v>
      </c>
      <c r="D24" s="130" t="n">
        <v>0</v>
      </c>
      <c r="E24" s="440"/>
      <c r="F24" s="12"/>
      <c r="G24" s="92"/>
      <c r="H24" s="92"/>
      <c r="I24" s="92"/>
      <c r="J24" s="12"/>
      <c r="K24" s="92"/>
      <c r="L24" s="92"/>
      <c r="M24" s="92"/>
      <c r="N24" s="12"/>
      <c r="O24" s="12"/>
      <c r="P24" s="12"/>
    </row>
    <row r="25" customFormat="false" ht="18" hidden="false" customHeight="true" outlineLevel="0" collapsed="false">
      <c r="A25" s="12"/>
      <c r="B25" s="72" t="s">
        <v>1343</v>
      </c>
      <c r="C25" s="130" t="n">
        <v>0</v>
      </c>
      <c r="D25" s="130" t="n">
        <v>0</v>
      </c>
      <c r="E25" s="440"/>
      <c r="F25" s="12"/>
      <c r="G25" s="50" t="s">
        <v>1344</v>
      </c>
      <c r="H25" s="50"/>
      <c r="I25" s="50"/>
      <c r="J25" s="12"/>
      <c r="K25" s="50" t="str">
        <f aca="false">"nach Eigenkapital "&amp;FIXED(C33,0)&amp;" €"</f>
        <v>nach Eigenkapital 83,975 €</v>
      </c>
      <c r="L25" s="50"/>
      <c r="M25" s="93" t="str">
        <f aca="false">IF(AND(ISNUMBER($C$34),$C$34&lt;0),"●  kritisch",IF(ISNUMBER($C$34),"●  erfüllt",""))</f>
        <v>●  kritisch</v>
      </c>
      <c r="N25" s="12"/>
      <c r="O25" s="12"/>
      <c r="P25" s="12"/>
    </row>
    <row r="26" customFormat="false" ht="18" hidden="false" customHeight="true" outlineLevel="0" collapsed="false">
      <c r="A26" s="12"/>
      <c r="B26" s="72" t="s">
        <v>1345</v>
      </c>
      <c r="C26" s="130" t="n">
        <v>0</v>
      </c>
      <c r="D26" s="130" t="n">
        <v>0</v>
      </c>
      <c r="E26" s="44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8" hidden="false" customHeight="true" outlineLevel="0" collapsed="false">
      <c r="A27" s="12"/>
      <c r="B27" s="72" t="s">
        <v>1346</v>
      </c>
      <c r="C27" s="130" t="n">
        <v>0</v>
      </c>
      <c r="D27" s="130" t="n">
        <v>0</v>
      </c>
      <c r="E27" s="440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8" hidden="false" customHeight="true" outlineLevel="0" collapsed="false">
      <c r="A28" s="12"/>
      <c r="B28" s="72" t="s">
        <v>1347</v>
      </c>
      <c r="C28" s="130" t="n">
        <v>0</v>
      </c>
      <c r="D28" s="130" t="n">
        <v>0</v>
      </c>
      <c r="E28" s="44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18" hidden="false" customHeight="true" outlineLevel="0" collapsed="false">
      <c r="A29" s="12"/>
      <c r="B29" s="315" t="s">
        <v>1348</v>
      </c>
      <c r="C29" s="142" t="n">
        <f aca="false">SUM(C23:C28)</f>
        <v>0</v>
      </c>
      <c r="D29" s="448" t="s">
        <v>1349</v>
      </c>
      <c r="E29" s="37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customFormat="false" ht="12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customFormat="false" ht="24" hidden="false" customHeight="true" outlineLevel="0" collapsed="false">
      <c r="A31" s="12"/>
      <c r="B31" s="33" t="s">
        <v>757</v>
      </c>
      <c r="C31" s="264"/>
      <c r="D31" s="264"/>
      <c r="E31" s="264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24" hidden="false" customHeight="true" outlineLevel="0" collapsed="false">
      <c r="A32" s="12"/>
      <c r="B32" s="443" t="s">
        <v>1350</v>
      </c>
      <c r="C32" s="444" t="n">
        <f aca="false">VA_Aktiva-VA_Passiva</f>
        <v>78000</v>
      </c>
      <c r="D32" s="377"/>
      <c r="E32" s="377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customFormat="false" ht="18" hidden="false" customHeight="true" outlineLevel="0" collapsed="false">
      <c r="A33" s="12"/>
      <c r="B33" s="72" t="s">
        <v>1351</v>
      </c>
      <c r="C33" s="449" t="n">
        <f aca="false">EK_Bedarf_gesamt</f>
        <v>83974.5</v>
      </c>
      <c r="D33" s="364"/>
      <c r="E33" s="440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customFormat="false" ht="18" hidden="false" customHeight="true" outlineLevel="0" collapsed="false">
      <c r="A34" s="12"/>
      <c r="B34" s="72" t="s">
        <v>1352</v>
      </c>
      <c r="C34" s="129" t="n">
        <f aca="false">SUM(C10:C12)-EK_Bedarf_gesamt</f>
        <v>-20974.5</v>
      </c>
      <c r="D34" s="364"/>
      <c r="E34" s="70" t="s">
        <v>1353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2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25.5" hidden="false" customHeight="true" outlineLevel="0" collapsed="false">
      <c r="A36" s="39"/>
      <c r="B36" s="446" t="s">
        <v>1354</v>
      </c>
      <c r="C36" s="9"/>
      <c r="D36" s="9"/>
      <c r="E36" s="101" t="s">
        <v>1355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2" hidden="false" customHeight="true" outlineLevel="0" collapsed="false">
      <c r="A37" s="39"/>
      <c r="B37" s="8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8" hidden="false" customHeight="true" outlineLevel="0" collapsed="false">
      <c r="A38" s="12"/>
      <c r="B38" s="79" t="s">
        <v>91</v>
      </c>
      <c r="C38" s="429"/>
      <c r="D38" s="429"/>
      <c r="E38" s="42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3.5" hidden="false" customHeight="true" outlineLevel="0" collapsed="false">
      <c r="A39" s="12"/>
      <c r="B39" s="430" t="s">
        <v>92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</sheetData>
  <sheetProtection sheet="true" objects="1" scenarios="true"/>
  <mergeCells count="6">
    <mergeCell ref="G22:I22"/>
    <mergeCell ref="K22:M22"/>
    <mergeCell ref="G23:I24"/>
    <mergeCell ref="K23:M24"/>
    <mergeCell ref="G25:I25"/>
    <mergeCell ref="K25:L25"/>
  </mergeCells>
  <conditionalFormatting sqref="C19:E19">
    <cfRule type="expression" priority="2" aboveAverage="0" equalAverage="0" bottom="0" percent="0" rank="0" text="" dxfId="4">
      <formula>AND(ISNUMBER(C19),C19&lt;0)</formula>
    </cfRule>
    <cfRule type="expression" priority="3" aboveAverage="0" equalAverage="0" bottom="0" percent="0" rank="0" text="" dxfId="4">
      <formula>AND(ISNUMBER(C19),C19&lt;0)</formula>
    </cfRule>
    <cfRule type="expression" priority="4" aboveAverage="0" equalAverage="0" bottom="0" percent="0" rank="0" text="" dxfId="3">
      <formula>1</formula>
    </cfRule>
  </conditionalFormatting>
  <conditionalFormatting sqref="C29:E29">
    <cfRule type="expression" priority="5" aboveAverage="0" equalAverage="0" bottom="0" percent="0" rank="0" text="" dxfId="4">
      <formula>AND(ISNUMBER(C29),C29&lt;0)</formula>
    </cfRule>
    <cfRule type="expression" priority="6" aboveAverage="0" equalAverage="0" bottom="0" percent="0" rank="0" text="" dxfId="4">
      <formula>AND(ISNUMBER(C29),C29&lt;0)</formula>
    </cfRule>
    <cfRule type="expression" priority="7" aboveAverage="0" equalAverage="0" bottom="0" percent="0" rank="0" text="" dxfId="3">
      <formula>1</formula>
    </cfRule>
  </conditionalFormatting>
  <conditionalFormatting sqref="C32:E32">
    <cfRule type="expression" priority="8" aboveAverage="0" equalAverage="0" bottom="0" percent="0" rank="0" text="" dxfId="4">
      <formula>AND(ISNUMBER(C32),C32&lt;0)</formula>
    </cfRule>
    <cfRule type="expression" priority="9" aboveAverage="0" equalAverage="0" bottom="0" percent="0" rank="0" text="" dxfId="4">
      <formula>AND(ISNUMBER(C32),C32&lt;0)</formula>
    </cfRule>
    <cfRule type="expression" priority="10" aboveAverage="0" equalAverage="0" bottom="0" percent="0" rank="0" text="" dxfId="3">
      <formula>1</formula>
    </cfRule>
  </conditionalFormatting>
  <conditionalFormatting sqref="D10:D18">
    <cfRule type="expression" priority="11" aboveAverage="0" equalAverage="0" bottom="0" percent="0" rank="0" text="" dxfId="1">
      <formula>LOWER(TRIM(D10))="ja"</formula>
    </cfRule>
    <cfRule type="expression" priority="12" aboveAverage="0" equalAverage="0" bottom="0" percent="0" rank="0" text="" dxfId="3">
      <formula>1</formula>
    </cfRule>
  </conditionalFormatting>
  <conditionalFormatting sqref="C34">
    <cfRule type="expression" priority="13" aboveAverage="0" equalAverage="0" bottom="0" percent="0" rank="0" text="" dxfId="4">
      <formula>AND(ISNUMBER(C34),C34&lt;0)</formula>
    </cfRule>
    <cfRule type="expression" priority="14" aboveAverage="0" equalAverage="0" bottom="0" percent="0" rank="0" text="" dxfId="3">
      <formula>1</formula>
    </cfRule>
  </conditionalFormatting>
  <conditionalFormatting sqref="G23:I24">
    <cfRule type="expression" priority="15" aboveAverage="0" equalAverage="0" bottom="0" percent="0" rank="0" text="" dxfId="4">
      <formula>AND(ISNUMBER(G23),G23&lt;0)</formula>
    </cfRule>
    <cfRule type="expression" priority="16" aboveAverage="0" equalAverage="0" bottom="0" percent="0" rank="0" text="" dxfId="3">
      <formula>1</formula>
    </cfRule>
  </conditionalFormatting>
  <conditionalFormatting sqref="M25">
    <cfRule type="expression" priority="17" aboveAverage="0" equalAverage="0" bottom="0" percent="0" rank="0" text="" dxfId="0">
      <formula>AND(ISNUMBER($C$34),$C$34&lt;0)</formula>
    </cfRule>
    <cfRule type="expression" priority="18" aboveAverage="0" equalAverage="0" bottom="0" percent="0" rank="0" text="" dxfId="2">
      <formula>ISNUMBER($C$34)</formula>
    </cfRule>
    <cfRule type="expression" priority="19" aboveAverage="0" equalAverage="0" bottom="0" percent="0" rank="0" text="" dxfId="3">
      <formula>1</formula>
    </cfRule>
  </conditionalFormatting>
  <conditionalFormatting sqref="K23:M24">
    <cfRule type="expression" priority="20" aboveAverage="0" equalAverage="0" bottom="0" percent="0" rank="0" text="" dxfId="0">
      <formula>AND(ISNUMBER($C$34),$C$34&lt;0)</formula>
    </cfRule>
    <cfRule type="expression" priority="21" aboveAverage="0" equalAverage="0" bottom="0" percent="0" rank="0" text="" dxfId="2">
      <formula>ISNUMBER($C$34)</formula>
    </cfRule>
    <cfRule type="expression" priority="22" aboveAverage="0" equalAverage="0" bottom="0" percent="0" rank="0" text="" dxfId="4">
      <formula>AND(ISNUMBER(K23),K23&lt;0)</formula>
    </cfRule>
    <cfRule type="expression" priority="23" aboveAverage="0" equalAverage="0" bottom="0" percent="0" rank="0" text="" dxfId="3">
      <formula>1</formula>
    </cfRule>
  </conditionalFormatting>
  <dataValidations count="1">
    <dataValidation allowBlank="true" error="Bitte einen Wert aus der Liste ▾ wählen." errorStyle="stop" errorTitle="Bitte auswählen" operator="between" prompt="„ja“, wenn der Vermögenswert bereits als Sicherheit dient." promptTitle="Verpfändet?" showDropDown="false" showErrorMessage="1" showInputMessage="true" sqref="D10:D18" type="list">
      <formula1>"ja,nein"</formula1>
      <formula2>0</formula2>
    </dataValidation>
  </dataValidations>
  <hyperlinks>
    <hyperlink ref="B5" location="'Bankgespräch'!A4" display="BANK  ›  VERMÖGENSAUFSTELLUNG"/>
    <hyperlink ref="B36" location="'Haushaltsrechnung'!A4" display="‹  Zurück: Haushaltsrechnung"/>
    <hyperlink ref="E36" location="'Bankgespräch'!A4" display="↺  Zurück zur Übersicht: Bankgespräch"/>
  </hyperlinks>
  <printOptions headings="false" gridLines="false" gridLinesSet="true" horizontalCentered="true" verticalCentered="false"/>
  <pageMargins left="0.4" right="0.4" top="0.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&amp;K5b6068MM Holding GmbH · Immobilien-Kalkulation · &amp;A&amp;R&amp;8 &amp;K5b6068Seite &amp;P von &amp;N</oddFooter>
  </headerFooter>
  <rowBreaks count="1" manualBreakCount="1">
    <brk id="30" man="true" max="16383" min="0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7B1"/>
    <pageSetUpPr fitToPage="true"/>
  </sheetPr>
  <dimension ref="A1:S6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0.04"/>
    <col collapsed="false" customWidth="true" hidden="false" outlineLevel="0" max="3" min="3" style="1" width="78.61"/>
    <col collapsed="false" customWidth="true" hidden="false" outlineLevel="0" max="4" min="4" style="1" width="54.61"/>
    <col collapsed="false" customWidth="true" hidden="false" outlineLevel="0" max="5" min="5" style="1" width="27.9"/>
    <col collapsed="false" customWidth="true" hidden="false" outlineLevel="0" max="16" min="6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0"/>
      <c r="G1" s="0"/>
      <c r="H1" s="0"/>
      <c r="I1" s="0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33" hidden="false" customHeight="true" outlineLevel="0" collapsed="false">
      <c r="A2" s="2"/>
      <c r="B2" s="6"/>
      <c r="C2" s="6"/>
      <c r="D2" s="6"/>
      <c r="E2" s="6"/>
      <c r="F2" s="0"/>
      <c r="G2" s="0"/>
      <c r="H2" s="0"/>
      <c r="I2" s="0"/>
      <c r="J2" s="7"/>
      <c r="K2" s="7"/>
      <c r="L2" s="7"/>
      <c r="M2" s="7"/>
      <c r="N2" s="7"/>
      <c r="O2" s="450"/>
      <c r="P2" s="7"/>
      <c r="Q2" s="8"/>
      <c r="R2" s="9"/>
      <c r="S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0"/>
      <c r="G3" s="0"/>
      <c r="H3" s="0"/>
      <c r="I3" s="0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customFormat="false" ht="9.75" hidden="false" customHeight="true" outlineLevel="0" collapsed="false">
      <c r="A4" s="12"/>
      <c r="B4" s="39"/>
      <c r="C4" s="39"/>
      <c r="D4" s="39"/>
      <c r="E4" s="39"/>
      <c r="F4" s="12"/>
      <c r="G4" s="12"/>
      <c r="H4" s="12"/>
    </row>
    <row r="5" customFormat="false" ht="15.75" hidden="false" customHeight="true" outlineLevel="0" collapsed="false">
      <c r="A5" s="12"/>
      <c r="B5" s="84" t="s">
        <v>1356</v>
      </c>
      <c r="C5" s="39"/>
      <c r="D5" s="39"/>
      <c r="E5" s="39"/>
      <c r="F5" s="12"/>
      <c r="G5" s="12"/>
      <c r="H5" s="12"/>
    </row>
    <row r="6" customFormat="false" ht="30" hidden="false" customHeight="true" outlineLevel="0" collapsed="false">
      <c r="A6" s="12"/>
      <c r="B6" s="86" t="s">
        <v>1357</v>
      </c>
      <c r="C6" s="39"/>
      <c r="D6" s="39"/>
      <c r="E6" s="105" t="str">
        <f aca="false">Obj_Name</f>
        <v>Beispiel: 3-Zimmer-Eigentumswohnung</v>
      </c>
      <c r="F6" s="12"/>
      <c r="G6" s="12"/>
      <c r="H6" s="12"/>
    </row>
    <row r="7" customFormat="false" ht="21.75" hidden="false" customHeight="true" outlineLevel="0" collapsed="false">
      <c r="A7" s="12"/>
      <c r="B7" s="106" t="s">
        <v>1358</v>
      </c>
      <c r="C7" s="39"/>
      <c r="D7" s="39"/>
      <c r="E7" s="107" t="str">
        <f aca="false">IFERROR(IF(Erstellt_fuer="","","Erstellt für "&amp;Erstellt_fuer),"")</f>
        <v>Erstellt für Max Mustermann</v>
      </c>
      <c r="F7" s="12"/>
      <c r="G7" s="12"/>
      <c r="H7" s="12"/>
    </row>
    <row r="8" customFormat="false" ht="24" hidden="false" customHeight="true" outlineLevel="0" collapsed="false">
      <c r="A8" s="12"/>
      <c r="B8" s="33" t="s">
        <v>1359</v>
      </c>
      <c r="C8" s="264"/>
      <c r="D8" s="264"/>
      <c r="E8" s="264"/>
      <c r="F8" s="12"/>
      <c r="G8" s="12"/>
      <c r="H8" s="12"/>
    </row>
    <row r="9" customFormat="false" ht="19.5" hidden="false" customHeight="true" outlineLevel="0" collapsed="false">
      <c r="A9" s="12"/>
      <c r="B9" s="96" t="s">
        <v>1360</v>
      </c>
      <c r="C9" s="96" t="s">
        <v>1361</v>
      </c>
      <c r="D9" s="96" t="s">
        <v>1362</v>
      </c>
      <c r="E9" s="96" t="s">
        <v>1363</v>
      </c>
      <c r="F9" s="12"/>
      <c r="G9" s="12"/>
      <c r="H9" s="12"/>
    </row>
    <row r="10" customFormat="false" ht="45.75" hidden="false" customHeight="true" outlineLevel="0" collapsed="false">
      <c r="A10" s="12"/>
      <c r="B10" s="451" t="s">
        <v>1364</v>
      </c>
      <c r="C10" s="452" t="s">
        <v>1365</v>
      </c>
      <c r="D10" s="452" t="s">
        <v>1366</v>
      </c>
      <c r="E10" s="453" t="s">
        <v>1367</v>
      </c>
      <c r="F10" s="12"/>
      <c r="G10" s="12"/>
      <c r="H10" s="12"/>
    </row>
    <row r="11" customFormat="false" ht="45.75" hidden="false" customHeight="true" outlineLevel="0" collapsed="false">
      <c r="A11" s="12"/>
      <c r="B11" s="451" t="s">
        <v>1368</v>
      </c>
      <c r="C11" s="452" t="s">
        <v>1369</v>
      </c>
      <c r="D11" s="452" t="s">
        <v>1370</v>
      </c>
      <c r="E11" s="453" t="s">
        <v>1371</v>
      </c>
      <c r="F11" s="12"/>
      <c r="G11" s="12"/>
      <c r="H11" s="12"/>
    </row>
    <row r="12" customFormat="false" ht="45.75" hidden="false" customHeight="true" outlineLevel="0" collapsed="false">
      <c r="A12" s="12"/>
      <c r="B12" s="451" t="s">
        <v>1372</v>
      </c>
      <c r="C12" s="452" t="s">
        <v>1373</v>
      </c>
      <c r="D12" s="452" t="s">
        <v>1374</v>
      </c>
      <c r="E12" s="453" t="s">
        <v>1375</v>
      </c>
      <c r="F12" s="12"/>
      <c r="G12" s="12"/>
      <c r="H12" s="12"/>
    </row>
    <row r="13" customFormat="false" ht="33" hidden="false" customHeight="true" outlineLevel="0" collapsed="false">
      <c r="A13" s="12"/>
      <c r="B13" s="451" t="s">
        <v>1376</v>
      </c>
      <c r="C13" s="452" t="s">
        <v>1377</v>
      </c>
      <c r="D13" s="452" t="s">
        <v>1378</v>
      </c>
      <c r="E13" s="453" t="s">
        <v>1379</v>
      </c>
      <c r="F13" s="12"/>
      <c r="G13" s="12"/>
      <c r="H13" s="12"/>
    </row>
    <row r="14" customFormat="false" ht="45.75" hidden="false" customHeight="true" outlineLevel="0" collapsed="false">
      <c r="A14" s="12"/>
      <c r="B14" s="451" t="s">
        <v>1380</v>
      </c>
      <c r="C14" s="452" t="s">
        <v>1381</v>
      </c>
      <c r="D14" s="452" t="s">
        <v>1382</v>
      </c>
      <c r="E14" s="453" t="s">
        <v>1383</v>
      </c>
      <c r="F14" s="12"/>
      <c r="G14" s="12"/>
      <c r="H14" s="12"/>
    </row>
    <row r="15" customFormat="false" ht="45.75" hidden="false" customHeight="true" outlineLevel="0" collapsed="false">
      <c r="A15" s="12"/>
      <c r="B15" s="451" t="s">
        <v>1384</v>
      </c>
      <c r="C15" s="452" t="s">
        <v>1385</v>
      </c>
      <c r="D15" s="452" t="s">
        <v>1386</v>
      </c>
      <c r="E15" s="453" t="s">
        <v>1387</v>
      </c>
      <c r="F15" s="12"/>
      <c r="G15" s="12"/>
      <c r="H15" s="12"/>
    </row>
    <row r="16" customFormat="false" ht="45.75" hidden="false" customHeight="true" outlineLevel="0" collapsed="false">
      <c r="A16" s="12"/>
      <c r="B16" s="451" t="s">
        <v>1388</v>
      </c>
      <c r="C16" s="452" t="s">
        <v>1389</v>
      </c>
      <c r="D16" s="452" t="s">
        <v>1390</v>
      </c>
      <c r="E16" s="453" t="s">
        <v>1391</v>
      </c>
      <c r="F16" s="12"/>
      <c r="G16" s="12"/>
      <c r="H16" s="12"/>
    </row>
    <row r="17" customFormat="false" ht="45.75" hidden="false" customHeight="true" outlineLevel="0" collapsed="false">
      <c r="A17" s="12"/>
      <c r="B17" s="451" t="s">
        <v>1392</v>
      </c>
      <c r="C17" s="452" t="s">
        <v>1393</v>
      </c>
      <c r="D17" s="452" t="s">
        <v>1394</v>
      </c>
      <c r="E17" s="453" t="s">
        <v>1395</v>
      </c>
      <c r="F17" s="12"/>
      <c r="G17" s="12"/>
      <c r="H17" s="12"/>
    </row>
    <row r="18" customFormat="false" ht="33" hidden="false" customHeight="true" outlineLevel="0" collapsed="false">
      <c r="A18" s="12"/>
      <c r="B18" s="451" t="s">
        <v>1396</v>
      </c>
      <c r="C18" s="452" t="s">
        <v>1397</v>
      </c>
      <c r="D18" s="452" t="s">
        <v>1398</v>
      </c>
      <c r="E18" s="453" t="s">
        <v>1399</v>
      </c>
      <c r="F18" s="12"/>
      <c r="G18" s="12"/>
      <c r="H18" s="12"/>
    </row>
    <row r="19" customFormat="false" ht="45.75" hidden="false" customHeight="true" outlineLevel="0" collapsed="false">
      <c r="A19" s="12"/>
      <c r="B19" s="451" t="s">
        <v>1400</v>
      </c>
      <c r="C19" s="452" t="s">
        <v>1401</v>
      </c>
      <c r="D19" s="452" t="s">
        <v>1402</v>
      </c>
      <c r="E19" s="453" t="s">
        <v>1403</v>
      </c>
      <c r="F19" s="12"/>
      <c r="G19" s="12"/>
      <c r="H19" s="12"/>
    </row>
    <row r="20" customFormat="false" ht="33" hidden="false" customHeight="true" outlineLevel="0" collapsed="false">
      <c r="A20" s="12"/>
      <c r="B20" s="451" t="s">
        <v>206</v>
      </c>
      <c r="C20" s="452" t="s">
        <v>1404</v>
      </c>
      <c r="D20" s="452" t="s">
        <v>1405</v>
      </c>
      <c r="E20" s="453" t="s">
        <v>1406</v>
      </c>
      <c r="F20" s="12"/>
      <c r="G20" s="12"/>
      <c r="H20" s="12"/>
    </row>
    <row r="21" customFormat="false" ht="45.75" hidden="false" customHeight="true" outlineLevel="0" collapsed="false">
      <c r="A21" s="12"/>
      <c r="B21" s="451" t="s">
        <v>1407</v>
      </c>
      <c r="C21" s="452" t="s">
        <v>1408</v>
      </c>
      <c r="D21" s="452" t="s">
        <v>1409</v>
      </c>
      <c r="E21" s="453" t="s">
        <v>1410</v>
      </c>
      <c r="F21" s="12"/>
      <c r="G21" s="12"/>
      <c r="H21" s="12"/>
    </row>
    <row r="22" customFormat="false" ht="33" hidden="false" customHeight="true" outlineLevel="0" collapsed="false">
      <c r="A22" s="12"/>
      <c r="B22" s="451" t="s">
        <v>1411</v>
      </c>
      <c r="C22" s="452" t="s">
        <v>1412</v>
      </c>
      <c r="D22" s="452" t="s">
        <v>1413</v>
      </c>
      <c r="E22" s="453" t="s">
        <v>1414</v>
      </c>
      <c r="F22" s="12"/>
      <c r="G22" s="12"/>
      <c r="H22" s="12"/>
    </row>
    <row r="23" customFormat="false" ht="58.5" hidden="false" customHeight="true" outlineLevel="0" collapsed="false">
      <c r="A23" s="12"/>
      <c r="B23" s="451" t="s">
        <v>1415</v>
      </c>
      <c r="C23" s="452" t="s">
        <v>1416</v>
      </c>
      <c r="D23" s="452" t="s">
        <v>1417</v>
      </c>
      <c r="E23" s="453" t="s">
        <v>1418</v>
      </c>
      <c r="F23" s="12"/>
      <c r="G23" s="12"/>
      <c r="H23" s="12"/>
    </row>
    <row r="24" customFormat="false" ht="45.75" hidden="false" customHeight="true" outlineLevel="0" collapsed="false">
      <c r="A24" s="12"/>
      <c r="B24" s="451" t="s">
        <v>1419</v>
      </c>
      <c r="C24" s="452" t="s">
        <v>1420</v>
      </c>
      <c r="D24" s="452" t="s">
        <v>1421</v>
      </c>
      <c r="E24" s="453" t="s">
        <v>1422</v>
      </c>
      <c r="F24" s="12"/>
      <c r="G24" s="12"/>
      <c r="H24" s="12"/>
    </row>
    <row r="25" customFormat="false" ht="45.75" hidden="false" customHeight="true" outlineLevel="0" collapsed="false">
      <c r="A25" s="12"/>
      <c r="B25" s="451" t="s">
        <v>483</v>
      </c>
      <c r="C25" s="452" t="s">
        <v>1423</v>
      </c>
      <c r="D25" s="452" t="s">
        <v>1424</v>
      </c>
      <c r="E25" s="453" t="s">
        <v>1425</v>
      </c>
      <c r="F25" s="12"/>
      <c r="G25" s="12"/>
      <c r="H25" s="12"/>
    </row>
    <row r="26" customFormat="false" ht="33" hidden="false" customHeight="true" outlineLevel="0" collapsed="false">
      <c r="A26" s="12"/>
      <c r="B26" s="451" t="s">
        <v>1426</v>
      </c>
      <c r="C26" s="452" t="s">
        <v>1427</v>
      </c>
      <c r="D26" s="452" t="s">
        <v>1428</v>
      </c>
      <c r="E26" s="453" t="s">
        <v>1429</v>
      </c>
      <c r="F26" s="12"/>
      <c r="G26" s="12"/>
      <c r="H26" s="12"/>
    </row>
    <row r="27" customFormat="false" ht="12" hidden="false" customHeight="true" outlineLevel="0" collapsed="false">
      <c r="A27" s="12"/>
      <c r="B27" s="39"/>
      <c r="C27" s="39"/>
      <c r="D27" s="39"/>
      <c r="E27" s="39"/>
      <c r="F27" s="12"/>
      <c r="G27" s="12"/>
      <c r="H27" s="12"/>
    </row>
    <row r="28" customFormat="false" ht="24" hidden="false" customHeight="true" outlineLevel="0" collapsed="false">
      <c r="A28" s="12"/>
      <c r="B28" s="33" t="s">
        <v>1430</v>
      </c>
      <c r="C28" s="454" t="s">
        <v>1431</v>
      </c>
      <c r="D28" s="264"/>
      <c r="E28" s="264"/>
      <c r="F28" s="12"/>
      <c r="G28" s="12"/>
      <c r="H28" s="12"/>
    </row>
    <row r="29" customFormat="false" ht="21" hidden="false" customHeight="true" outlineLevel="0" collapsed="false">
      <c r="A29" s="12"/>
      <c r="B29" s="451" t="s">
        <v>1432</v>
      </c>
      <c r="C29" s="452" t="s">
        <v>1433</v>
      </c>
      <c r="D29" s="452"/>
      <c r="E29" s="452"/>
      <c r="F29" s="12"/>
      <c r="G29" s="12"/>
      <c r="H29" s="12"/>
    </row>
    <row r="30" customFormat="false" ht="33" hidden="false" customHeight="true" outlineLevel="0" collapsed="false">
      <c r="A30" s="12"/>
      <c r="B30" s="451" t="s">
        <v>331</v>
      </c>
      <c r="C30" s="452" t="s">
        <v>1434</v>
      </c>
      <c r="D30" s="452"/>
      <c r="E30" s="452"/>
      <c r="F30" s="12"/>
      <c r="G30" s="12"/>
      <c r="H30" s="12"/>
    </row>
    <row r="31" customFormat="false" ht="21" hidden="false" customHeight="true" outlineLevel="0" collapsed="false">
      <c r="A31" s="12"/>
      <c r="B31" s="451" t="s">
        <v>1435</v>
      </c>
      <c r="C31" s="452" t="s">
        <v>1436</v>
      </c>
      <c r="D31" s="452"/>
      <c r="E31" s="452"/>
      <c r="F31" s="12"/>
      <c r="G31" s="12"/>
      <c r="H31" s="12"/>
    </row>
    <row r="32" customFormat="false" ht="33" hidden="false" customHeight="true" outlineLevel="0" collapsed="false">
      <c r="A32" s="12"/>
      <c r="B32" s="451" t="s">
        <v>1437</v>
      </c>
      <c r="C32" s="452" t="s">
        <v>1438</v>
      </c>
      <c r="D32" s="452"/>
      <c r="E32" s="452"/>
      <c r="F32" s="12"/>
      <c r="G32" s="12"/>
      <c r="H32" s="12"/>
    </row>
    <row r="33" customFormat="false" ht="21" hidden="false" customHeight="true" outlineLevel="0" collapsed="false">
      <c r="A33" s="12"/>
      <c r="B33" s="451" t="s">
        <v>1439</v>
      </c>
      <c r="C33" s="452" t="s">
        <v>1440</v>
      </c>
      <c r="D33" s="452"/>
      <c r="E33" s="452"/>
      <c r="F33" s="12"/>
      <c r="G33" s="12"/>
      <c r="H33" s="12"/>
    </row>
    <row r="34" customFormat="false" ht="21" hidden="false" customHeight="true" outlineLevel="0" collapsed="false">
      <c r="A34" s="12"/>
      <c r="B34" s="451" t="s">
        <v>1441</v>
      </c>
      <c r="C34" s="452" t="s">
        <v>1442</v>
      </c>
      <c r="D34" s="452"/>
      <c r="E34" s="452"/>
      <c r="F34" s="12"/>
      <c r="G34" s="12"/>
      <c r="H34" s="12"/>
    </row>
    <row r="35" customFormat="false" ht="21" hidden="false" customHeight="true" outlineLevel="0" collapsed="false">
      <c r="A35" s="12"/>
      <c r="B35" s="451" t="s">
        <v>469</v>
      </c>
      <c r="C35" s="452" t="s">
        <v>1443</v>
      </c>
      <c r="D35" s="452"/>
      <c r="E35" s="452"/>
      <c r="F35" s="12"/>
      <c r="G35" s="12"/>
      <c r="H35" s="12"/>
    </row>
    <row r="36" customFormat="false" ht="21" hidden="false" customHeight="true" outlineLevel="0" collapsed="false">
      <c r="A36" s="12"/>
      <c r="B36" s="451" t="s">
        <v>1444</v>
      </c>
      <c r="C36" s="452" t="s">
        <v>1445</v>
      </c>
      <c r="D36" s="452"/>
      <c r="E36" s="452"/>
      <c r="F36" s="12"/>
      <c r="G36" s="12"/>
      <c r="H36" s="12"/>
    </row>
    <row r="37" customFormat="false" ht="12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</row>
    <row r="38" customFormat="false" ht="18" hidden="false" customHeight="true" outlineLevel="0" collapsed="false">
      <c r="A38" s="12"/>
      <c r="B38" s="79" t="s">
        <v>91</v>
      </c>
      <c r="C38" s="216"/>
      <c r="D38" s="216"/>
      <c r="E38" s="216"/>
      <c r="F38" s="12"/>
      <c r="G38" s="12"/>
      <c r="H38" s="12"/>
    </row>
    <row r="39" customFormat="false" ht="13.5" hidden="false" customHeight="true" outlineLevel="0" collapsed="false">
      <c r="A39" s="12"/>
      <c r="B39" s="81" t="s">
        <v>92</v>
      </c>
      <c r="C39" s="39"/>
      <c r="D39" s="39"/>
      <c r="E39" s="39"/>
      <c r="F39" s="12"/>
      <c r="G39" s="12"/>
      <c r="H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</row>
  </sheetData>
  <sheetProtection sheet="true" objects="1" formatColumns="false" formatRows="false"/>
  <mergeCells count="8">
    <mergeCell ref="C29:E29"/>
    <mergeCell ref="C30:E30"/>
    <mergeCell ref="C31:E31"/>
    <mergeCell ref="C32:E32"/>
    <mergeCell ref="C33:E33"/>
    <mergeCell ref="C34:E34"/>
    <mergeCell ref="C35:E35"/>
    <mergeCell ref="C36:E36"/>
  </mergeCells>
  <hyperlinks>
    <hyperlink ref="B5" location="'Start'!A4" display="ANHANG  ›  HINWEISE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1" manualBreakCount="1">
    <brk id="20" man="true" max="16383" min="0"/>
  </rowBreaks>
  <drawing r:id="rIdNavDrawing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7B1"/>
    <pageSetUpPr fitToPage="true"/>
  </sheetPr>
  <dimension ref="A1:U8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3.04"/>
    <col collapsed="false" customWidth="true" hidden="false" outlineLevel="0" max="3" min="3" style="1" width="10.9"/>
    <col collapsed="false" customWidth="true" hidden="false" outlineLevel="0" max="4" min="4" style="1" width="10.04"/>
    <col collapsed="false" customWidth="true" hidden="false" outlineLevel="0" max="5" min="5" style="1" width="44.04"/>
    <col collapsed="false" customWidth="true" hidden="false" outlineLevel="0" max="6" min="6" style="1" width="5.76"/>
    <col collapsed="false" customWidth="true" hidden="false" outlineLevel="0" max="7" min="7" style="1" width="77.47"/>
    <col collapsed="false" customWidth="true" hidden="false" outlineLevel="0" max="8" min="8" style="1" width="3"/>
    <col collapsed="false" customWidth="true" hidden="false" outlineLevel="0" max="18" min="9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0"/>
      <c r="I1" s="0"/>
      <c r="J1" s="0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33" hidden="false" customHeight="true" outlineLevel="0" collapsed="false">
      <c r="A2" s="2"/>
      <c r="B2" s="6"/>
      <c r="C2" s="6"/>
      <c r="D2" s="6"/>
      <c r="E2" s="6"/>
      <c r="F2" s="6"/>
      <c r="G2" s="5"/>
      <c r="H2" s="0"/>
      <c r="I2" s="0"/>
      <c r="J2" s="0"/>
      <c r="K2" s="7"/>
      <c r="L2" s="7"/>
      <c r="M2" s="7"/>
      <c r="N2" s="7"/>
      <c r="O2" s="7"/>
      <c r="P2" s="7"/>
      <c r="Q2" s="7"/>
      <c r="R2" s="450"/>
      <c r="S2" s="8"/>
      <c r="T2" s="9"/>
      <c r="U2" s="9"/>
    </row>
    <row r="3" customFormat="false" ht="3" hidden="false" customHeight="true" outlineLevel="0" collapsed="false">
      <c r="A3" s="10"/>
      <c r="B3" s="10"/>
      <c r="C3" s="10"/>
      <c r="D3" s="10"/>
      <c r="E3" s="10"/>
      <c r="F3" s="10"/>
      <c r="G3" s="10"/>
      <c r="H3" s="0"/>
      <c r="I3" s="0"/>
      <c r="J3" s="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Format="false" ht="9.75" hidden="false" customHeight="true" outlineLevel="0" collapsed="false">
      <c r="A4" s="12"/>
      <c r="B4" s="39"/>
      <c r="C4" s="39"/>
      <c r="D4" s="39"/>
      <c r="E4" s="39"/>
      <c r="F4" s="39"/>
      <c r="G4" s="39"/>
      <c r="H4" s="12"/>
      <c r="I4" s="12"/>
      <c r="J4" s="12"/>
    </row>
    <row r="5" customFormat="false" ht="15.75" hidden="false" customHeight="true" outlineLevel="0" collapsed="false">
      <c r="A5" s="12"/>
      <c r="B5" s="84" t="s">
        <v>1446</v>
      </c>
      <c r="C5" s="39"/>
      <c r="D5" s="39"/>
      <c r="E5" s="39"/>
      <c r="F5" s="39"/>
      <c r="G5" s="39"/>
      <c r="H5" s="12"/>
      <c r="I5" s="12"/>
      <c r="J5" s="12"/>
    </row>
    <row r="6" customFormat="false" ht="30" hidden="false" customHeight="true" outlineLevel="0" collapsed="false">
      <c r="A6" s="12"/>
      <c r="B6" s="86" t="s">
        <v>1447</v>
      </c>
      <c r="C6" s="39"/>
      <c r="D6" s="39"/>
      <c r="E6" s="39"/>
      <c r="F6" s="39"/>
      <c r="G6" s="105" t="str">
        <f aca="false">Obj_Name</f>
        <v>Beispiel: 3-Zimmer-Eigentumswohnung</v>
      </c>
      <c r="H6" s="12"/>
      <c r="I6" s="12"/>
      <c r="J6" s="12"/>
    </row>
    <row r="7" customFormat="false" ht="21.75" hidden="false" customHeight="true" outlineLevel="0" collapsed="false">
      <c r="A7" s="12"/>
      <c r="B7" s="455" t="s">
        <v>1448</v>
      </c>
      <c r="C7" s="39"/>
      <c r="D7" s="39"/>
      <c r="E7" s="39"/>
      <c r="F7" s="39"/>
      <c r="G7" s="107" t="str">
        <f aca="false">IFERROR(IF(Erstellt_fuer="","","Erstellt für "&amp;Erstellt_fuer),"")</f>
        <v>Erstellt für Max Mustermann</v>
      </c>
      <c r="H7" s="12"/>
      <c r="I7" s="12"/>
      <c r="J7" s="12"/>
    </row>
    <row r="8" customFormat="false" ht="24" hidden="false" customHeight="true" outlineLevel="0" collapsed="false">
      <c r="A8" s="12"/>
      <c r="B8" s="33" t="s">
        <v>1449</v>
      </c>
      <c r="C8" s="264"/>
      <c r="D8" s="264"/>
      <c r="E8" s="264"/>
      <c r="F8" s="12"/>
      <c r="G8" s="33" t="s">
        <v>1450</v>
      </c>
      <c r="H8" s="12"/>
      <c r="I8" s="12"/>
      <c r="J8" s="12"/>
    </row>
    <row r="9" customFormat="false" ht="19.5" hidden="false" customHeight="true" outlineLevel="0" collapsed="false">
      <c r="A9" s="12"/>
      <c r="B9" s="96" t="s">
        <v>1451</v>
      </c>
      <c r="C9" s="109" t="s">
        <v>1452</v>
      </c>
      <c r="D9" s="95" t="s">
        <v>1453</v>
      </c>
      <c r="E9" s="96"/>
      <c r="F9" s="12"/>
      <c r="G9" s="96" t="s">
        <v>1454</v>
      </c>
      <c r="H9" s="12"/>
      <c r="I9" s="12"/>
      <c r="J9" s="12"/>
    </row>
    <row r="10" customFormat="false" ht="18" hidden="false" customHeight="true" outlineLevel="0" collapsed="false">
      <c r="A10" s="12"/>
      <c r="B10" s="111" t="s">
        <v>167</v>
      </c>
      <c r="C10" s="151" t="n">
        <v>0.05</v>
      </c>
      <c r="D10" s="347" t="s">
        <v>1455</v>
      </c>
      <c r="E10" s="113"/>
      <c r="F10" s="12"/>
      <c r="G10" s="72" t="s">
        <v>154</v>
      </c>
      <c r="H10" s="12"/>
      <c r="I10" s="12"/>
      <c r="J10" s="12"/>
    </row>
    <row r="11" customFormat="false" ht="18" hidden="false" customHeight="true" outlineLevel="0" collapsed="false">
      <c r="A11" s="12"/>
      <c r="B11" s="111" t="s">
        <v>1456</v>
      </c>
      <c r="C11" s="151" t="n">
        <v>0.035</v>
      </c>
      <c r="D11" s="347" t="s">
        <v>1457</v>
      </c>
      <c r="E11" s="113"/>
      <c r="F11" s="12"/>
      <c r="G11" s="72" t="s">
        <v>1458</v>
      </c>
      <c r="H11" s="12"/>
      <c r="I11" s="12"/>
      <c r="J11" s="12"/>
    </row>
    <row r="12" customFormat="false" ht="18" hidden="false" customHeight="true" outlineLevel="0" collapsed="false">
      <c r="A12" s="12"/>
      <c r="B12" s="111" t="s">
        <v>1459</v>
      </c>
      <c r="C12" s="151" t="n">
        <v>0.06</v>
      </c>
      <c r="D12" s="347" t="s">
        <v>1460</v>
      </c>
      <c r="E12" s="113"/>
      <c r="F12" s="12"/>
      <c r="G12" s="72" t="s">
        <v>1461</v>
      </c>
      <c r="H12" s="12"/>
      <c r="I12" s="12"/>
      <c r="J12" s="12"/>
    </row>
    <row r="13" customFormat="false" ht="18" hidden="false" customHeight="true" outlineLevel="0" collapsed="false">
      <c r="A13" s="12"/>
      <c r="B13" s="111" t="s">
        <v>1462</v>
      </c>
      <c r="C13" s="151" t="n">
        <v>0.065</v>
      </c>
      <c r="D13" s="347" t="s">
        <v>1463</v>
      </c>
      <c r="E13" s="113"/>
      <c r="F13" s="12"/>
      <c r="G13" s="72" t="s">
        <v>1464</v>
      </c>
      <c r="H13" s="12"/>
      <c r="I13" s="12"/>
      <c r="J13" s="12"/>
    </row>
    <row r="14" customFormat="false" ht="18" hidden="false" customHeight="true" outlineLevel="0" collapsed="false">
      <c r="A14" s="12"/>
      <c r="B14" s="111" t="s">
        <v>1465</v>
      </c>
      <c r="C14" s="151" t="n">
        <v>0.055</v>
      </c>
      <c r="D14" s="347" t="s">
        <v>1466</v>
      </c>
      <c r="E14" s="113"/>
      <c r="F14" s="12"/>
      <c r="G14" s="39"/>
      <c r="H14" s="12"/>
      <c r="I14" s="12"/>
      <c r="J14" s="12"/>
    </row>
    <row r="15" customFormat="false" ht="18" hidden="false" customHeight="true" outlineLevel="0" collapsed="false">
      <c r="A15" s="12"/>
      <c r="B15" s="111" t="s">
        <v>1467</v>
      </c>
      <c r="C15" s="151" t="n">
        <v>0.055</v>
      </c>
      <c r="D15" s="347" t="s">
        <v>1468</v>
      </c>
      <c r="E15" s="113"/>
      <c r="F15" s="12"/>
      <c r="G15" s="96" t="s">
        <v>1469</v>
      </c>
      <c r="H15" s="12"/>
      <c r="I15" s="12"/>
      <c r="J15" s="12"/>
    </row>
    <row r="16" customFormat="false" ht="18" hidden="false" customHeight="true" outlineLevel="0" collapsed="false">
      <c r="A16" s="12"/>
      <c r="B16" s="111" t="s">
        <v>1470</v>
      </c>
      <c r="C16" s="151" t="n">
        <v>0.06</v>
      </c>
      <c r="D16" s="347" t="s">
        <v>1471</v>
      </c>
      <c r="E16" s="113"/>
      <c r="F16" s="12"/>
      <c r="G16" s="72" t="s">
        <v>238</v>
      </c>
      <c r="H16" s="12"/>
      <c r="I16" s="12"/>
      <c r="J16" s="12"/>
    </row>
    <row r="17" customFormat="false" ht="18" hidden="false" customHeight="true" outlineLevel="0" collapsed="false">
      <c r="A17" s="12"/>
      <c r="B17" s="111" t="s">
        <v>1472</v>
      </c>
      <c r="C17" s="151" t="n">
        <v>0.06</v>
      </c>
      <c r="D17" s="347" t="s">
        <v>1473</v>
      </c>
      <c r="E17" s="113"/>
      <c r="F17" s="12"/>
      <c r="G17" s="72" t="s">
        <v>1474</v>
      </c>
      <c r="H17" s="12"/>
      <c r="I17" s="12"/>
      <c r="J17" s="12"/>
    </row>
    <row r="18" customFormat="false" ht="18" hidden="false" customHeight="true" outlineLevel="0" collapsed="false">
      <c r="A18" s="12"/>
      <c r="B18" s="111" t="s">
        <v>1475</v>
      </c>
      <c r="C18" s="151" t="n">
        <v>0.05</v>
      </c>
      <c r="D18" s="347" t="s">
        <v>1460</v>
      </c>
      <c r="E18" s="113"/>
      <c r="F18" s="12"/>
      <c r="G18" s="72" t="s">
        <v>1476</v>
      </c>
      <c r="H18" s="12"/>
      <c r="I18" s="12"/>
      <c r="J18" s="12"/>
    </row>
    <row r="19" customFormat="false" ht="18" hidden="false" customHeight="true" outlineLevel="0" collapsed="false">
      <c r="A19" s="12"/>
      <c r="B19" s="111" t="s">
        <v>1477</v>
      </c>
      <c r="C19" s="151" t="n">
        <v>0.065</v>
      </c>
      <c r="D19" s="347" t="s">
        <v>1478</v>
      </c>
      <c r="E19" s="113"/>
      <c r="F19" s="12"/>
      <c r="G19" s="39"/>
      <c r="H19" s="12"/>
      <c r="I19" s="12"/>
      <c r="J19" s="12"/>
    </row>
    <row r="20" customFormat="false" ht="18" hidden="false" customHeight="true" outlineLevel="0" collapsed="false">
      <c r="A20" s="12"/>
      <c r="B20" s="111" t="s">
        <v>1479</v>
      </c>
      <c r="C20" s="151" t="n">
        <v>0.05</v>
      </c>
      <c r="D20" s="347" t="s">
        <v>1480</v>
      </c>
      <c r="E20" s="113"/>
      <c r="F20" s="12"/>
      <c r="G20" s="96" t="s">
        <v>1481</v>
      </c>
      <c r="H20" s="12"/>
      <c r="I20" s="12"/>
      <c r="J20" s="12"/>
    </row>
    <row r="21" customFormat="false" ht="18" hidden="false" customHeight="true" outlineLevel="0" collapsed="false">
      <c r="A21" s="12"/>
      <c r="B21" s="111" t="s">
        <v>1482</v>
      </c>
      <c r="C21" s="151" t="n">
        <v>0.065</v>
      </c>
      <c r="D21" s="347" t="s">
        <v>1478</v>
      </c>
      <c r="E21" s="113"/>
      <c r="F21" s="12"/>
      <c r="G21" s="72" t="s">
        <v>276</v>
      </c>
      <c r="H21" s="12"/>
      <c r="I21" s="12"/>
      <c r="J21" s="12"/>
    </row>
    <row r="22" customFormat="false" ht="18" hidden="false" customHeight="true" outlineLevel="0" collapsed="false">
      <c r="A22" s="12"/>
      <c r="B22" s="111" t="s">
        <v>1483</v>
      </c>
      <c r="C22" s="151" t="n">
        <v>0.055</v>
      </c>
      <c r="D22" s="347" t="s">
        <v>1468</v>
      </c>
      <c r="E22" s="113"/>
      <c r="F22" s="12"/>
      <c r="G22" s="72" t="s">
        <v>1484</v>
      </c>
      <c r="H22" s="12"/>
      <c r="I22" s="12"/>
      <c r="J22" s="12"/>
    </row>
    <row r="23" customFormat="false" ht="18" hidden="false" customHeight="true" outlineLevel="0" collapsed="false">
      <c r="A23" s="12"/>
      <c r="B23" s="111" t="s">
        <v>1485</v>
      </c>
      <c r="C23" s="151" t="n">
        <v>0.05</v>
      </c>
      <c r="D23" s="347" t="s">
        <v>1480</v>
      </c>
      <c r="E23" s="113"/>
      <c r="F23" s="12"/>
      <c r="G23" s="72" t="s">
        <v>1486</v>
      </c>
      <c r="H23" s="12"/>
      <c r="I23" s="12"/>
      <c r="J23" s="12"/>
    </row>
    <row r="24" customFormat="false" ht="18" hidden="false" customHeight="true" outlineLevel="0" collapsed="false">
      <c r="A24" s="12"/>
      <c r="B24" s="111" t="s">
        <v>1487</v>
      </c>
      <c r="C24" s="151" t="n">
        <v>0.065</v>
      </c>
      <c r="D24" s="347" t="s">
        <v>1460</v>
      </c>
      <c r="E24" s="113"/>
      <c r="F24" s="12"/>
      <c r="G24" s="39"/>
      <c r="H24" s="12"/>
      <c r="I24" s="12"/>
      <c r="J24" s="12"/>
    </row>
    <row r="25" customFormat="false" ht="18" hidden="false" customHeight="true" outlineLevel="0" collapsed="false">
      <c r="A25" s="12"/>
      <c r="B25" s="111" t="s">
        <v>1488</v>
      </c>
      <c r="C25" s="151" t="n">
        <v>0.05</v>
      </c>
      <c r="D25" s="347" t="s">
        <v>1489</v>
      </c>
      <c r="E25" s="113"/>
      <c r="F25" s="12"/>
      <c r="G25" s="96" t="s">
        <v>1490</v>
      </c>
      <c r="H25" s="12"/>
      <c r="I25" s="12"/>
      <c r="J25" s="12"/>
    </row>
    <row r="26" customFormat="false" ht="18" hidden="false" customHeight="true" outlineLevel="0" collapsed="false">
      <c r="A26" s="12"/>
      <c r="B26" s="39"/>
      <c r="C26" s="39"/>
      <c r="D26" s="39"/>
      <c r="E26" s="39"/>
      <c r="F26" s="12"/>
      <c r="G26" s="72" t="s">
        <v>13</v>
      </c>
      <c r="H26" s="12"/>
      <c r="I26" s="12"/>
      <c r="J26" s="12"/>
    </row>
    <row r="27" customFormat="false" ht="24" hidden="false" customHeight="true" outlineLevel="0" collapsed="false">
      <c r="A27" s="12"/>
      <c r="B27" s="33" t="s">
        <v>1491</v>
      </c>
      <c r="C27" s="442" t="s">
        <v>773</v>
      </c>
      <c r="D27" s="264"/>
      <c r="E27" s="454" t="s">
        <v>144</v>
      </c>
      <c r="F27" s="12"/>
      <c r="G27" s="72" t="s">
        <v>1492</v>
      </c>
      <c r="H27" s="12"/>
      <c r="I27" s="12"/>
      <c r="J27" s="12"/>
    </row>
    <row r="28" customFormat="false" ht="18" hidden="false" customHeight="true" outlineLevel="0" collapsed="false">
      <c r="A28" s="12"/>
      <c r="B28" s="111" t="s">
        <v>1493</v>
      </c>
      <c r="C28" s="130" t="n">
        <v>12348</v>
      </c>
      <c r="D28" s="364"/>
      <c r="E28" s="113" t="s">
        <v>1494</v>
      </c>
      <c r="F28" s="12"/>
      <c r="G28" s="72" t="s">
        <v>1495</v>
      </c>
      <c r="H28" s="12"/>
      <c r="I28" s="12"/>
      <c r="J28" s="12"/>
    </row>
    <row r="29" customFormat="false" ht="18" hidden="false" customHeight="true" outlineLevel="0" collapsed="false">
      <c r="A29" s="12"/>
      <c r="B29" s="111" t="s">
        <v>1496</v>
      </c>
      <c r="C29" s="130" t="n">
        <v>17799</v>
      </c>
      <c r="D29" s="364"/>
      <c r="E29" s="113" t="s">
        <v>1497</v>
      </c>
      <c r="F29" s="12"/>
      <c r="G29" s="39"/>
      <c r="H29" s="12"/>
      <c r="I29" s="12"/>
      <c r="J29" s="12"/>
    </row>
    <row r="30" customFormat="false" ht="18" hidden="false" customHeight="true" outlineLevel="0" collapsed="false">
      <c r="A30" s="12"/>
      <c r="B30" s="111" t="s">
        <v>1498</v>
      </c>
      <c r="C30" s="130" t="n">
        <v>69878</v>
      </c>
      <c r="D30" s="364"/>
      <c r="E30" s="113" t="s">
        <v>1499</v>
      </c>
      <c r="F30" s="12"/>
      <c r="G30" s="96" t="s">
        <v>1500</v>
      </c>
      <c r="H30" s="12"/>
      <c r="I30" s="12"/>
      <c r="J30" s="12"/>
    </row>
    <row r="31" customFormat="false" ht="18" hidden="false" customHeight="true" outlineLevel="0" collapsed="false">
      <c r="A31" s="12"/>
      <c r="B31" s="111" t="s">
        <v>1501</v>
      </c>
      <c r="C31" s="130" t="n">
        <v>277825</v>
      </c>
      <c r="D31" s="364"/>
      <c r="E31" s="113" t="s">
        <v>1502</v>
      </c>
      <c r="F31" s="12"/>
      <c r="G31" s="72" t="s">
        <v>403</v>
      </c>
      <c r="H31" s="12"/>
      <c r="I31" s="12"/>
      <c r="J31" s="12"/>
    </row>
    <row r="32" customFormat="false" ht="18" hidden="false" customHeight="true" outlineLevel="0" collapsed="false">
      <c r="A32" s="12"/>
      <c r="B32" s="111" t="s">
        <v>1503</v>
      </c>
      <c r="C32" s="456" t="n">
        <v>914.51</v>
      </c>
      <c r="D32" s="364"/>
      <c r="E32" s="113"/>
      <c r="F32" s="12"/>
      <c r="G32" s="72" t="s">
        <v>1504</v>
      </c>
      <c r="H32" s="12"/>
      <c r="I32" s="12"/>
      <c r="J32" s="12"/>
    </row>
    <row r="33" customFormat="false" ht="18" hidden="false" customHeight="true" outlineLevel="0" collapsed="false">
      <c r="A33" s="12"/>
      <c r="B33" s="111" t="s">
        <v>1505</v>
      </c>
      <c r="C33" s="456" t="n">
        <v>1400</v>
      </c>
      <c r="D33" s="364"/>
      <c r="E33" s="113"/>
      <c r="F33" s="12"/>
      <c r="G33" s="39"/>
      <c r="H33" s="12"/>
      <c r="I33" s="12"/>
      <c r="J33" s="12"/>
    </row>
    <row r="34" customFormat="false" ht="18" hidden="false" customHeight="true" outlineLevel="0" collapsed="false">
      <c r="A34" s="12"/>
      <c r="B34" s="111" t="s">
        <v>1506</v>
      </c>
      <c r="C34" s="456" t="n">
        <v>173.1</v>
      </c>
      <c r="D34" s="364"/>
      <c r="E34" s="113"/>
      <c r="F34" s="12"/>
      <c r="G34" s="96" t="s">
        <v>1507</v>
      </c>
      <c r="H34" s="12"/>
      <c r="I34" s="12"/>
      <c r="J34" s="12"/>
    </row>
    <row r="35" customFormat="false" ht="18" hidden="false" customHeight="true" outlineLevel="0" collapsed="false">
      <c r="A35" s="12"/>
      <c r="B35" s="111" t="s">
        <v>1508</v>
      </c>
      <c r="C35" s="456" t="n">
        <v>2397</v>
      </c>
      <c r="D35" s="364"/>
      <c r="E35" s="113"/>
      <c r="F35" s="12"/>
      <c r="G35" s="72" t="s">
        <v>413</v>
      </c>
      <c r="H35" s="12"/>
      <c r="I35" s="12"/>
      <c r="J35" s="12"/>
    </row>
    <row r="36" customFormat="false" ht="18" hidden="false" customHeight="true" outlineLevel="0" collapsed="false">
      <c r="A36" s="12"/>
      <c r="B36" s="111" t="s">
        <v>1509</v>
      </c>
      <c r="C36" s="140" t="n">
        <v>0.42</v>
      </c>
      <c r="D36" s="364"/>
      <c r="E36" s="113"/>
      <c r="F36" s="12"/>
      <c r="G36" s="72" t="s">
        <v>444</v>
      </c>
      <c r="H36" s="12"/>
      <c r="I36" s="12"/>
      <c r="J36" s="12"/>
    </row>
    <row r="37" customFormat="false" ht="18" hidden="false" customHeight="true" outlineLevel="0" collapsed="false">
      <c r="A37" s="12"/>
      <c r="B37" s="111" t="s">
        <v>1510</v>
      </c>
      <c r="C37" s="140" t="n">
        <v>0.45</v>
      </c>
      <c r="D37" s="364"/>
      <c r="E37" s="113" t="s">
        <v>1511</v>
      </c>
      <c r="F37" s="12"/>
      <c r="G37" s="39"/>
      <c r="H37" s="12"/>
      <c r="I37" s="12"/>
      <c r="J37" s="12"/>
    </row>
    <row r="38" customFormat="false" ht="18" hidden="false" customHeight="true" outlineLevel="0" collapsed="false">
      <c r="A38" s="12"/>
      <c r="B38" s="111" t="s">
        <v>1512</v>
      </c>
      <c r="C38" s="140" t="n">
        <v>0.055</v>
      </c>
      <c r="D38" s="364"/>
      <c r="E38" s="113" t="s">
        <v>1513</v>
      </c>
      <c r="F38" s="12"/>
      <c r="G38" s="96" t="s">
        <v>1514</v>
      </c>
      <c r="H38" s="12"/>
      <c r="I38" s="12"/>
      <c r="J38" s="12"/>
    </row>
    <row r="39" customFormat="false" ht="18" hidden="false" customHeight="true" outlineLevel="0" collapsed="false">
      <c r="A39" s="12"/>
      <c r="B39" s="111" t="s">
        <v>1515</v>
      </c>
      <c r="C39" s="140" t="n">
        <v>0.08</v>
      </c>
      <c r="D39" s="364"/>
      <c r="E39" s="113" t="s">
        <v>1516</v>
      </c>
      <c r="F39" s="12"/>
      <c r="G39" s="72" t="s">
        <v>1517</v>
      </c>
      <c r="H39" s="12"/>
      <c r="I39" s="12"/>
      <c r="J39" s="12"/>
    </row>
    <row r="40" customFormat="false" ht="18" hidden="false" customHeight="true" outlineLevel="0" collapsed="false">
      <c r="A40" s="12"/>
      <c r="B40" s="111" t="s">
        <v>1518</v>
      </c>
      <c r="C40" s="140" t="n">
        <v>0.09</v>
      </c>
      <c r="D40" s="364"/>
      <c r="E40" s="113" t="s">
        <v>1519</v>
      </c>
      <c r="F40" s="12"/>
      <c r="G40" s="72" t="s">
        <v>417</v>
      </c>
      <c r="H40" s="12"/>
      <c r="I40" s="12"/>
      <c r="J40" s="12"/>
    </row>
    <row r="41" customFormat="false" ht="18" hidden="false" customHeight="true" outlineLevel="0" collapsed="false">
      <c r="A41" s="12"/>
      <c r="B41" s="457"/>
      <c r="C41" s="39"/>
      <c r="D41" s="39"/>
      <c r="E41" s="39"/>
      <c r="F41" s="12"/>
      <c r="G41" s="72" t="s">
        <v>1520</v>
      </c>
      <c r="H41" s="12"/>
      <c r="I41" s="12"/>
      <c r="J41" s="12"/>
    </row>
    <row r="42" customFormat="false" ht="12" hidden="false" customHeight="true" outlineLevel="0" collapsed="false">
      <c r="A42" s="12"/>
      <c r="B42" s="12"/>
      <c r="C42" s="12"/>
      <c r="D42" s="12"/>
      <c r="E42" s="12"/>
      <c r="F42" s="12"/>
      <c r="G42" s="39"/>
      <c r="H42" s="12"/>
      <c r="I42" s="12"/>
      <c r="J42" s="12"/>
    </row>
    <row r="43" customFormat="false" ht="24" hidden="false" customHeight="true" outlineLevel="0" collapsed="false">
      <c r="A43" s="12"/>
      <c r="B43" s="33" t="s">
        <v>1521</v>
      </c>
      <c r="C43" s="264"/>
      <c r="D43" s="264"/>
      <c r="E43" s="264"/>
      <c r="F43" s="12"/>
      <c r="G43" s="96" t="s">
        <v>1522</v>
      </c>
      <c r="H43" s="12"/>
      <c r="I43" s="12"/>
      <c r="J43" s="12"/>
    </row>
    <row r="44" customFormat="false" ht="19.5" hidden="false" customHeight="true" outlineLevel="0" collapsed="false">
      <c r="A44" s="12"/>
      <c r="B44" s="96" t="s">
        <v>1523</v>
      </c>
      <c r="C44" s="109" t="s">
        <v>1452</v>
      </c>
      <c r="D44" s="391"/>
      <c r="E44" s="96"/>
      <c r="F44" s="12"/>
      <c r="G44" s="72" t="s">
        <v>434</v>
      </c>
      <c r="H44" s="12"/>
      <c r="I44" s="12"/>
      <c r="J44" s="12"/>
    </row>
    <row r="45" customFormat="false" ht="18" hidden="false" customHeight="true" outlineLevel="0" collapsed="false">
      <c r="A45" s="12"/>
      <c r="B45" s="458" t="n">
        <v>2024</v>
      </c>
      <c r="C45" s="140" t="n">
        <v>0.15</v>
      </c>
      <c r="D45" s="364"/>
      <c r="E45" s="113"/>
      <c r="F45" s="12"/>
      <c r="G45" s="72" t="s">
        <v>1524</v>
      </c>
      <c r="H45" s="12"/>
      <c r="I45" s="12"/>
      <c r="J45" s="12"/>
    </row>
    <row r="46" customFormat="false" ht="18" hidden="false" customHeight="true" outlineLevel="0" collapsed="false">
      <c r="A46" s="12"/>
      <c r="B46" s="458" t="n">
        <v>2025</v>
      </c>
      <c r="C46" s="140" t="n">
        <v>0.15</v>
      </c>
      <c r="D46" s="364"/>
      <c r="E46" s="113"/>
      <c r="F46" s="12"/>
      <c r="G46" s="72" t="s">
        <v>1525</v>
      </c>
      <c r="H46" s="12"/>
      <c r="I46" s="12"/>
      <c r="J46" s="12"/>
    </row>
    <row r="47" customFormat="false" ht="18" hidden="false" customHeight="true" outlineLevel="0" collapsed="false">
      <c r="A47" s="12"/>
      <c r="B47" s="458" t="n">
        <v>2026</v>
      </c>
      <c r="C47" s="140" t="n">
        <v>0.15</v>
      </c>
      <c r="D47" s="364"/>
      <c r="E47" s="113"/>
      <c r="F47" s="12"/>
      <c r="G47" s="72" t="s">
        <v>1526</v>
      </c>
      <c r="H47" s="12"/>
      <c r="I47" s="12"/>
      <c r="J47" s="12"/>
    </row>
    <row r="48" customFormat="false" ht="18" hidden="false" customHeight="true" outlineLevel="0" collapsed="false">
      <c r="A48" s="12"/>
      <c r="B48" s="458" t="n">
        <v>2027</v>
      </c>
      <c r="C48" s="140" t="n">
        <v>0.15</v>
      </c>
      <c r="D48" s="364"/>
      <c r="E48" s="113"/>
      <c r="F48" s="12"/>
      <c r="G48" s="72" t="s">
        <v>1527</v>
      </c>
      <c r="H48" s="12"/>
      <c r="I48" s="12"/>
      <c r="J48" s="12"/>
    </row>
    <row r="49" customFormat="false" ht="18" hidden="false" customHeight="true" outlineLevel="0" collapsed="false">
      <c r="A49" s="12"/>
      <c r="B49" s="458" t="n">
        <v>2028</v>
      </c>
      <c r="C49" s="140" t="n">
        <v>0.14</v>
      </c>
      <c r="D49" s="364"/>
      <c r="E49" s="113"/>
      <c r="F49" s="12"/>
      <c r="G49" s="72" t="s">
        <v>1528</v>
      </c>
      <c r="H49" s="12"/>
      <c r="I49" s="12"/>
      <c r="J49" s="12"/>
    </row>
    <row r="50" customFormat="false" ht="18" hidden="false" customHeight="true" outlineLevel="0" collapsed="false">
      <c r="A50" s="12"/>
      <c r="B50" s="458" t="n">
        <v>2029</v>
      </c>
      <c r="C50" s="140" t="n">
        <v>0.13</v>
      </c>
      <c r="D50" s="364"/>
      <c r="E50" s="113"/>
      <c r="F50" s="12"/>
      <c r="G50" s="39"/>
      <c r="H50" s="12"/>
      <c r="I50" s="12"/>
      <c r="J50" s="12"/>
    </row>
    <row r="51" customFormat="false" ht="18" hidden="false" customHeight="true" outlineLevel="0" collapsed="false">
      <c r="A51" s="12"/>
      <c r="B51" s="458" t="n">
        <v>2030</v>
      </c>
      <c r="C51" s="140" t="n">
        <v>0.12</v>
      </c>
      <c r="D51" s="364"/>
      <c r="E51" s="113"/>
      <c r="F51" s="12"/>
      <c r="G51" s="96" t="s">
        <v>1529</v>
      </c>
      <c r="H51" s="12"/>
      <c r="I51" s="12"/>
      <c r="J51" s="12"/>
    </row>
    <row r="52" customFormat="false" ht="18" hidden="false" customHeight="true" outlineLevel="0" collapsed="false">
      <c r="A52" s="12"/>
      <c r="B52" s="458" t="n">
        <v>2031</v>
      </c>
      <c r="C52" s="140" t="n">
        <v>0.11</v>
      </c>
      <c r="D52" s="364"/>
      <c r="E52" s="113"/>
      <c r="F52" s="12"/>
      <c r="G52" s="72" t="s">
        <v>484</v>
      </c>
      <c r="H52" s="12"/>
      <c r="I52" s="12"/>
      <c r="J52" s="12"/>
    </row>
    <row r="53" customFormat="false" ht="18" hidden="false" customHeight="true" outlineLevel="0" collapsed="false">
      <c r="A53" s="12"/>
      <c r="B53" s="458" t="n">
        <v>2032</v>
      </c>
      <c r="C53" s="140" t="n">
        <v>0.1</v>
      </c>
      <c r="D53" s="364"/>
      <c r="E53" s="113"/>
      <c r="F53" s="12"/>
      <c r="G53" s="72" t="s">
        <v>1530</v>
      </c>
      <c r="H53" s="12"/>
      <c r="I53" s="12"/>
      <c r="J53" s="12"/>
    </row>
    <row r="54" customFormat="false" ht="18" hidden="false" customHeight="true" outlineLevel="0" collapsed="false">
      <c r="A54" s="12"/>
      <c r="B54" s="111" t="s">
        <v>1531</v>
      </c>
      <c r="C54" s="119" t="n">
        <v>2032</v>
      </c>
      <c r="D54" s="364"/>
      <c r="E54" s="113"/>
      <c r="F54" s="12"/>
      <c r="G54" s="12"/>
      <c r="H54" s="12"/>
      <c r="I54" s="12"/>
      <c r="J54" s="12"/>
    </row>
    <row r="55" customFormat="false" ht="18" hidden="false" customHeight="true" outlineLevel="0" collapsed="false">
      <c r="A55" s="12"/>
      <c r="B55" s="39"/>
      <c r="C55" s="39"/>
      <c r="D55" s="39"/>
      <c r="E55" s="39"/>
      <c r="F55" s="12"/>
      <c r="G55" s="12"/>
      <c r="H55" s="12"/>
      <c r="I55" s="12"/>
      <c r="J55" s="12"/>
    </row>
    <row r="56" customFormat="false" ht="24" hidden="false" customHeight="true" outlineLevel="0" collapsed="false">
      <c r="A56" s="12"/>
      <c r="B56" s="33" t="s">
        <v>1532</v>
      </c>
      <c r="C56" s="442" t="s">
        <v>773</v>
      </c>
      <c r="D56" s="264"/>
      <c r="E56" s="454" t="s">
        <v>144</v>
      </c>
      <c r="F56" s="12"/>
      <c r="G56" s="12"/>
      <c r="H56" s="12"/>
      <c r="I56" s="12"/>
      <c r="J56" s="12"/>
    </row>
    <row r="57" customFormat="false" ht="18" hidden="false" customHeight="true" outlineLevel="0" collapsed="false">
      <c r="A57" s="12"/>
      <c r="B57" s="111" t="s">
        <v>1533</v>
      </c>
      <c r="C57" s="151" t="n">
        <v>0.19</v>
      </c>
      <c r="D57" s="364"/>
      <c r="E57" s="113" t="s">
        <v>1534</v>
      </c>
      <c r="F57" s="12"/>
      <c r="G57" s="12"/>
      <c r="H57" s="12"/>
      <c r="I57" s="12"/>
      <c r="J57" s="12"/>
    </row>
    <row r="58" customFormat="false" ht="18" hidden="false" customHeight="true" outlineLevel="0" collapsed="false">
      <c r="A58" s="12"/>
      <c r="B58" s="111" t="s">
        <v>1535</v>
      </c>
      <c r="C58" s="151" t="n">
        <v>0.15</v>
      </c>
      <c r="D58" s="364"/>
      <c r="E58" s="113" t="s">
        <v>1536</v>
      </c>
      <c r="F58" s="12"/>
      <c r="G58" s="12"/>
      <c r="H58" s="12"/>
      <c r="I58" s="12"/>
      <c r="J58" s="12"/>
    </row>
    <row r="59" customFormat="false" ht="18" hidden="false" customHeight="true" outlineLevel="0" collapsed="false">
      <c r="A59" s="12"/>
      <c r="B59" s="111" t="s">
        <v>1537</v>
      </c>
      <c r="C59" s="151" t="n">
        <v>0.05</v>
      </c>
      <c r="D59" s="364"/>
      <c r="E59" s="113" t="s">
        <v>1538</v>
      </c>
      <c r="F59" s="12"/>
      <c r="G59" s="12"/>
      <c r="H59" s="12"/>
      <c r="I59" s="12"/>
      <c r="J59" s="12"/>
    </row>
    <row r="60" customFormat="false" ht="18" hidden="false" customHeight="true" outlineLevel="0" collapsed="false">
      <c r="A60" s="12"/>
      <c r="B60" s="111" t="s">
        <v>1539</v>
      </c>
      <c r="C60" s="133" t="n">
        <v>4</v>
      </c>
      <c r="D60" s="364"/>
      <c r="E60" s="113"/>
      <c r="F60" s="12"/>
      <c r="G60" s="12"/>
      <c r="H60" s="12"/>
      <c r="I60" s="12"/>
      <c r="J60" s="12"/>
    </row>
    <row r="61" customFormat="false" ht="18" hidden="false" customHeight="true" outlineLevel="0" collapsed="false">
      <c r="A61" s="12"/>
      <c r="B61" s="111" t="s">
        <v>1540</v>
      </c>
      <c r="C61" s="130" t="n">
        <v>5200</v>
      </c>
      <c r="D61" s="364"/>
      <c r="E61" s="113" t="s">
        <v>1541</v>
      </c>
      <c r="F61" s="12"/>
      <c r="G61" s="12"/>
      <c r="H61" s="12"/>
      <c r="I61" s="12"/>
      <c r="J61" s="12"/>
    </row>
    <row r="62" customFormat="false" ht="18" hidden="false" customHeight="true" outlineLevel="0" collapsed="false">
      <c r="A62" s="12"/>
      <c r="B62" s="111" t="s">
        <v>1542</v>
      </c>
      <c r="C62" s="130" t="n">
        <v>4000</v>
      </c>
      <c r="D62" s="364"/>
      <c r="E62" s="113" t="s">
        <v>1543</v>
      </c>
      <c r="F62" s="12"/>
      <c r="G62" s="12"/>
      <c r="H62" s="12"/>
      <c r="I62" s="12"/>
      <c r="J62" s="12"/>
    </row>
    <row r="63" customFormat="false" ht="18" hidden="false" customHeight="true" outlineLevel="0" collapsed="false">
      <c r="A63" s="12"/>
      <c r="B63" s="111" t="s">
        <v>1544</v>
      </c>
      <c r="C63" s="151" t="n">
        <v>0.05</v>
      </c>
      <c r="D63" s="364"/>
      <c r="E63" s="113" t="s">
        <v>1545</v>
      </c>
      <c r="F63" s="12"/>
      <c r="G63" s="12"/>
      <c r="H63" s="12"/>
      <c r="I63" s="12"/>
      <c r="J63" s="12"/>
    </row>
    <row r="64" customFormat="false" ht="18" hidden="false" customHeight="true" outlineLevel="0" collapsed="false">
      <c r="A64" s="12"/>
      <c r="B64" s="111" t="s">
        <v>1546</v>
      </c>
      <c r="C64" s="151" t="n">
        <v>0.09</v>
      </c>
      <c r="D64" s="364"/>
      <c r="E64" s="113"/>
      <c r="F64" s="12"/>
      <c r="G64" s="12"/>
      <c r="H64" s="12"/>
      <c r="I64" s="12"/>
      <c r="J64" s="12"/>
    </row>
    <row r="65" customFormat="false" ht="18" hidden="false" customHeight="true" outlineLevel="0" collapsed="false">
      <c r="A65" s="12"/>
      <c r="B65" s="111" t="s">
        <v>1547</v>
      </c>
      <c r="C65" s="151" t="n">
        <v>0.07</v>
      </c>
      <c r="D65" s="364"/>
      <c r="E65" s="113"/>
      <c r="F65" s="12"/>
      <c r="G65" s="12"/>
      <c r="H65" s="12"/>
      <c r="I65" s="12"/>
      <c r="J65" s="12"/>
    </row>
    <row r="66" customFormat="false" ht="18" hidden="false" customHeight="true" outlineLevel="0" collapsed="false">
      <c r="A66" s="12"/>
      <c r="B66" s="111" t="s">
        <v>1548</v>
      </c>
      <c r="C66" s="133" t="n">
        <v>10</v>
      </c>
      <c r="D66" s="364"/>
      <c r="E66" s="113" t="s">
        <v>1549</v>
      </c>
      <c r="F66" s="12"/>
      <c r="G66" s="12"/>
      <c r="H66" s="12"/>
      <c r="I66" s="12"/>
      <c r="J66" s="12"/>
    </row>
    <row r="67" customFormat="false" ht="18" hidden="false" customHeight="true" outlineLevel="0" collapsed="false">
      <c r="A67" s="12"/>
      <c r="B67" s="111" t="s">
        <v>1550</v>
      </c>
      <c r="C67" s="133" t="n">
        <v>5</v>
      </c>
      <c r="D67" s="364"/>
      <c r="E67" s="113" t="s">
        <v>1551</v>
      </c>
      <c r="F67" s="12"/>
      <c r="G67" s="12"/>
      <c r="H67" s="12"/>
      <c r="I67" s="12"/>
      <c r="J67" s="12"/>
    </row>
    <row r="68" customFormat="false" ht="18" hidden="false" customHeight="true" outlineLevel="0" collapsed="false">
      <c r="A68" s="12"/>
      <c r="B68" s="111" t="s">
        <v>1552</v>
      </c>
      <c r="C68" s="151" t="n">
        <v>0.05</v>
      </c>
      <c r="D68" s="364"/>
      <c r="E68" s="113" t="s">
        <v>1553</v>
      </c>
      <c r="F68" s="12"/>
      <c r="G68" s="12"/>
      <c r="H68" s="12"/>
      <c r="I68" s="12"/>
      <c r="J68" s="12"/>
    </row>
    <row r="69" customFormat="false" ht="18" hidden="false" customHeight="true" outlineLevel="0" collapsed="false">
      <c r="A69" s="12"/>
      <c r="B69" s="111" t="s">
        <v>1554</v>
      </c>
      <c r="C69" s="133" t="n">
        <v>5</v>
      </c>
      <c r="D69" s="364"/>
      <c r="E69" s="113" t="s">
        <v>1555</v>
      </c>
      <c r="F69" s="12"/>
      <c r="G69" s="12"/>
      <c r="H69" s="12"/>
      <c r="I69" s="12"/>
      <c r="J69" s="12"/>
    </row>
    <row r="70" customFormat="false" ht="18" hidden="false" customHeight="true" outlineLevel="0" collapsed="false">
      <c r="A70" s="12"/>
      <c r="B70" s="111" t="s">
        <v>1556</v>
      </c>
      <c r="C70" s="151" t="n">
        <v>0.035</v>
      </c>
      <c r="D70" s="364"/>
      <c r="E70" s="113" t="s">
        <v>1557</v>
      </c>
      <c r="F70" s="12"/>
      <c r="G70" s="12"/>
      <c r="H70" s="12"/>
      <c r="I70" s="12"/>
      <c r="J70" s="12"/>
    </row>
    <row r="71" customFormat="false" ht="18" hidden="false" customHeight="true" outlineLevel="0" collapsed="false">
      <c r="B71" s="111" t="s">
        <v>1558</v>
      </c>
      <c r="C71" s="151" t="n">
        <v>0.25</v>
      </c>
      <c r="D71" s="188"/>
      <c r="E71" s="113" t="s">
        <v>1559</v>
      </c>
    </row>
    <row r="72" customFormat="false" ht="18" hidden="false" customHeight="true" outlineLevel="0" collapsed="false">
      <c r="B72" s="111" t="s">
        <v>1560</v>
      </c>
      <c r="C72" s="140" t="n">
        <v>0.04</v>
      </c>
      <c r="D72" s="188"/>
      <c r="E72" s="113" t="s">
        <v>1561</v>
      </c>
    </row>
    <row r="73" customFormat="false" ht="18" hidden="false" customHeight="true" outlineLevel="0" collapsed="false">
      <c r="B73" s="9"/>
      <c r="C73" s="9"/>
      <c r="D73" s="9"/>
      <c r="E73" s="9"/>
    </row>
    <row r="74" customFormat="false" ht="24" hidden="false" customHeight="true" outlineLevel="0" collapsed="false">
      <c r="B74" s="33" t="s">
        <v>1562</v>
      </c>
      <c r="C74" s="264"/>
      <c r="D74" s="264"/>
      <c r="E74" s="264"/>
    </row>
    <row r="75" customFormat="false" ht="19.5" hidden="false" customHeight="true" outlineLevel="0" collapsed="false">
      <c r="B75" s="96" t="s">
        <v>524</v>
      </c>
      <c r="C75" s="109" t="s">
        <v>1563</v>
      </c>
      <c r="D75" s="109" t="s">
        <v>1564</v>
      </c>
      <c r="E75" s="96" t="s">
        <v>144</v>
      </c>
    </row>
    <row r="76" customFormat="false" ht="18" hidden="false" customHeight="true" outlineLevel="0" collapsed="false">
      <c r="B76" s="111" t="s">
        <v>102</v>
      </c>
      <c r="C76" s="151" t="n">
        <v>0.05</v>
      </c>
      <c r="D76" s="151" t="n">
        <v>0.04</v>
      </c>
      <c r="E76" s="113" t="s">
        <v>1565</v>
      </c>
    </row>
    <row r="77" customFormat="false" ht="18" hidden="false" customHeight="true" outlineLevel="0" collapsed="false">
      <c r="B77" s="111" t="s">
        <v>313</v>
      </c>
      <c r="C77" s="151" t="n">
        <v>0.035</v>
      </c>
      <c r="D77" s="151" t="n">
        <v>0.025</v>
      </c>
      <c r="E77" s="113" t="s">
        <v>1566</v>
      </c>
    </row>
    <row r="78" customFormat="false" ht="18" hidden="false" customHeight="true" outlineLevel="0" collapsed="false">
      <c r="B78" s="111" t="s">
        <v>356</v>
      </c>
      <c r="C78" s="459" t="n">
        <v>1.2</v>
      </c>
      <c r="D78" s="459" t="n">
        <v>1</v>
      </c>
      <c r="E78" s="113" t="s">
        <v>1567</v>
      </c>
    </row>
    <row r="79" customFormat="false" ht="18" hidden="false" customHeight="true" outlineLevel="0" collapsed="false">
      <c r="B79" s="111" t="s">
        <v>1568</v>
      </c>
      <c r="C79" s="151" t="n">
        <v>0.06</v>
      </c>
      <c r="D79" s="151" t="n">
        <v>0.03</v>
      </c>
      <c r="E79" s="113" t="s">
        <v>1569</v>
      </c>
    </row>
    <row r="80" customFormat="false" ht="18" hidden="false" customHeight="true" outlineLevel="0" collapsed="false">
      <c r="B80" s="111" t="s">
        <v>1570</v>
      </c>
      <c r="C80" s="151" t="n">
        <v>0.1</v>
      </c>
      <c r="D80" s="151" t="n">
        <v>0.05</v>
      </c>
      <c r="E80" s="113" t="s">
        <v>1571</v>
      </c>
    </row>
    <row r="81" customFormat="false" ht="18" hidden="false" customHeight="true" outlineLevel="0" collapsed="false"/>
    <row r="82" customFormat="false" ht="18" hidden="false" customHeight="true" outlineLevel="0" collapsed="false">
      <c r="B82" s="79" t="s">
        <v>91</v>
      </c>
      <c r="C82" s="216"/>
      <c r="D82" s="216"/>
      <c r="E82" s="216"/>
      <c r="F82" s="216"/>
      <c r="G82" s="216"/>
    </row>
    <row r="83" customFormat="false" ht="13.5" hidden="false" customHeight="true" outlineLevel="0" collapsed="false">
      <c r="B83" s="81" t="s">
        <v>92</v>
      </c>
      <c r="C83" s="9"/>
      <c r="D83" s="9"/>
      <c r="E83" s="9"/>
      <c r="F83" s="9"/>
      <c r="G83" s="9"/>
    </row>
  </sheetData>
  <sheetProtection sheet="true" objects="1" formatColumns="false" formatRows="false"/>
  <hyperlinks>
    <hyperlink ref="B5" location="'Start'!A4" display="ANHANG  ›  KONFIGURATION"/>
  </hyperlink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&amp;K5b6068&amp;A</oddHeader>
    <oddFooter>&amp;L&amp;8 &amp;K5b6068MM Holding GmbH · Immobilien-Kalkulation · &amp;A&amp;R&amp;8 &amp;K5b6068Seite &amp;P von &amp;N</oddFooter>
  </headerFooter>
  <rowBreaks count="2" manualBreakCount="2">
    <brk id="26" man="true" max="16383" min="0"/>
    <brk id="55" man="true" max="16383" min="0"/>
  </rowBreaks>
  <drawing r:id="rIdNavDrawing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2026-09-23T17:13:34Z</dcterms:created>
  <dc:creator>MM Holding GmbH</dc:creator>
  <dc:description/>
  <dc:language>en-US</dc:language>
  <cp:lastModifiedBy/>
  <dcterms:modified xsi:type="dcterms:W3CDTF">2026-09-24T20:53:45Z</dcterms:modified>
  <cp:revision>2</cp:revision>
  <dc:subject>Kauf, Finanzierung, Cashflow, Steuern und Exit vermieteter Immobilien</dc:subject>
  <dc:title>Immobilien-Kalkulation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