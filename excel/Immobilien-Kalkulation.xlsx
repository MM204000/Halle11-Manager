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art" sheetId="1" state="visible" r:id="rId3"/>
    <sheet name="Leitfaden" sheetId="2" state="visible" r:id="rId4"/>
    <sheet name="Cockpit" sheetId="3" state="visible" r:id="rId5"/>
    <sheet name="Eingaben" sheetId="4" state="visible" r:id="rId6"/>
    <sheet name="Projektion" sheetId="5" state="visible" r:id="rId7"/>
    <sheet name="Finanzierung" sheetId="6" state="visible" r:id="rId8"/>
    <sheet name="Steuern" sheetId="7" state="visible" r:id="rId9"/>
    <sheet name="AfA-Vergleich" sheetId="8" state="visible" r:id="rId10"/>
    <sheet name="Sensitivität" sheetId="9" state="visible" r:id="rId11"/>
    <sheet name="Bankgespräch" sheetId="10" state="visible" r:id="rId12"/>
    <sheet name="Hinweise" sheetId="11" state="visible" r:id="rId13"/>
    <sheet name="Konfiguration" sheetId="12" state="visible" r:id="rId14"/>
  </sheets>
  <definedNames>
    <definedName function="false" hidden="false" localSheetId="7" name="_xlnm.Print_Area" vbProcedure="false">'AfA-Vergleich'!$A$1:$M$52</definedName>
    <definedName function="false" hidden="false" localSheetId="7" name="_xlnm.Print_Titles" vbProcedure="false">'AfA-Vergleich'!$19:$19</definedName>
    <definedName function="false" hidden="false" localSheetId="9" name="_xlnm.Print_Area" vbProcedure="false">Bankgespräch!$A$1:$M$46</definedName>
    <definedName function="false" hidden="false" localSheetId="2" name="_xlnm.Print_Area" vbProcedure="false">Cockpit!$A$1:$M$54</definedName>
    <definedName function="false" hidden="false" localSheetId="3" name="_xlnm.Print_Area" vbProcedure="false">Eingaben!$A$1:$M$67</definedName>
    <definedName function="false" hidden="false" localSheetId="3" name="_xlnm.Print_Titles" vbProcedure="false">Eingaben!$10:$10</definedName>
    <definedName function="false" hidden="false" localSheetId="5" name="_xlnm.Print_Area" vbProcedure="false">Finanzierung!$A$1:$M$53</definedName>
    <definedName function="false" hidden="false" localSheetId="5" name="_xlnm.Print_Titles" vbProcedure="false">Finanzierung!$19:$19</definedName>
    <definedName function="false" hidden="false" localSheetId="10" name="_xlnm.Print_Area" vbProcedure="false">Hinweise!$A$1:$M$30</definedName>
    <definedName function="false" hidden="false" localSheetId="11" name="_xlnm.Print_Area" vbProcedure="false">Konfiguration!$A$1:$M$32</definedName>
    <definedName function="false" hidden="false" localSheetId="1" name="_xlnm.Print_Area" vbProcedure="false">Leitfaden!$A$1:$M$30</definedName>
    <definedName function="false" hidden="false" localSheetId="4" name="_xlnm.Print_Area" vbProcedure="false">Projektion!$A$1:$T$63</definedName>
    <definedName function="false" hidden="false" localSheetId="4" name="_xlnm.Print_Titles" vbProcedure="false">Projektion!$9:$9</definedName>
    <definedName function="false" hidden="false" localSheetId="8" name="_xlnm.Print_Area" vbProcedure="false">Sensitivität!$A$1:$M$46</definedName>
    <definedName function="false" hidden="false" localSheetId="0" name="_xlnm.Print_Area" vbProcedure="false">Start!$A$1:$M$37</definedName>
    <definedName function="false" hidden="false" localSheetId="6" name="_xlnm.Print_Area" vbProcedure="false">Steuern!$A$1:$M$56</definedName>
    <definedName function="false" hidden="false" localSheetId="6" name="_xlnm.Print_Titles" vbProcedure="false">Steuern!$22:$22</definedName>
    <definedName function="false" hidden="false" name="AfA_Basis" vbProcedure="false">Steuern!$E$16</definedName>
    <definedName function="false" hidden="false" name="AfA_Gebaeude" vbProcedure="false">Steuern!$E$17</definedName>
    <definedName function="false" hidden="false" name="AfA_Inventar" vbProcedure="false">Steuern!$E$19</definedName>
    <definedName function="false" hidden="false" name="AfA_Satz" vbProcedure="false">Eingaben!$E$54</definedName>
    <definedName function="false" hidden="false" name="AK_Immobilie" vbProcedure="false">Steuern!$E$12</definedName>
    <definedName function="false" hidden="false" name="Annuitaet" vbProcedure="false">Finanzierung!$M$13</definedName>
    <definedName function="false" hidden="false" name="Anschlusszins" vbProcedure="false">Eingaben!$E$36</definedName>
    <definedName function="false" hidden="false" name="Bank_Mietansatz" vbProcedure="false">Konfiguration!$E$21</definedName>
    <definedName function="false" hidden="false" name="Brutto_Rendite" vbProcedure="false">Projektion!$N$44</definedName>
    <definedName function="false" hidden="false" name="CF_Monat_J1" vbProcedure="false">Projektion!$N$47</definedName>
    <definedName function="false" hidden="false" name="CF_Monat_J2" vbProcedure="false">Projektion!$N$48</definedName>
    <definedName function="false" hidden="false" name="Darlehen" vbProcedure="false">Eingaben!$E$32</definedName>
    <definedName function="false" hidden="false" name="DSCR_J1" vbProcedure="false">Projektion!$N$46</definedName>
    <definedName function="false" hidden="false" name="Eigenkapital" vbProcedure="false">Finanzierung!$M$10</definedName>
    <definedName function="false" hidden="false" name="EK_Quote" vbProcedure="false">Finanzierung!$M$11</definedName>
    <definedName function="false" hidden="false" name="EK_Rendite_J1" vbProcedure="false">Projektion!$N$49</definedName>
    <definedName function="false" hidden="false" name="Erhaltung_Jahre" vbProcedure="false">Eingaben!$E$29</definedName>
    <definedName function="false" hidden="false" name="Exit_Netto" vbProcedure="false">Projektion!$F$51</definedName>
    <definedName function="false" hidden="false" name="Faktor" vbProcedure="false">Finanzierung!$M$16</definedName>
    <definedName function="false" hidden="false" name="Gebaeudeanteil" vbProcedure="false">Eingaben!$E$53</definedName>
    <definedName function="false" hidden="false" name="Gebaeude_AK" vbProcedure="false">Steuern!$E$14</definedName>
    <definedName function="false" hidden="false" name="Gesamtinvestition" vbProcedure="false">Finanzierung!$E$16</definedName>
    <definedName function="false" hidden="false" name="Grenze15" vbProcedure="false">Steuern!$M$10</definedName>
    <definedName function="false" hidden="false" name="Grenzsteuersatz" vbProcedure="false">Eingaben!$E$56</definedName>
    <definedName function="false" hidden="false" name="GrESt_Satz" vbProcedure="false">Eingaben!$E$24</definedName>
    <definedName function="false" hidden="false" name="Grundbuch_Satz" vbProcedure="false">Eingaben!$E$26</definedName>
    <definedName function="false" hidden="false" name="Haltedauer" vbProcedure="false">Eingaben!$E$19</definedName>
    <definedName function="false" hidden="false" name="Hausgeld_nu" vbProcedure="false">Eingaben!$E$42</definedName>
    <definedName function="false" hidden="false" name="Inventar" vbProcedure="false">Eingaben!$E$23</definedName>
    <definedName function="false" hidden="false" name="Inventar_AK" vbProcedure="false">Steuern!$E$18</definedName>
    <definedName function="false" hidden="false" name="Investor" vbProcedure="false">Eingaben!$E$15</definedName>
    <definedName function="false" hidden="false" name="IRR_nSt" vbProcedure="false">Projektion!$N$50</definedName>
    <definedName function="false" hidden="false" name="Kaufdatum" vbProcedure="false">Eingaben!$E$17</definedName>
    <definedName function="false" hidden="false" name="Kaufnebenkosten" vbProcedure="false">Finanzierung!$E$14</definedName>
    <definedName function="false" hidden="false" name="Kaufpreis" vbProcedure="false">Eingaben!$E$22</definedName>
    <definedName function="false" hidden="false" name="KiSt" vbProcedure="false">Eingaben!$E$58</definedName>
    <definedName function="false" hidden="false" name="Kostensteigerung" vbProcedure="false">Eingaben!$E$45</definedName>
    <definedName function="false" hidden="false" name="Kreditraten" vbProcedure="false">Eingaben!$E$64</definedName>
    <definedName function="false" hidden="false" name="Lage" vbProcedure="false">Eingaben!$E$14</definedName>
    <definedName function="false" hidden="false" name="Lebenshaltung" vbProcedure="false">Eingaben!$E$62</definedName>
    <definedName function="false" hidden="false" name="Liste_AfA" vbProcedure="false">Konfiguration!$B$26:$B$28</definedName>
    <definedName function="false" hidden="false" name="Liste_KiSt" vbProcedure="false">Konfiguration!$H$26:$H$28</definedName>
    <definedName function="false" hidden="false" name="Liste_Soli" vbProcedure="false">Konfiguration!$E$26:$E$27</definedName>
    <definedName function="false" hidden="false" name="LTV" vbProcedure="false">Finanzierung!$M$12</definedName>
    <definedName function="false" hidden="false" name="Makler_Satz" vbProcedure="false">Eingaben!$E$27</definedName>
    <definedName function="false" hidden="false" name="Marktwert" vbProcedure="false">Eingaben!$E$48</definedName>
    <definedName function="false" hidden="false" name="Mietausfall" vbProcedure="false">Eingaben!$E$40</definedName>
    <definedName function="false" hidden="false" name="Miete_Monat" vbProcedure="false">Eingaben!$E$39</definedName>
    <definedName function="false" hidden="false" name="Mietsteigerung" vbProcedure="false">Eingaben!$E$41</definedName>
    <definedName function="false" hidden="false" name="Min_Reserve" vbProcedure="false">Konfiguration!$E$22</definedName>
    <definedName function="false" hidden="false" name="Monatsrate" vbProcedure="false">Finanzierung!$M$14</definedName>
    <definedName function="false" hidden="false" name="Multiple" vbProcedure="false">Projektion!$N$51</definedName>
    <definedName function="false" hidden="false" name="ND_Inventar" vbProcedure="false">Eingaben!$E$55</definedName>
    <definedName function="false" hidden="false" name="Netto_Einkommen" vbProcedure="false">Eingaben!$E$61</definedName>
    <definedName function="false" hidden="false" name="Netto_Rendite" vbProcedure="false">Projektion!$N$45</definedName>
    <definedName function="false" hidden="false" name="Notar_Satz" vbProcedure="false">Eingaben!$E$25</definedName>
    <definedName function="false" hidden="false" name="Objekt" vbProcedure="false">Eingaben!$E$13</definedName>
    <definedName function="false" hidden="false" name="Regel15_ok" vbProcedure="false">Steuern!$M$12</definedName>
    <definedName function="false" hidden="false" name="Renovierung" vbProcedure="false">Eingaben!$E$28</definedName>
    <definedName function="false" hidden="false" name="Reserve" vbProcedure="false">Eingaben!$E$65</definedName>
    <definedName function="false" hidden="false" name="Restschuld_ZB" vbProcedure="false">Finanzierung!$M$15</definedName>
    <definedName function="false" hidden="false" name="Ruecklage" vbProcedure="false">Eingaben!$E$43</definedName>
    <definedName function="false" hidden="false" name="Schwelle_Pruefen" vbProcedure="false">Konfiguration!$E$20</definedName>
    <definedName function="false" hidden="false" name="Soli" vbProcedure="false">Eingaben!$E$57</definedName>
    <definedName function="false" hidden="false" name="Stand" vbProcedure="false">Eingaben!$E$18</definedName>
    <definedName function="false" hidden="false" name="Steuersatz_eff" vbProcedure="false">Steuern!$M$19</definedName>
    <definedName function="false" hidden="false" name="Tilgung" vbProcedure="false">Eingaben!$E$34</definedName>
    <definedName function="false" hidden="false" name="Verkaufskosten" vbProcedure="false">Eingaben!$E$50</definedName>
    <definedName function="false" hidden="false" name="Verwaltung" vbProcedure="false">Eingaben!$E$44</definedName>
    <definedName function="false" hidden="false" name="Wertsteigerung" vbProcedure="false">Eingaben!$E$49</definedName>
    <definedName function="false" hidden="false" name="Wohnflaeche" vbProcedure="false">Eingaben!$E$16</definedName>
    <definedName function="false" hidden="false" name="Wohnkosten" vbProcedure="false">Eingaben!$E$63</definedName>
    <definedName function="false" hidden="false" name="Ziel_Brutto" vbProcedure="false">Konfiguration!$E$12</definedName>
    <definedName function="false" hidden="false" name="Ziel_CF" vbProcedure="false">Konfiguration!$E$15</definedName>
    <definedName function="false" hidden="false" name="Ziel_DSCR" vbProcedure="false">Konfiguration!$E$14</definedName>
    <definedName function="false" hidden="false" name="Ziel_EKR" vbProcedure="false">Konfiguration!$E$16</definedName>
    <definedName function="false" hidden="false" name="Ziel_IRR" vbProcedure="false">Konfiguration!$E$17</definedName>
    <definedName function="false" hidden="false" name="Ziel_Netto" vbProcedure="false">Konfiguration!$E$13</definedName>
    <definedName function="false" hidden="false" name="Zins" vbProcedure="false">Eingaben!$E$33</definedName>
    <definedName function="false" hidden="false" name="Zinsbindung" vbProcedure="false">Eingaben!$E$35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<sst xmlns="http://schemas.openxmlformats.org/spreadsheetml/2006/main" count="756" uniqueCount="398">
  <si>
    <t xml:space="preserve">MM Holding</t>
  </si>
  <si>
    <t xml:space="preserve">Immobilien-Kalkulation · Version 2.0</t>
  </si>
  <si>
    <t xml:space="preserve">Immobilien-Kalkulation</t>
  </si>
  <si>
    <t xml:space="preserve">Objekt</t>
  </si>
  <si>
    <t xml:space="preserve">Kauf</t>
  </si>
  <si>
    <t xml:space="preserve">Investor</t>
  </si>
  <si>
    <t xml:space="preserve">Lage</t>
  </si>
  <si>
    <t xml:space="preserve">Haltedauer</t>
  </si>
  <si>
    <t xml:space="preserve">Stand</t>
  </si>
  <si>
    <t xml:space="preserve">Start</t>
  </si>
  <si>
    <t xml:space="preserve">Leitfaden</t>
  </si>
  <si>
    <t xml:space="preserve">Cockpit</t>
  </si>
  <si>
    <t xml:space="preserve">Eingaben</t>
  </si>
  <si>
    <t xml:space="preserve">Projektion</t>
  </si>
  <si>
    <t xml:space="preserve">Finanzierung</t>
  </si>
  <si>
    <t xml:space="preserve">Steuern</t>
  </si>
  <si>
    <t xml:space="preserve">AfA-Vergleich</t>
  </si>
  <si>
    <t xml:space="preserve">Sensitivität</t>
  </si>
  <si>
    <t xml:space="preserve">Bankgespräch</t>
  </si>
  <si>
    <t xml:space="preserve">Hinweise</t>
  </si>
  <si>
    <t xml:space="preserve">Konfiguration</t>
  </si>
  <si>
    <t xml:space="preserve">Ergebnis auf einen Blick</t>
  </si>
  <si>
    <t xml:space="preserve">Gesamtbewertung</t>
  </si>
  <si>
    <t xml:space="preserve">Cashflow n. St. / Monat</t>
  </si>
  <si>
    <t xml:space="preserve">Kaufpreis</t>
  </si>
  <si>
    <t xml:space="preserve">Kapitaldienstdeckung</t>
  </si>
  <si>
    <t xml:space="preserve">Gesamtinvestition</t>
  </si>
  <si>
    <t xml:space="preserve">IRR nach Steuern</t>
  </si>
  <si>
    <t xml:space="preserve">Kaufdatum</t>
  </si>
  <si>
    <t xml:space="preserve">Eigenkapitalbedarf</t>
  </si>
  <si>
    <t xml:space="preserve">Nettovermögen Jahr 30</t>
  </si>
  <si>
    <t xml:space="preserve">Inhalt</t>
  </si>
  <si>
    <t xml:space="preserve">Klick auf den Blattnamen öffnet das Blatt</t>
  </si>
  <si>
    <t xml:space="preserve">Blatt</t>
  </si>
  <si>
    <t xml:space="preserve">Bereich</t>
  </si>
  <si>
    <t xml:space="preserve">Einstieg</t>
  </si>
  <si>
    <t xml:space="preserve">Deckblatt, Inhaltsverzeichnis und Legende</t>
  </si>
  <si>
    <t xml:space="preserve">Schritt-für-Schritt-Anleitung und Konventionen</t>
  </si>
  <si>
    <t xml:space="preserve">Ausgabe</t>
  </si>
  <si>
    <t xml:space="preserve">Gesamtbewertung, Kennzahlen, Diagramme und Prüfhinweise</t>
  </si>
  <si>
    <t xml:space="preserve">Eingabe</t>
  </si>
  <si>
    <t xml:space="preserve">Alle Annahmen zu Objekt, Kauf, Finanzierung, Miete, Steuern, Haushalt</t>
  </si>
  <si>
    <t xml:space="preserve">Berechnung</t>
  </si>
  <si>
    <t xml:space="preserve">Jahresprojektion über 30 Jahre, Exit-Rechnung, Renditekennzahlen</t>
  </si>
  <si>
    <t xml:space="preserve">Investitions- und Finanzierungsplan, Tilgungsplan</t>
  </si>
  <si>
    <t xml:space="preserve">AfA-Bemessung, 15-%-Grenze, Einkünfte aus V+V, Steuereffekt</t>
  </si>
  <si>
    <t xml:space="preserve">Lineare vs. degressive Gebäude-AfA im Vergleich</t>
  </si>
  <si>
    <t xml:space="preserve">Cashflow und DSCR bei veränderten Zinsen und Mieten</t>
  </si>
  <si>
    <t xml:space="preserve">Bank</t>
  </si>
  <si>
    <t xml:space="preserve">Objekt- und Finanzierungsübersicht inkl. Haushaltsrechnung</t>
  </si>
  <si>
    <t xml:space="preserve">Anhang</t>
  </si>
  <si>
    <t xml:space="preserve">Annahmen, Vereinfachungen, Rechtsgrundlagen, Haftung</t>
  </si>
  <si>
    <t xml:space="preserve">Zielwerte, Ampelschwellen, Bankparameter, Auswahllisten</t>
  </si>
  <si>
    <t xml:space="preserve">Legende</t>
  </si>
  <si>
    <t xml:space="preserve">12.345</t>
  </si>
  <si>
    <t xml:space="preserve">Eingabe – nur diese Felder ändern (Blatt Eingaben, Konfiguration, Sensitivität)</t>
  </si>
  <si>
    <t xml:space="preserve">erfüllt</t>
  </si>
  <si>
    <t xml:space="preserve">Ist-Wert erreicht den Zielwert</t>
  </si>
  <si>
    <t xml:space="preserve">Berechnung – Formel, nicht überschreiben</t>
  </si>
  <si>
    <t xml:space="preserve">prüfen</t>
  </si>
  <si>
    <t xml:space="preserve">Ist-Wert knapp unter Ziel (ab Schwelle laut Konfiguration)</t>
  </si>
  <si>
    <t xml:space="preserve">Zwischensumme</t>
  </si>
  <si>
    <t xml:space="preserve">kritisch</t>
  </si>
  <si>
    <t xml:space="preserve">Ist-Wert deutlich unter Ziel</t>
  </si>
  <si>
    <t xml:space="preserve">Ergebnis</t>
  </si>
  <si>
    <t xml:space="preserve">Keine Gewähr. Ersetzt keine Rechts-, Steuer- oder Finanzberatung · Rechtsstand September 2026</t>
  </si>
  <si>
    <t xml:space="preserve">MM Holding GmbH · Kornhausgasse 4 · 88250 Weingarten · HRB 750729</t>
  </si>
  <si>
    <t xml:space="preserve">In sechs Schritten zur Bewertung</t>
  </si>
  <si>
    <t xml:space="preserve">Alle blau hinterlegten Felder auf dem Blatt „Eingaben“ prüfen und mit den Daten des Objekts überschreiben – Kaufpreis, Nebenkosten, Finanzierungsangebot, Miete, Bewirtschaftung und persönlicher Steuersatz.</t>
  </si>
  <si>
    <t xml:space="preserve">Gesamtbewertung, Kennzahlen-Kacheln und den Kennzahlen-Check lesen. Die Ampel zeigt sofort, ob Liquidität und Rendite den Zielwerten entsprechen.</t>
  </si>
  <si>
    <t xml:space="preserve">Prüfhinweise</t>
  </si>
  <si>
    <t xml:space="preserve">Die Hinweise im Cockpit erklären kritische Punkte: Kapitaldienstdeckung, Ende der Zinsbindung, 15-%-Grenze bei Renovierung und Spekulationsfrist.</t>
  </si>
  <si>
    <t xml:space="preserve">Details</t>
  </si>
  <si>
    <t xml:space="preserve">Projektion, Finanzierung und Steuern zeigen jede Zahl Jahr für Jahr. Das Verkaufsjahr ist gelb markiert.</t>
  </si>
  <si>
    <t xml:space="preserve">Szenarien</t>
  </si>
  <si>
    <t xml:space="preserve">Auf „Sensitivität“ wirken sich Zins- und Mietänderungen sofort auf Cashflow und DSCR aus. Auf „AfA-Vergleich“ werden die Abschreibungsmethoden verglichen.</t>
  </si>
  <si>
    <t xml:space="preserve">Das Blatt „Bankgespräch“ ist druckfertig (A4 hoch) und fasst Objekt, Finanzierung, Kapitaldienstfähigkeit und Haushaltsrechnung zusammen.</t>
  </si>
  <si>
    <t xml:space="preserve">Konventionen</t>
  </si>
  <si>
    <t xml:space="preserve">–</t>
  </si>
  <si>
    <t xml:space="preserve">Jahr 1 umfasst die ersten 12 Monate ab Kaufdatum; alle Werte sind Jahreswerte, Cockpit-Kacheln teils je Monat.</t>
  </si>
  <si>
    <t xml:space="preserve">Vorzeichen: Einnahmen positiv, Ausgaben negativ. Steuereffekt: Erstattung positiv, Zahlung negativ.</t>
  </si>
  <si>
    <t xml:space="preserve">Zielwerte, Ampelschwellen und Bankparameter werden zentral auf „Konfiguration“ gepflegt.</t>
  </si>
  <si>
    <t xml:space="preserve">Wichtige Größen sind als Namen hinterlegt (z. B. =Gesamtinvestition, =Eigenkapital, =DSCR_J1) – Formeln bleiben lesbar.</t>
  </si>
  <si>
    <t xml:space="preserve">Schutz vor versehentlichem Überschreiben: Überprüfen → Blatt schützen. Eingabefelder sind bereits entsperrt.</t>
  </si>
  <si>
    <t xml:space="preserve">Bruttomietrendite</t>
  </si>
  <si>
    <t xml:space="preserve">Kennzahlen-Check</t>
  </si>
  <si>
    <t xml:space="preserve">Ist gegen Ziel</t>
  </si>
  <si>
    <t xml:space="preserve">Cashflow Jahr 1</t>
  </si>
  <si>
    <t xml:space="preserve">€ je Monat</t>
  </si>
  <si>
    <t xml:space="preserve">Kennzahl</t>
  </si>
  <si>
    <t xml:space="preserve">Ist</t>
  </si>
  <si>
    <t xml:space="preserve">Ziel</t>
  </si>
  <si>
    <t xml:space="preserve">Status</t>
  </si>
  <si>
    <t xml:space="preserve">Erreichung</t>
  </si>
  <si>
    <t xml:space="preserve">Nettomietrendite</t>
  </si>
  <si>
    <t xml:space="preserve">EK-Rendite Jahr 1</t>
  </si>
  <si>
    <t xml:space="preserve">Balken: 8 Blöcke = Zielwert erreicht · Ziele und Ampelschwellen: Blatt Konfiguration</t>
  </si>
  <si>
    <t xml:space="preserve">Vermögensentwicklung</t>
  </si>
  <si>
    <t xml:space="preserve">€ · Jahre 1–30</t>
  </si>
  <si>
    <t xml:space="preserve">Kennzahlen im Zeitverlauf</t>
  </si>
  <si>
    <t xml:space="preserve">€ p. a.</t>
  </si>
  <si>
    <t xml:space="preserve">Jahr</t>
  </si>
  <si>
    <t xml:space="preserve">Nettokaltmiete Ist</t>
  </si>
  <si>
    <t xml:space="preserve">Bewirtschaftungskosten</t>
  </si>
  <si>
    <t xml:space="preserve">Kapitaldienst</t>
  </si>
  <si>
    <t xml:space="preserve">Cashflow vor Steuern</t>
  </si>
  <si>
    <t xml:space="preserve">Steuereffekt</t>
  </si>
  <si>
    <t xml:space="preserve">Cashflow nach Steuern</t>
  </si>
  <si>
    <t xml:space="preserve">Kumulierter Cashflow nach Steuern</t>
  </si>
  <si>
    <t xml:space="preserve">Abschreibungen gesamt</t>
  </si>
  <si>
    <t xml:space="preserve">Immobilienwert Jahresende</t>
  </si>
  <si>
    <t xml:space="preserve">Restschuld Jahresende</t>
  </si>
  <si>
    <t xml:space="preserve">Nettovermögen</t>
  </si>
  <si>
    <t xml:space="preserve">Jahr 1 = 12 Monate ab Kaufdatum · Steuereffekt: Erstattung positiv, Zahlung negativ · Details: Blatt Projektion</t>
  </si>
  <si>
    <t xml:space="preserve">Blau hinterlegte Felder sind Eingaben – alle übrigen Blätter rechnen automatisch. Die Werte sind ein Beispiel (3-Zi.-ETW in Weingarten).</t>
  </si>
  <si>
    <t xml:space="preserve">Parameter</t>
  </si>
  <si>
    <t xml:space="preserve">Wert</t>
  </si>
  <si>
    <t xml:space="preserve">Einheit</t>
  </si>
  <si>
    <t xml:space="preserve">Hinweis / Quelle</t>
  </si>
  <si>
    <t xml:space="preserve">Objekt und Rahmendaten</t>
  </si>
  <si>
    <t xml:space="preserve">Objektbezeichnung</t>
  </si>
  <si>
    <t xml:space="preserve">3-Zi.-ETW, 75 m²</t>
  </si>
  <si>
    <t xml:space="preserve">Erscheint in Kopfzeilen und im Bankgespräch</t>
  </si>
  <si>
    <t xml:space="preserve">Weingarten</t>
  </si>
  <si>
    <t xml:space="preserve">Privatperson</t>
  </si>
  <si>
    <t xml:space="preserve">Steuerlogik: Privatvermögen, Einkünfte aus Vermietung und Verpachtung (§ 21 EStG)</t>
  </si>
  <si>
    <t xml:space="preserve">Wohnfläche</t>
  </si>
  <si>
    <t xml:space="preserve">m²</t>
  </si>
  <si>
    <t xml:space="preserve">Laut Teilungserklärung / Wohnflächenberechnung</t>
  </si>
  <si>
    <t xml:space="preserve">Kaufdatum (Übergang Nutzen und Lasten)</t>
  </si>
  <si>
    <t xml:space="preserve">Datum</t>
  </si>
  <si>
    <t xml:space="preserve">Jahr 1 = 12 Monate ab diesem Datum</t>
  </si>
  <si>
    <t xml:space="preserve">Stand der Kalkulation</t>
  </si>
  <si>
    <t xml:space="preserve">Geplante Haltedauer</t>
  </si>
  <si>
    <t xml:space="preserve">Jahre</t>
  </si>
  <si>
    <t xml:space="preserve">Verkauf nach mehr als 10 Jahren steuerfrei (§ 23 EStG)</t>
  </si>
  <si>
    <t xml:space="preserve">Kaufpreis und Nebenkosten</t>
  </si>
  <si>
    <t xml:space="preserve">€</t>
  </si>
  <si>
    <t xml:space="preserve">Laut Kaufvertrag</t>
  </si>
  <si>
    <t xml:space="preserve">davon bewegl. Gegenstände (Küche, Inventar)</t>
  </si>
  <si>
    <t xml:space="preserve">Grunderwerbsteuerfrei, eigene AfA – Wert angemessen belegen</t>
  </si>
  <si>
    <t xml:space="preserve">Grunderwerbsteuer</t>
  </si>
  <si>
    <t xml:space="preserve">%</t>
  </si>
  <si>
    <t xml:space="preserve">Baden-Württemberg 5,0 %; Bemessung ohne bewegliche Gegenstände</t>
  </si>
  <si>
    <t xml:space="preserve">Notar</t>
  </si>
  <si>
    <t xml:space="preserve">Richtwert ca. 1,5 % des Kaufpreises</t>
  </si>
  <si>
    <t xml:space="preserve">Grundbuch</t>
  </si>
  <si>
    <t xml:space="preserve">Richtwert ca. 0,5 % des Kaufpreises</t>
  </si>
  <si>
    <t xml:space="preserve">Makler (inkl. USt.)</t>
  </si>
  <si>
    <t xml:space="preserve">Käuferanteil laut Exposé</t>
  </si>
  <si>
    <t xml:space="preserve">Renovierung nach Kauf (netto)</t>
  </si>
  <si>
    <t xml:space="preserve">Nettobetrag der ersten 3 Jahre – 15-%-Grenze prüft Blatt „Steuern“</t>
  </si>
  <si>
    <t xml:space="preserve">Verteilung Erhaltungsaufwand</t>
  </si>
  <si>
    <t xml:space="preserve">1 = sofort abziehen; 2–5 Jahre nach § 82b EStDV möglich</t>
  </si>
  <si>
    <t xml:space="preserve">Darlehensbetrag</t>
  </si>
  <si>
    <t xml:space="preserve">Annuitätendarlehen, konstante Rate über die gesamte Laufzeit</t>
  </si>
  <si>
    <t xml:space="preserve">Sollzins p. a.</t>
  </si>
  <si>
    <t xml:space="preserve">Laut Finanzierungsangebot</t>
  </si>
  <si>
    <t xml:space="preserve">Anfängliche Tilgung p. a.</t>
  </si>
  <si>
    <t xml:space="preserve">Zinsbindung</t>
  </si>
  <si>
    <t xml:space="preserve">Anschlusszins (Annahme)</t>
  </si>
  <si>
    <t xml:space="preserve">Annahme für die Zeit nach Ende der Zinsbindung</t>
  </si>
  <si>
    <t xml:space="preserve">Miete und Bewirtschaftung</t>
  </si>
  <si>
    <t xml:space="preserve">Nettokaltmiete Soll</t>
  </si>
  <si>
    <t xml:space="preserve">€/Monat</t>
  </si>
  <si>
    <t xml:space="preserve">Laut Mietvertrag bzw. Mietspiegel</t>
  </si>
  <si>
    <t xml:space="preserve">Mietausfallwagnis</t>
  </si>
  <si>
    <t xml:space="preserve">Leerstand und Zahlungsausfälle</t>
  </si>
  <si>
    <t xml:space="preserve">Mietsteigerung p. a.</t>
  </si>
  <si>
    <t xml:space="preserve">Hausgeld nicht umlagefähig</t>
  </si>
  <si>
    <t xml:space="preserve">€/Jahr</t>
  </si>
  <si>
    <t xml:space="preserve">WEG-Verwaltung, Bankgebühren etc. – steuerlich abziehbar</t>
  </si>
  <si>
    <t xml:space="preserve">Instandhaltungsrücklage</t>
  </si>
  <si>
    <t xml:space="preserve">Liquiditätswirksam; steuerlich erst bei Verwendung abziehbar</t>
  </si>
  <si>
    <t xml:space="preserve">Sondereigentumsverwaltung / Sonstiges</t>
  </si>
  <si>
    <t xml:space="preserve">Steuerlich abziehbar</t>
  </si>
  <si>
    <t xml:space="preserve">Kostensteigerung p. a.</t>
  </si>
  <si>
    <t xml:space="preserve">Wertentwicklung und Verkauf</t>
  </si>
  <si>
    <t xml:space="preserve">Marktwert bei Kauf</t>
  </si>
  <si>
    <t xml:space="preserve">Annahme laut Bewertung / Gutachten</t>
  </si>
  <si>
    <t xml:space="preserve">Wertsteigerung p. a.</t>
  </si>
  <si>
    <t xml:space="preserve">Verkaufskosten bei Exit</t>
  </si>
  <si>
    <t xml:space="preserve">Makler, Notar u. Ä. beim Verkauf</t>
  </si>
  <si>
    <t xml:space="preserve">Gebäudeanteil an den Anschaffungskosten</t>
  </si>
  <si>
    <t xml:space="preserve">Aufteilung Gebäude / Grund und Boden, z. B. BMF-Arbeitshilfe</t>
  </si>
  <si>
    <t xml:space="preserve">AfA-Satz Gebäude</t>
  </si>
  <si>
    <t xml:space="preserve">Auswahl: 2,0 % / 2,5 % / 3,0 % (§ 7 Abs. 4 EStG)</t>
  </si>
  <si>
    <t xml:space="preserve">Nutzungsdauer bewegliche Gegenstände</t>
  </si>
  <si>
    <t xml:space="preserve">Einbauküche i. d. R. 10 Jahre</t>
  </si>
  <si>
    <t xml:space="preserve">Grenzsteuersatz Einkommensteuer</t>
  </si>
  <si>
    <t xml:space="preserve">Persönlicher Grenzsteuersatz</t>
  </si>
  <si>
    <t xml:space="preserve">Solidaritätszuschlag</t>
  </si>
  <si>
    <t xml:space="preserve">Auswahl: 0 % / 5,5 % der Einkommensteuer</t>
  </si>
  <si>
    <t xml:space="preserve">Kirchensteuer</t>
  </si>
  <si>
    <t xml:space="preserve">Auswahl: 0 % / 8 % / 9 % der Einkommensteuer</t>
  </si>
  <si>
    <t xml:space="preserve">Haushalt (für das Bankgespräch)</t>
  </si>
  <si>
    <t xml:space="preserve">Nettoeinkommen Haushalt</t>
  </si>
  <si>
    <t xml:space="preserve">Beispielwert – bitte eigene Angaben eintragen</t>
  </si>
  <si>
    <t xml:space="preserve">Lebenshaltungskosten</t>
  </si>
  <si>
    <t xml:space="preserve">Beispielwert</t>
  </si>
  <si>
    <t xml:space="preserve">Eigene Wohnkosten (Miete oder Rate)</t>
  </si>
  <si>
    <t xml:space="preserve">Bestehende Kreditraten</t>
  </si>
  <si>
    <t xml:space="preserve">Liquide Reserve nach dem Kauf</t>
  </si>
  <si>
    <t xml:space="preserve">Jahresprojektion</t>
  </si>
  <si>
    <t xml:space="preserve">€ p. a. · Jahr 1 = 12 Monate ab Kaufdatum</t>
  </si>
  <si>
    <t xml:space="preserve">Mietausfall</t>
  </si>
  <si>
    <t xml:space="preserve">Bewirtschaftung</t>
  </si>
  <si>
    <t xml:space="preserve">Zinsen</t>
  </si>
  <si>
    <t xml:space="preserve">Tilgung</t>
  </si>
  <si>
    <t xml:space="preserve">CF n. St. kumuliert</t>
  </si>
  <si>
    <t xml:space="preserve">DSCR</t>
  </si>
  <si>
    <t xml:space="preserve">Netto-Exit-Erlös</t>
  </si>
  <si>
    <t xml:space="preserve">Zahlungsstrom Eigenkapital</t>
  </si>
  <si>
    <t xml:space="preserve">Gelb markiert: Verkaufsjahr (Haltedauer). Vorzeichen: Einnahmen positiv, Ausgaben negativ, Steuererstattung positiv.</t>
  </si>
  <si>
    <t xml:space="preserve">Exit-Rechnung</t>
  </si>
  <si>
    <t xml:space="preserve">Verkauf am Ende der Haltedauer</t>
  </si>
  <si>
    <t xml:space="preserve">Rendite-Kennzahlen</t>
  </si>
  <si>
    <t xml:space="preserve">Verkaufsjahr</t>
  </si>
  <si>
    <t xml:space="preserve">Bruttomietrendite (Sollmiete / Kaufpreis)</t>
  </si>
  <si>
    <t xml:space="preserve">Immobilienwert im Verkaufsjahr</t>
  </si>
  <si>
    <t xml:space="preserve">Nettomietrendite (Reinertrag J1 / Gesamtinvestition)</t>
  </si>
  <si>
    <t xml:space="preserve">Verkaufskosten</t>
  </si>
  <si>
    <t xml:space="preserve">Kapitaldienstdeckung Jahr 1</t>
  </si>
  <si>
    <t xml:space="preserve">Ablösung Restschuld</t>
  </si>
  <si>
    <t xml:space="preserve">Cashflow n. St. / Monat – Jahr 1</t>
  </si>
  <si>
    <t xml:space="preserve">Steuerlicher Restbuchwert</t>
  </si>
  <si>
    <t xml:space="preserve">Cashflow n. St. / Monat – Jahr 2</t>
  </si>
  <si>
    <t xml:space="preserve">Veräußerungsgewinn</t>
  </si>
  <si>
    <t xml:space="preserve">EK-Rendite Jahr 1 (inkl. Tilgung und Wertzuwachs)</t>
  </si>
  <si>
    <t xml:space="preserve">Steuer auf Veräußerungsgewinn (nur bis 10 Jahre)</t>
  </si>
  <si>
    <t xml:space="preserve">Eigenkapital-Multiple</t>
  </si>
  <si>
    <t xml:space="preserve">Nicht berücksichtigt: Vorfälligkeitsentschädigung bei Verkauf während der Zinsbindung.</t>
  </si>
  <si>
    <t xml:space="preserve">Diagrammdaten Cockpit</t>
  </si>
  <si>
    <t xml:space="preserve">Cashflow Jahr 1 · € je Monat</t>
  </si>
  <si>
    <t xml:space="preserve">Miete</t>
  </si>
  <si>
    <t xml:space="preserve">Bewirt.</t>
  </si>
  <si>
    <t xml:space="preserve">vor St.</t>
  </si>
  <si>
    <t xml:space="preserve">Steuer</t>
  </si>
  <si>
    <t xml:space="preserve">nach St.</t>
  </si>
  <si>
    <t xml:space="preserve">Investitionsplan</t>
  </si>
  <si>
    <t xml:space="preserve">€ · % v. Kaufpreis</t>
  </si>
  <si>
    <t xml:space="preserve">Finanzierungsplan</t>
  </si>
  <si>
    <t xml:space="preserve">Grunderwerbsteuer (ohne bewegliche Gegenstände)</t>
  </si>
  <si>
    <t xml:space="preserve">Eigenkapitalquote</t>
  </si>
  <si>
    <t xml:space="preserve">Beleihungsauslauf (Darlehen / Marktwert)</t>
  </si>
  <si>
    <t xml:space="preserve">Makler</t>
  </si>
  <si>
    <t xml:space="preserve">Annuität p. a. (Zins + Tilgung)</t>
  </si>
  <si>
    <t xml:space="preserve">Summe Kaufnebenkosten</t>
  </si>
  <si>
    <t xml:space="preserve">Monatsrate</t>
  </si>
  <si>
    <t xml:space="preserve">Renovierung / Erhaltungsaufwand</t>
  </si>
  <si>
    <t xml:space="preserve">Restschuld Ende Zinsbindung</t>
  </si>
  <si>
    <t xml:space="preserve">Kaufpreisfaktor (Kaufpreis / Jahres-Sollmiete)</t>
  </si>
  <si>
    <t xml:space="preserve">Tilgungsplan</t>
  </si>
  <si>
    <t xml:space="preserve">€ p. a. · jährliche Betrachtung</t>
  </si>
  <si>
    <t xml:space="preserve">Zinssatz</t>
  </si>
  <si>
    <t xml:space="preserve">Restschuld Anfang</t>
  </si>
  <si>
    <t xml:space="preserve">Restschuld Ende</t>
  </si>
  <si>
    <t xml:space="preserve">Phase</t>
  </si>
  <si>
    <t xml:space="preserve">Vereinfachung: Zinsen auf die Restschuld zu Jahresbeginn; bei monatlicher Zahlung fallen die Zinsen etwas geringer aus. Die Rate bleibt nach der Zinsbindung unverändert.</t>
  </si>
  <si>
    <t xml:space="preserve">AfA-Bemessungsgrundlage</t>
  </si>
  <si>
    <t xml:space="preserve">15-%-Grenze</t>
  </si>
  <si>
    <t xml:space="preserve">§ 6 Abs. 1 Nr. 1a EStG</t>
  </si>
  <si>
    <t xml:space="preserve">Kaufpreis Immobilie (ohne bewegliche Gegenstände)</t>
  </si>
  <si>
    <t xml:space="preserve">Anschaffungskosten Gebäude</t>
  </si>
  <si>
    <t xml:space="preserve">Grenze: 15 % der Gebäude-AK</t>
  </si>
  <si>
    <t xml:space="preserve">Notar, Grundbuch, Makler (anteilig)</t>
  </si>
  <si>
    <t xml:space="preserve">Renovierung netto (ersten 3 Jahre)</t>
  </si>
  <si>
    <t xml:space="preserve">Anschaffungskosten Immobilie</t>
  </si>
  <si>
    <t xml:space="preserve">Grenze eingehalten?</t>
  </si>
  <si>
    <t xml:space="preserve">davon Grund und Boden (nicht abschreibbar)</t>
  </si>
  <si>
    <t xml:space="preserve">davon Gebäude</t>
  </si>
  <si>
    <t xml:space="preserve">zzgl. aktivierte Renovierung (bei Überschreiten der 15-%-Grenze)</t>
  </si>
  <si>
    <t xml:space="preserve">Steuersatz</t>
  </si>
  <si>
    <t xml:space="preserve">AfA-Bemessungsgrundlage Gebäude</t>
  </si>
  <si>
    <t xml:space="preserve">AfA Gebäude p. a.</t>
  </si>
  <si>
    <t xml:space="preserve">Solidaritätszuschlag (auf ESt)</t>
  </si>
  <si>
    <t xml:space="preserve">Anschaffungskosten Inventar (inkl. anteiliger Nebenkosten)</t>
  </si>
  <si>
    <t xml:space="preserve">Kirchensteuer (auf ESt)</t>
  </si>
  <si>
    <t xml:space="preserve">AfA Inventar p. a.</t>
  </si>
  <si>
    <t xml:space="preserve">Effektiver Steuersatz</t>
  </si>
  <si>
    <t xml:space="preserve">Einkünfte aus Vermietung und Verpachtung</t>
  </si>
  <si>
    <t xml:space="preserve">€ p. a. · Erstattung positiv</t>
  </si>
  <si>
    <t xml:space="preserve">Mieteinnahmen</t>
  </si>
  <si>
    <t xml:space="preserve">Bewirtschaftung abziehbar</t>
  </si>
  <si>
    <t xml:space="preserve">Schuldzinsen</t>
  </si>
  <si>
    <t xml:space="preserve">AfA Gebäude</t>
  </si>
  <si>
    <t xml:space="preserve">AfA Inventar</t>
  </si>
  <si>
    <t xml:space="preserve">Erhaltungsaufwand</t>
  </si>
  <si>
    <t xml:space="preserve">Einkünfte V+V</t>
  </si>
  <si>
    <t xml:space="preserve">Restbuchwert Gebäude</t>
  </si>
  <si>
    <t xml:space="preserve">Summe AfA</t>
  </si>
  <si>
    <t xml:space="preserve">Annahmen: Verluste werden vollständig mit anderen Einkünften verrechnet; Steuersatz vereinfacht als Grenzsteuersatz × (1 + Soli + Kirchensteuer). Instandhaltungsrücklage erst bei Verwendung abziehbar.</t>
  </si>
  <si>
    <t xml:space="preserve">Vergleich der Abschreibungsmethoden</t>
  </si>
  <si>
    <t xml:space="preserve">Bemessungsgrundlage: Gebäude</t>
  </si>
  <si>
    <t xml:space="preserve">Linear 2,0 %</t>
  </si>
  <si>
    <t xml:space="preserve">Linear 2,5 %</t>
  </si>
  <si>
    <t xml:space="preserve">Linear 3,0 %</t>
  </si>
  <si>
    <t xml:space="preserve">Degressiv 5,0 %</t>
  </si>
  <si>
    <t xml:space="preserve">Hinweis</t>
  </si>
  <si>
    <t xml:space="preserve">AfA-Satz</t>
  </si>
  <si>
    <t xml:space="preserve">Gesetzliche Sätze nach § 7 Abs. 4 und 5a EStG</t>
  </si>
  <si>
    <t xml:space="preserve">Voraussetzung</t>
  </si>
  <si>
    <t xml:space="preserve">Fertigst. 1925–2022</t>
  </si>
  <si>
    <t xml:space="preserve">Fertigst. vor 1925</t>
  </si>
  <si>
    <t xml:space="preserve">Fertigst. ab 2023</t>
  </si>
  <si>
    <t xml:space="preserve">Neubau, Baubeginn 10/2023–9/2029</t>
  </si>
  <si>
    <t xml:space="preserve">Degressiv: jährlich 5 % vom Restbuchwert, Wechsel zu linear möglich (hier nicht modelliert)</t>
  </si>
  <si>
    <t xml:space="preserve">AfA Jahr 1</t>
  </si>
  <si>
    <t xml:space="preserve">Summe AfA bis Verkauf</t>
  </si>
  <si>
    <t xml:space="preserve">Höhere AfA erhöht beim Verkauf innerhalb von 10 Jahren den steuerpflichtigen Gewinn.</t>
  </si>
  <si>
    <t xml:space="preserve">Steuerersparnis bis Verkauf</t>
  </si>
  <si>
    <t xml:space="preserve">Restbuchwert bei Verkauf</t>
  </si>
  <si>
    <t xml:space="preserve">In „Eingaben“ gewählt</t>
  </si>
  <si>
    <t xml:space="preserve">Jahreswerte</t>
  </si>
  <si>
    <t xml:space="preserve">AfA 2,0 %</t>
  </si>
  <si>
    <t xml:space="preserve">AfA 2,5 %</t>
  </si>
  <si>
    <t xml:space="preserve">AfA 3,0 %</t>
  </si>
  <si>
    <t xml:space="preserve">AfA degr. 5 %</t>
  </si>
  <si>
    <t xml:space="preserve">RBW 2,0 %</t>
  </si>
  <si>
    <t xml:space="preserve">RBW 2,5 %</t>
  </si>
  <si>
    <t xml:space="preserve">RBW 3,0 %</t>
  </si>
  <si>
    <t xml:space="preserve">RBW degr.</t>
  </si>
  <si>
    <t xml:space="preserve">RBW = Restbuchwert. Gelb markiert: Verkaufsjahr.</t>
  </si>
  <si>
    <t xml:space="preserve">Basiswerte Jahr 1</t>
  </si>
  <si>
    <t xml:space="preserve">aus Eingaben und Steuern</t>
  </si>
  <si>
    <t xml:space="preserve">Jahres-Sollmiete</t>
  </si>
  <si>
    <t xml:space="preserve">Blau: Variationsschritte – frei änderbar.</t>
  </si>
  <si>
    <t xml:space="preserve">Bewirtschaftung gesamt (liquiditätswirksam)</t>
  </si>
  <si>
    <t xml:space="preserve">Mittelfeld = Basisfall (entspricht Projektion Jahr 1).</t>
  </si>
  <si>
    <t xml:space="preserve">davon steuerlich abziehbar</t>
  </si>
  <si>
    <t xml:space="preserve">AfA und Erhaltungsaufwand Jahr 1</t>
  </si>
  <si>
    <t xml:space="preserve">Cashflow nach Steuern je Monat – Jahr 1</t>
  </si>
  <si>
    <t xml:space="preserve">€ / Monat</t>
  </si>
  <si>
    <t xml:space="preserve">Änderung Nettokaltmiete</t>
  </si>
  <si>
    <t xml:space="preserve">Sollzins</t>
  </si>
  <si>
    <t xml:space="preserve">Δ Zins</t>
  </si>
  <si>
    <t xml:space="preserve">Cashflow vor Steuern je Monat – Jahr 1</t>
  </si>
  <si>
    <t xml:space="preserve">Kapitaldienstdeckung (DSCR) – Jahr 1</t>
  </si>
  <si>
    <t xml:space="preserve">Ziel laut Konfiguration</t>
  </si>
  <si>
    <t xml:space="preserve">Tilgungssatz bleibt konstant, die Rate ändert sich mit dem Zins. Steuereffekt mit effektivem Steuersatz laut Blatt „Steuern“.</t>
  </si>
  <si>
    <t xml:space="preserve">Marktwert (Annahme)</t>
  </si>
  <si>
    <t xml:space="preserve">Nettokaltmiete Soll / Monat</t>
  </si>
  <si>
    <t xml:space="preserve">Eigenkapital</t>
  </si>
  <si>
    <t xml:space="preserve">Darlehen</t>
  </si>
  <si>
    <t xml:space="preserve">Sollzins / anfängliche Tilgung</t>
  </si>
  <si>
    <t xml:space="preserve">Kapitaldienstfähigkeit des Objekts</t>
  </si>
  <si>
    <t xml:space="preserve">Nettokaltmiete Ist p. a. (Jahr 1)</t>
  </si>
  <si>
    <t xml:space="preserve">Bewirtschaftung p. a.</t>
  </si>
  <si>
    <t xml:space="preserve">Reinertrag p. a.</t>
  </si>
  <si>
    <t xml:space="preserve">Kapitaldienst p. a.</t>
  </si>
  <si>
    <t xml:space="preserve">Kapitaldienstdeckung (DSCR)</t>
  </si>
  <si>
    <t xml:space="preserve">Haushaltsrechnung</t>
  </si>
  <si>
    <t xml:space="preserve">+ Mieteinnahmen (Bankansatz)</t>
  </si>
  <si>
    <t xml:space="preserve">− Lebenshaltungskosten</t>
  </si>
  <si>
    <t xml:space="preserve">− Eigene Wohnkosten</t>
  </si>
  <si>
    <t xml:space="preserve">− Bestehende Kreditraten</t>
  </si>
  <si>
    <t xml:space="preserve">− Bewirtschaftung Objekt</t>
  </si>
  <si>
    <t xml:space="preserve">− Rate neues Darlehen</t>
  </si>
  <si>
    <t xml:space="preserve">Monatlicher Überschuss</t>
  </si>
  <si>
    <t xml:space="preserve">Liquide Reserve nach Kauf</t>
  </si>
  <si>
    <t xml:space="preserve">Haushaltswerte sind Beispielwerte (Blatt „Eingaben“, Abschnitt Haushalt). Banken rechnen mit eigenen Pauschalen.</t>
  </si>
  <si>
    <t xml:space="preserve">Annahmen und Vereinfachungen</t>
  </si>
  <si>
    <t xml:space="preserve">Jährliche Betrachtung; Zinsen auf die Restschuld zu Jahresbeginn (monatliche Zahlweise leicht günstiger).</t>
  </si>
  <si>
    <t xml:space="preserve">Annuität bleibt nach Ende der Zinsbindung konstant; Anschlusszins ist eine Annahme.</t>
  </si>
  <si>
    <t xml:space="preserve">Steuereffekt = Einkünfte aus V+V × Grenzsteuersatz × (1 + Soli + Kirchensteuer); volle Verlustverrechnung unterstellt.</t>
  </si>
  <si>
    <t xml:space="preserve">Instandhaltungsrücklage mindert die Liquidität, ist steuerlich aber erst bei Verwendung abziehbar.</t>
  </si>
  <si>
    <t xml:space="preserve">Kaufnebenkosten werden anteilig auf Immobilie und bewegliche Gegenstände verteilt.</t>
  </si>
  <si>
    <t xml:space="preserve">Verkauf zum Marktwert am Ende der Haltedauer abzüglich Verkaufskosten; keine Vorfälligkeitsentschädigung.</t>
  </si>
  <si>
    <t xml:space="preserve">Rechtsgrundlagen</t>
  </si>
  <si>
    <t xml:space="preserve">§ 7 Abs. 4 EStG – lineare Gebäude-AfA 2,0 % / 2,5 % / 3,0 %; § 7 Abs. 5a EStG – degressive AfA 5 % für Neubauten.</t>
  </si>
  <si>
    <t xml:space="preserve">§ 6 Abs. 1 Nr. 1a EStG – anschaffungsnahe Herstellungskosten (15-%-Grenze innerhalb von 3 Jahren, netto).</t>
  </si>
  <si>
    <t xml:space="preserve">§ 82b EStDV – Verteilung größeren Erhaltungsaufwands auf 2 bis 5 Jahre.</t>
  </si>
  <si>
    <t xml:space="preserve">§ 23 Abs. 1 Nr. 1 EStG – private Veräußerungsgeschäfte, Spekulationsfrist 10 Jahre.</t>
  </si>
  <si>
    <t xml:space="preserve">§ 1 und § 11 GrEStG, Landesrecht Baden-Württemberg – Grunderwerbsteuer 5,0 %; bewegliche Gegenstände nicht steuerbar.</t>
  </si>
  <si>
    <t xml:space="preserve">Haftungsausschluss</t>
  </si>
  <si>
    <t xml:space="preserve">Diese Kalkulation ist ein Planungsinstrument. Sie ersetzt keine Rechts-, Steuer- oder Finanzberatung.</t>
  </si>
  <si>
    <t xml:space="preserve">Alle Angaben ohne Gewähr; Rechtsstand September 2026. Ergebnisse hängen vollständig von den Eingaben ab.</t>
  </si>
  <si>
    <t xml:space="preserve">Herausgeber</t>
  </si>
  <si>
    <t xml:space="preserve">Zielwerte und Ampelschwellen steuern die Bewertung im Cockpit. Blaue Felder sind änderbar.</t>
  </si>
  <si>
    <t xml:space="preserve">Zielwerte Kennzahlen-Check</t>
  </si>
  <si>
    <t xml:space="preserve">Ist ≥ Ziel → erfüllt</t>
  </si>
  <si>
    <t xml:space="preserve">Erläuterung</t>
  </si>
  <si>
    <t xml:space="preserve">Jahres-Sollmiete / Kaufpreis</t>
  </si>
  <si>
    <t xml:space="preserve">Reinertrag Jahr 1 (Ist-Miete − Bewirtschaftung) / Gesamtinvestition</t>
  </si>
  <si>
    <t xml:space="preserve">Reinertrag / Kapitaldienst; Banken erwarten meist 1,10 bis 1,20</t>
  </si>
  <si>
    <t xml:space="preserve">Mindest-Cashflow nach Steuern je Monat im Jahr 1</t>
  </si>
  <si>
    <t xml:space="preserve">(Cashflow n. St. + Tilgung + Wertzuwachs) / Eigenkapital</t>
  </si>
  <si>
    <t xml:space="preserve">Interner Zinsfuß des Eigenkapitals über die Haltedauer inkl. Verkauf</t>
  </si>
  <si>
    <t xml:space="preserve">Ampelschwellen und Bankparameter</t>
  </si>
  <si>
    <t xml:space="preserve">Schwelle „prüfen“ (Erreichung ab)</t>
  </si>
  <si>
    <t xml:space="preserve">Ist ≥ Ziel → erfüllt · Ist ≥ Ziel × Schwelle → prüfen · darunter → kritisch</t>
  </si>
  <si>
    <t xml:space="preserve">Bankansatz Mieteinnahmen</t>
  </si>
  <si>
    <t xml:space="preserve">Anteil der Sollmiete, den Banken in der Haushaltsrechnung anrechnen (üblich 60–80 %)</t>
  </si>
  <si>
    <t xml:space="preserve">Mindestreserve in Monatsraten</t>
  </si>
  <si>
    <t xml:space="preserve">Empfohlene liquide Reserve nach dem Kauf, ausgedrückt in Monatsraten</t>
  </si>
  <si>
    <t xml:space="preserve">Auswahllisten</t>
  </si>
  <si>
    <t xml:space="preserve">Quelle für Dropdowns auf „Eingaben“</t>
  </si>
  <si>
    <t xml:space="preserve">AfA: 2,0 % (fertiggestellt 1925–2022), 2,5 % (vor 1925), 3,0 % (ab 2023) – § 7 Abs. 4 EStG · Kirchensteuer: 8 % in Bayern und Baden-Württemberg, sonst 9 %.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</si>
</sst>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@"/>
    <numFmt numFmtId="166" formatCode="dd\.mm\.yyyy"/>
    <numFmt numFmtId="167" formatCode="0&quot; Jahre&quot;"/>
    <numFmt numFmtId="168" formatCode="&quot;● &quot;@"/>
    <numFmt numFmtId="169" formatCode="#,##0&quot; €&quot;;\-#,##0&quot; €&quot;;\–"/>
    <numFmt numFmtId="170" formatCode="0.00"/>
    <numFmt numFmtId="171" formatCode="0.0\ %"/>
    <numFmt numFmtId="172" formatCode="#,##0;\-#,##0;\–"/>
    <numFmt numFmtId="173" formatCode="#,##0&quot; €&quot;;\-#,##0&quot; €&quot;;0&quot; €&quot;"/>
    <numFmt numFmtId="174" formatCode="0"/>
    <numFmt numFmtId="175" formatCode="#,##0"/>
    <numFmt numFmtId="176" formatCode="#,##0,&quot;T€&quot;"/>
    <numFmt numFmtId="177" formatCode="0.0"/>
    <numFmt numFmtId="178" formatCode="0.00\ %"/>
    <numFmt numFmtId="179" formatCode="0.0\×"/>
    <numFmt numFmtId="180" formatCode="&quot;Ja&quot;;&quot;Nein&quot;;&quot;Nein&quot;"/>
    <numFmt numFmtId="181" formatCode="\+0\ %;\-0\ %;0\ %"/>
    <numFmt numFmtId="182" formatCode="\+0.00\ %;\-0.00\ %;0.00\ %"/>
    <numFmt numFmtId="183" formatCode="0.0&quot; m²&quot;"/>
    <numFmt numFmtId="184" formatCode="0&quot; Monate&quot;"/>
  </numFmts>
  <fonts count="37">
    <font>
      <sz val="10"/>
      <color rgb="FF1A1D21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8.5"/>
      <color rgb="FFCFE3E3"/>
      <name val="Aptos"/>
      <family val="0"/>
      <charset val="1"/>
    </font>
    <font>
      <b val="true"/>
      <sz val="22"/>
      <color rgb="FF0E4A4F"/>
      <name val="Aptos"/>
      <family val="0"/>
      <charset val="1"/>
    </font>
    <font>
      <sz val="8"/>
      <color rgb="FF7A8088"/>
      <name val="Aptos"/>
      <family val="0"/>
      <charset val="1"/>
    </font>
    <font>
      <b val="true"/>
      <sz val="9"/>
      <color rgb="FF1A1D21"/>
      <name val="Aptos"/>
      <family val="0"/>
      <charset val="1"/>
    </font>
    <font>
      <sz val="9"/>
      <color rgb="FF5B6068"/>
      <name val="Aptos"/>
      <family val="0"/>
      <charset val="1"/>
    </font>
    <font>
      <b val="true"/>
      <sz val="11"/>
      <color rgb="FF0E4A4F"/>
      <name val="Aptos"/>
      <family val="0"/>
      <charset val="1"/>
    </font>
    <font>
      <sz val="10"/>
      <color rgb="FF5B6068"/>
      <name val="Aptos"/>
      <family val="0"/>
      <charset val="1"/>
    </font>
    <font>
      <b val="true"/>
      <sz val="10"/>
      <color rgb="FF1A1D21"/>
      <name val="Aptos"/>
      <family val="0"/>
      <charset val="1"/>
    </font>
    <font>
      <sz val="8.5"/>
      <color rgb="FF7A8088"/>
      <name val="Aptos"/>
      <family val="0"/>
      <charset val="1"/>
    </font>
    <font>
      <b val="true"/>
      <sz val="9"/>
      <color rgb="FF0E4A4F"/>
      <name val="Aptos"/>
      <family val="0"/>
      <charset val="1"/>
    </font>
    <font>
      <b val="true"/>
      <u val="single"/>
      <sz val="10"/>
      <color rgb="FF0E4A4F"/>
      <name val="Aptos"/>
      <family val="0"/>
      <charset val="1"/>
    </font>
    <font>
      <sz val="9.5"/>
      <color rgb="FF5B6068"/>
      <name val="Aptos"/>
      <family val="0"/>
      <charset val="1"/>
    </font>
    <font>
      <b val="true"/>
      <sz val="10"/>
      <color rgb="FF2F6FB0"/>
      <name val="Aptos"/>
      <family val="0"/>
      <charset val="1"/>
    </font>
    <font>
      <sz val="9.5"/>
      <color rgb="FF1A1D21"/>
      <name val="Aptos"/>
      <family val="0"/>
      <charset val="1"/>
    </font>
    <font>
      <b val="true"/>
      <sz val="9.5"/>
      <color rgb="FF1F7A4D"/>
      <name val="Aptos"/>
      <family val="0"/>
      <charset val="1"/>
    </font>
    <font>
      <b val="true"/>
      <sz val="9.5"/>
      <color rgb="FFB54708"/>
      <name val="Aptos"/>
      <family val="0"/>
      <charset val="1"/>
    </font>
    <font>
      <b val="true"/>
      <sz val="9.5"/>
      <color rgb="FFB42318"/>
      <name val="Aptos"/>
      <family val="0"/>
      <charset val="1"/>
    </font>
    <font>
      <b val="true"/>
      <sz val="10"/>
      <color rgb="FF0E4A4F"/>
      <name val="Aptos"/>
      <family val="0"/>
      <charset val="1"/>
    </font>
    <font>
      <b val="true"/>
      <sz val="20"/>
      <color rgb="FF0E4A4F"/>
      <name val="Aptos"/>
      <family val="0"/>
      <charset val="1"/>
    </font>
    <font>
      <sz val="9.5"/>
      <color rgb="FF3A3F45"/>
      <name val="Aptos"/>
      <family val="0"/>
      <charset val="1"/>
    </font>
    <font>
      <sz val="10"/>
      <color rgb="FF0E4A4F"/>
      <name val="Aptos"/>
      <family val="0"/>
      <charset val="1"/>
    </font>
    <font>
      <b val="true"/>
      <sz val="9"/>
      <color rgb="FFB42318"/>
      <name val="Aptos"/>
      <family val="0"/>
      <charset val="1"/>
    </font>
    <font>
      <b val="true"/>
      <sz val="12"/>
      <color rgb="FF1A1D21"/>
      <name val="Aptos"/>
      <family val="0"/>
      <charset val="1"/>
    </font>
    <font>
      <b val="true"/>
      <sz val="8.5"/>
      <color rgb="FF3A3F45"/>
      <name val="Aptos"/>
      <family val="0"/>
      <charset val="1"/>
    </font>
    <font>
      <b val="true"/>
      <sz val="20"/>
      <color rgb="FF1A1D21"/>
      <name val="Aptos"/>
      <family val="0"/>
      <charset val="1"/>
    </font>
    <font>
      <sz val="8"/>
      <color rgb="FF5B6068"/>
      <name val="Aptos"/>
      <family val="0"/>
      <charset val="1"/>
    </font>
    <font>
      <sz val="10"/>
      <color rgb="FF7A8088"/>
      <name val="Aptos"/>
      <family val="0"/>
      <charset val="1"/>
    </font>
    <font>
      <sz val="7"/>
      <color rgb="FF1A1D21"/>
      <name val="Aptos"/>
      <family val="0"/>
      <charset val="1"/>
    </font>
    <font>
      <sz val="9"/>
      <color rgb="FF1A1D21"/>
      <name val="Aptos"/>
      <family val="0"/>
      <charset val="1"/>
    </font>
    <font>
      <sz val="10"/>
      <color rgb="FF000000"/>
      <name val="Calibri"/>
      <family val="2"/>
    </font>
    <font>
      <sz val="8.5"/>
      <color rgb="FF5B6068"/>
      <name val="Aptos"/>
      <family val="0"/>
      <charset val="1"/>
    </font>
    <font>
      <b val="true"/>
      <sz val="10"/>
      <color rgb="FF1F7A4D"/>
      <name val="Apto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E4A4F"/>
        <bgColor rgb="FF3A3F45"/>
      </patternFill>
    </fill>
    <fill>
      <patternFill patternType="solid">
        <fgColor rgb="FFF4F5F6"/>
        <bgColor rgb="FFF2F6F6"/>
      </patternFill>
    </fill>
    <fill>
      <patternFill patternType="solid">
        <fgColor rgb="FFE6F0F0"/>
        <bgColor rgb="FFEAF1FA"/>
      </patternFill>
    </fill>
    <fill>
      <patternFill patternType="solid">
        <fgColor rgb="FFC4C8CE"/>
        <bgColor rgb="FFB9CFE8"/>
      </patternFill>
    </fill>
    <fill>
      <patternFill patternType="solid">
        <fgColor rgb="FF2F6FB0"/>
        <bgColor rgb="FF0066CC"/>
      </patternFill>
    </fill>
    <fill>
      <patternFill patternType="solid">
        <fgColor rgb="FF6E9C9E"/>
        <bgColor rgb="FF7F9BB8"/>
      </patternFill>
    </fill>
    <fill>
      <patternFill patternType="solid">
        <fgColor rgb="FF7F9BB8"/>
        <bgColor rgb="FF6E9C9E"/>
      </patternFill>
    </fill>
    <fill>
      <patternFill patternType="solid">
        <fgColor rgb="FFDADCDF"/>
        <bgColor rgb="FFD9D9D9"/>
      </patternFill>
    </fill>
    <fill>
      <patternFill patternType="solid">
        <fgColor rgb="FFEAF1FA"/>
        <bgColor rgb="FFE6F0F0"/>
      </patternFill>
    </fill>
    <fill>
      <patternFill patternType="solid">
        <fgColor rgb="FFF1F7F7"/>
        <bgColor rgb="FFF2F6F6"/>
      </patternFill>
    </fill>
    <fill>
      <patternFill patternType="solid">
        <fgColor rgb="FFF2F6F6"/>
        <bgColor rgb="FFF1F7F7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/>
      <bottom style="thin">
        <color rgb="FFDADCDF"/>
      </bottom>
      <diagonal/>
    </border>
    <border diagonalUp="false" diagonalDown="false">
      <left/>
      <right/>
      <top/>
      <bottom style="medium">
        <color rgb="FF0E4A4F"/>
      </bottom>
      <diagonal/>
    </border>
    <border diagonalUp="false" diagonalDown="false">
      <left/>
      <right/>
      <top/>
      <bottom style="thin">
        <color rgb="FFEDEEF0"/>
      </bottom>
      <diagonal/>
    </border>
    <border diagonalUp="false" diagonalDown="false">
      <left style="thin">
        <color rgb="FFB9CFE8"/>
      </left>
      <right style="thin">
        <color rgb="FFB9CFE8"/>
      </right>
      <top style="thin">
        <color rgb="FFB9CFE8"/>
      </top>
      <bottom style="thin">
        <color rgb="FFB9CFE8"/>
      </bottom>
      <diagonal/>
    </border>
    <border diagonalUp="false" diagonalDown="false">
      <left/>
      <right/>
      <top style="medium">
        <color rgb="FF0E4A4F"/>
      </top>
      <bottom style="thin">
        <color rgb="FFEDEEF0"/>
      </bottom>
      <diagonal/>
    </border>
    <border diagonalUp="false" diagonalDown="false">
      <left/>
      <right/>
      <top style="medium">
        <color rgb="FF0E4A4F"/>
      </top>
      <bottom style="medium">
        <color rgb="FF0E4A4F"/>
      </bottom>
      <diagonal/>
    </border>
    <border diagonalUp="false" diagonalDown="false">
      <left/>
      <right/>
      <top style="thin">
        <color rgb="FFDADCDF"/>
      </top>
      <bottom/>
      <diagonal/>
    </border>
    <border diagonalUp="false" diagonalDown="false">
      <left/>
      <right style="thick">
        <color rgb="FFFFFFFF"/>
      </right>
      <top style="thick">
        <color rgb="FF0E4A4F"/>
      </top>
      <bottom/>
      <diagonal/>
    </border>
    <border diagonalUp="false" diagonalDown="false">
      <left/>
      <right style="thick">
        <color rgb="FFFFFFFF"/>
      </right>
      <top/>
      <bottom/>
      <diagonal/>
    </border>
    <border diagonalUp="false" diagonalDown="false">
      <left/>
      <right style="thin">
        <color rgb="FFEDEEF0"/>
      </right>
      <top/>
      <bottom style="thin">
        <color rgb="FFEDEEF0"/>
      </bottom>
      <diagonal/>
    </border>
    <border diagonalUp="false" diagonalDown="false">
      <left style="medium">
        <color rgb="FF0E4A4F"/>
      </left>
      <right style="medium">
        <color rgb="FF0E4A4F"/>
      </right>
      <top style="medium">
        <color rgb="FF0E4A4F"/>
      </top>
      <bottom style="medium">
        <color rgb="FF0E4A4F"/>
      </bottom>
      <diagonal/>
    </border>
    <border diagonalUp="false" diagonalDown="false">
      <left/>
      <right/>
      <top style="thin">
        <color rgb="FFB9CFE8"/>
      </top>
      <bottom style="thin">
        <color rgb="FFEDEE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7" fontId="8" fillId="0" borderId="0" xfId="0" applyFont="true" applyBorder="false" applyAlignment="true" applyProtection="false">
      <alignment horizontal="left" vertical="top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7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2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2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9" fillId="1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9" fillId="1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9" fillId="12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2" borderId="9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4" fontId="14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7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9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8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17" fillId="1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2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11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8" fontId="0" fillId="0" borderId="3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22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1" fontId="17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17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7" fillId="10" borderId="1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0" fontId="17" fillId="10" borderId="1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9" fontId="17" fillId="10" borderId="1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84" fontId="17" fillId="10" borderId="1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b val="1"/>
        <color rgb="FFB42318"/>
      </font>
    </dxf>
    <dxf>
      <font>
        <b val="1"/>
        <color rgb="FFB54708"/>
      </font>
    </dxf>
    <dxf>
      <font>
        <b val="1"/>
        <color rgb="FF1F7A4D"/>
      </font>
    </dxf>
    <dxf>
      <fill>
        <patternFill>
          <bgColor rgb="FFFDF1EF"/>
        </patternFill>
      </fill>
      <border diagonalUp="false" diagonalDown="false">
        <left/>
        <right/>
        <top style="thin">
          <color rgb="FFE7B4AD"/>
        </top>
        <bottom style="thin">
          <color rgb="FFE7B4AD"/>
        </bottom>
        <diagonal/>
      </border>
    </dxf>
    <dxf>
      <fill>
        <patternFill>
          <bgColor rgb="FFFEF4E8"/>
        </patternFill>
      </fill>
      <border diagonalUp="false" diagonalDown="false">
        <left/>
        <right/>
        <top style="thin">
          <color rgb="FFF1CFA5"/>
        </top>
        <bottom style="thin">
          <color rgb="FFF1CFA5"/>
        </bottom>
        <diagonal/>
      </border>
    </dxf>
    <dxf>
      <fill>
        <patternFill>
          <bgColor rgb="FFEDF7F1"/>
        </patternFill>
      </fill>
      <border diagonalUp="false" diagonalDown="false">
        <left/>
        <right/>
        <top style="thin">
          <color rgb="FFB5DCC4"/>
        </top>
        <bottom style="thin">
          <color rgb="FFB5DCC4"/>
        </bottom>
        <diagonal/>
      </border>
    </dxf>
    <dxf>
      <font>
        <color rgb="FFB54708"/>
      </font>
    </dxf>
    <dxf>
      <fill>
        <patternFill>
          <bgColor rgb="FFFFF7E0"/>
        </patternFill>
      </fill>
      <border diagonalUp="false" diagonalDown="false">
        <left/>
        <right/>
        <top style="thin">
          <color rgb="FF0E4A4F"/>
        </top>
        <bottom style="thin">
          <color rgb="FF0E4A4F"/>
        </bottom>
        <diagonal/>
      </border>
    </dxf>
    <dxf>
      <font>
        <color rgb="FFB42318"/>
      </font>
    </dxf>
    <dxf>
      <border diagonalUp="false" diagonalDown="false">
        <left/>
        <right/>
        <top/>
        <bottom style="thin">
          <color rgb="FF0E4A4F"/>
        </bottom>
        <diagonal/>
      </border>
    </dxf>
    <dxf>
      <fill>
        <patternFill>
          <bgColor rgb="FFFFF7E0"/>
        </patternFill>
      </fill>
    </dxf>
    <dxf>
      <font>
        <color rgb="FFB42318"/>
      </font>
      <fill>
        <patternFill>
          <bgColor rgb="FFFDF1EF"/>
        </patternFill>
      </fill>
    </dxf>
    <dxf>
      <font>
        <color rgb="FF1F7A4D"/>
      </font>
      <fill>
        <patternFill>
          <bgColor rgb="FFEDF7F1"/>
        </patternFill>
      </fill>
    </dxf>
    <dxf>
      <font>
        <color rgb="FFB54708"/>
      </font>
      <fill>
        <patternFill>
          <bgColor rgb="FFFEF4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DF1EF"/>
      <rgbColor rgb="FFFF00FF"/>
      <rgbColor rgb="FFF1F7F7"/>
      <rgbColor rgb="FF800000"/>
      <rgbColor rgb="FF008000"/>
      <rgbColor rgb="FF000080"/>
      <rgbColor rgb="FF808000"/>
      <rgbColor rgb="FF800080"/>
      <rgbColor rgb="FF1F7A4D"/>
      <rgbColor rgb="FFC4C8CE"/>
      <rgbColor rgb="FF7A8088"/>
      <rgbColor rgb="FF7F9BB8"/>
      <rgbColor rgb="FFB54708"/>
      <rgbColor rgb="FFFFF7E0"/>
      <rgbColor rgb="FFE6F0F0"/>
      <rgbColor rgb="FF660066"/>
      <rgbColor rgb="FFEAF1FA"/>
      <rgbColor rgb="FF0066CC"/>
      <rgbColor rgb="FFB9CFE8"/>
      <rgbColor rgb="FF000080"/>
      <rgbColor rgb="FFFF00FF"/>
      <rgbColor rgb="FFEDEEF0"/>
      <rgbColor rgb="FFF2F6F6"/>
      <rgbColor rgb="FF800080"/>
      <rgbColor rgb="FF800000"/>
      <rgbColor rgb="FF008080"/>
      <rgbColor rgb="FF0000FF"/>
      <rgbColor rgb="FF00CCFF"/>
      <rgbColor rgb="FFEDF7F1"/>
      <rgbColor rgb="FFCFE3E3"/>
      <rgbColor rgb="FFFEF4E8"/>
      <rgbColor rgb="FFA9B8C6"/>
      <rgbColor rgb="FFE7B4AD"/>
      <rgbColor rgb="FFD9D9D9"/>
      <rgbColor rgb="FFF1CFA5"/>
      <rgbColor rgb="FF2F6FB0"/>
      <rgbColor rgb="FF6E9C9E"/>
      <rgbColor rgb="FFB5DCC4"/>
      <rgbColor rgb="FFDADCDF"/>
      <rgbColor rgb="FFF4F5F6"/>
      <rgbColor rgb="FFFF6600"/>
      <rgbColor rgb="FF5B6068"/>
      <rgbColor rgb="FF878787"/>
      <rgbColor rgb="FF0E4A4F"/>
      <rgbColor rgb="FF4FA3A5"/>
      <rgbColor rgb="FF003300"/>
      <rgbColor rgb="FF1A1D21"/>
      <rgbColor rgb="FFB42318"/>
      <rgbColor rgb="FF993366"/>
      <rgbColor rgb="FF333399"/>
      <rgbColor rgb="FF3A3F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e4a4f"/>
            </a:solidFill>
            <a:ln w="936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e4a4f"/>
              </a:solidFill>
              <a:ln w="9360">
                <a:noFill/>
              </a:ln>
            </c:spPr>
          </c:dPt>
          <c:dPt>
            <c:idx val="1"/>
            <c:invertIfNegative val="0"/>
            <c:spPr>
              <a:solidFill>
                <a:srgbClr val="a9b8c6"/>
              </a:solidFill>
              <a:ln w="9360">
                <a:noFill/>
              </a:ln>
            </c:spPr>
          </c:dPt>
          <c:dPt>
            <c:idx val="2"/>
            <c:invertIfNegative val="0"/>
            <c:spPr>
              <a:solidFill>
                <a:srgbClr val="a9b8c6"/>
              </a:solidFill>
              <a:ln w="9360">
                <a:noFill/>
              </a:ln>
            </c:spPr>
          </c:dPt>
          <c:dPt>
            <c:idx val="3"/>
            <c:invertIfNegative val="0"/>
            <c:spPr>
              <a:solidFill>
                <a:srgbClr val="a9b8c6"/>
              </a:solidFill>
              <a:ln w="9360">
                <a:noFill/>
              </a:ln>
            </c:spPr>
          </c:dPt>
          <c:dPt>
            <c:idx val="4"/>
            <c:invertIfNegative val="0"/>
            <c:spPr>
              <a:solidFill>
                <a:srgbClr val="b42318"/>
              </a:solidFill>
              <a:ln w="9360">
                <a:noFill/>
              </a:ln>
            </c:spPr>
          </c:dPt>
          <c:dPt>
            <c:idx val="5"/>
            <c:invertIfNegative val="0"/>
            <c:spPr>
              <a:solidFill>
                <a:srgbClr val="4fa3a5"/>
              </a:solidFill>
              <a:ln w="9360">
                <a:noFill/>
              </a:ln>
            </c:spPr>
          </c:dPt>
          <c:dPt>
            <c:idx val="6"/>
            <c:invertIfNegative val="0"/>
            <c:spPr>
              <a:solidFill>
                <a:srgbClr val="0e4a4f"/>
              </a:solidFill>
              <a:ln w="936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Projektion!$B$55:$B$61</c:f>
              <c:strCache>
                <c:ptCount val="7"/>
                <c:pt idx="0">
                  <c:v>Miete</c:v>
                </c:pt>
                <c:pt idx="1">
                  <c:v>Bewirt.</c:v>
                </c:pt>
                <c:pt idx="2">
                  <c:v>Zinsen</c:v>
                </c:pt>
                <c:pt idx="3">
                  <c:v>Tilgung</c:v>
                </c:pt>
                <c:pt idx="4">
                  <c:v>vor St.</c:v>
                </c:pt>
                <c:pt idx="5">
                  <c:v>Steuer</c:v>
                </c:pt>
                <c:pt idx="6">
                  <c:v>nach St.</c:v>
                </c:pt>
              </c:strCache>
            </c:strRef>
          </c:cat>
          <c:val>
            <c:numRef>
              <c:f>Projektion!$C$55:$C$61</c:f>
              <c:numCache>
                <c:formatCode>#,##0;\-#,##0;\–</c:formatCode>
                <c:ptCount val="7"/>
                <c:pt idx="0">
                  <c:v>921.5</c:v>
                </c:pt>
                <c:pt idx="1">
                  <c:v>-207.5</c:v>
                </c:pt>
                <c:pt idx="2">
                  <c:v>-755.416666666667</c:v>
                </c:pt>
                <c:pt idx="3">
                  <c:v>-408.333333333333</c:v>
                </c:pt>
                <c:pt idx="4">
                  <c:v>-449.75</c:v>
                </c:pt>
                <c:pt idx="5">
                  <c:v>723.43542712</c:v>
                </c:pt>
                <c:pt idx="6">
                  <c:v>273.68542712</c:v>
                </c:pt>
              </c:numCache>
            </c:numRef>
          </c:val>
        </c:ser>
        <c:gapWidth val="45"/>
        <c:overlap val="0"/>
        <c:axId val="54714789"/>
        <c:axId val="49809411"/>
      </c:barChart>
      <c:catAx>
        <c:axId val="547147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09411"/>
        <c:crosses val="autoZero"/>
        <c:auto val="1"/>
        <c:lblAlgn val="ctr"/>
        <c:lblOffset val="100"/>
        <c:noMultiLvlLbl val="0"/>
      </c:catAx>
      <c:valAx>
        <c:axId val="49809411"/>
        <c:scaling>
          <c:orientation val="minMax"/>
        </c:scaling>
        <c:delete val="0"/>
        <c:axPos val="l"/>
        <c:majorGridlines>
          <c:spPr>
            <a:ln w="9360">
              <a:solidFill>
                <a:srgbClr val="edeef0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147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"Immobilienwert"</c:f>
              <c:strCache>
                <c:ptCount val="1"/>
                <c:pt idx="0">
                  <c:v>Immobilienwert</c:v>
                </c:pt>
              </c:strCache>
            </c:strRef>
          </c:tx>
          <c:spPr>
            <a:solidFill>
              <a:srgbClr val="2f6fb0"/>
            </a:solidFill>
            <a:ln w="21960">
              <a:solidFill>
                <a:srgbClr val="2f6fb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Projektion!$B$11:$B$40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Projektion!$O$11:$O$40</c:f>
              <c:numCache>
                <c:formatCode>#,##0;\-#,##0;\–</c:formatCode>
                <c:ptCount val="30"/>
                <c:pt idx="0">
                  <c:v>302940</c:v>
                </c:pt>
                <c:pt idx="1">
                  <c:v>308998.8</c:v>
                </c:pt>
                <c:pt idx="2">
                  <c:v>315178.776</c:v>
                </c:pt>
                <c:pt idx="3">
                  <c:v>321482.35152</c:v>
                </c:pt>
                <c:pt idx="4">
                  <c:v>327911.9985504</c:v>
                </c:pt>
                <c:pt idx="5">
                  <c:v>334470.238521408</c:v>
                </c:pt>
                <c:pt idx="6">
                  <c:v>341159.643291836</c:v>
                </c:pt>
                <c:pt idx="7">
                  <c:v>347982.836157673</c:v>
                </c:pt>
                <c:pt idx="8">
                  <c:v>354942.492880826</c:v>
                </c:pt>
                <c:pt idx="9">
                  <c:v>362041.342738443</c:v>
                </c:pt>
                <c:pt idx="10">
                  <c:v>369282.169593212</c:v>
                </c:pt>
                <c:pt idx="11">
                  <c:v>376667.812985076</c:v>
                </c:pt>
                <c:pt idx="12">
                  <c:v>384201.169244778</c:v>
                </c:pt>
                <c:pt idx="13">
                  <c:v>391885.192629673</c:v>
                </c:pt>
                <c:pt idx="14">
                  <c:v>399722.896482267</c:v>
                </c:pt>
                <c:pt idx="15">
                  <c:v>407717.354411912</c:v>
                </c:pt>
                <c:pt idx="16">
                  <c:v>415871.70150015</c:v>
                </c:pt>
                <c:pt idx="17">
                  <c:v>424189.135530153</c:v>
                </c:pt>
                <c:pt idx="18">
                  <c:v>432672.918240756</c:v>
                </c:pt>
                <c:pt idx="19">
                  <c:v>441326.376605571</c:v>
                </c:pt>
                <c:pt idx="20">
                  <c:v>450152.904137683</c:v>
                </c:pt>
                <c:pt idx="21">
                  <c:v>459155.962220437</c:v>
                </c:pt>
                <c:pt idx="22">
                  <c:v>468339.081464845</c:v>
                </c:pt>
                <c:pt idx="23">
                  <c:v>477705.863094142</c:v>
                </c:pt>
                <c:pt idx="24">
                  <c:v>487259.980356025</c:v>
                </c:pt>
                <c:pt idx="25">
                  <c:v>497005.179963145</c:v>
                </c:pt>
                <c:pt idx="26">
                  <c:v>506945.283562408</c:v>
                </c:pt>
                <c:pt idx="27">
                  <c:v>517084.189233657</c:v>
                </c:pt>
                <c:pt idx="28">
                  <c:v>527425.87301833</c:v>
                </c:pt>
                <c:pt idx="29">
                  <c:v>537974.390478696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"Restschuld"</c:f>
              <c:strCache>
                <c:ptCount val="1"/>
                <c:pt idx="0">
                  <c:v>Restschuld</c:v>
                </c:pt>
              </c:strCache>
            </c:strRef>
          </c:tx>
          <c:spPr>
            <a:solidFill>
              <a:srgbClr val="7a8088"/>
            </a:solidFill>
            <a:ln w="15840">
              <a:solidFill>
                <a:srgbClr val="7a808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Projektion!$B$11:$B$40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Projektion!$P$11:$P$40</c:f>
              <c:numCache>
                <c:formatCode>#,##0;\-#,##0;\–</c:formatCode>
                <c:ptCount val="30"/>
                <c:pt idx="0">
                  <c:v>240100</c:v>
                </c:pt>
                <c:pt idx="1">
                  <c:v>235018.7</c:v>
                </c:pt>
                <c:pt idx="2">
                  <c:v>229749.3919</c:v>
                </c:pt>
                <c:pt idx="3">
                  <c:v>224285.1194003</c:v>
                </c:pt>
                <c:pt idx="4">
                  <c:v>218618.668818111</c:v>
                </c:pt>
                <c:pt idx="5">
                  <c:v>212742.559564381</c:v>
                </c:pt>
                <c:pt idx="6">
                  <c:v>206649.034268263</c:v>
                </c:pt>
                <c:pt idx="7">
                  <c:v>200330.048536189</c:v>
                </c:pt>
                <c:pt idx="8">
                  <c:v>193777.260332028</c:v>
                </c:pt>
                <c:pt idx="9">
                  <c:v>186982.018964313</c:v>
                </c:pt>
                <c:pt idx="10">
                  <c:v>181431.209817707</c:v>
                </c:pt>
                <c:pt idx="11">
                  <c:v>175630.614259504</c:v>
                </c:pt>
                <c:pt idx="12">
                  <c:v>169568.991901182</c:v>
                </c:pt>
                <c:pt idx="13">
                  <c:v>163234.596536735</c:v>
                </c:pt>
                <c:pt idx="14">
                  <c:v>156615.153380888</c:v>
                </c:pt>
                <c:pt idx="15">
                  <c:v>149697.835283028</c:v>
                </c:pt>
                <c:pt idx="16">
                  <c:v>142469.237870764</c:v>
                </c:pt>
                <c:pt idx="17">
                  <c:v>134915.353574949</c:v>
                </c:pt>
                <c:pt idx="18">
                  <c:v>127021.544485821</c:v>
                </c:pt>
                <c:pt idx="19">
                  <c:v>118772.513987683</c:v>
                </c:pt>
                <c:pt idx="20">
                  <c:v>110152.277117129</c:v>
                </c:pt>
                <c:pt idx="21">
                  <c:v>101144.1295874</c:v>
                </c:pt>
                <c:pt idx="22">
                  <c:v>91730.6154188328</c:v>
                </c:pt>
                <c:pt idx="23">
                  <c:v>81893.4931126802</c:v>
                </c:pt>
                <c:pt idx="24">
                  <c:v>71613.7003027508</c:v>
                </c:pt>
                <c:pt idx="25">
                  <c:v>60871.3168163746</c:v>
                </c:pt>
                <c:pt idx="26">
                  <c:v>49645.5260731115</c:v>
                </c:pt>
                <c:pt idx="27">
                  <c:v>37914.5747464015</c:v>
                </c:pt>
                <c:pt idx="28">
                  <c:v>25655.7306099896</c:v>
                </c:pt>
                <c:pt idx="29">
                  <c:v>12845.2384874391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"Nettovermögen"</c:f>
              <c:strCache>
                <c:ptCount val="1"/>
                <c:pt idx="0">
                  <c:v>Nettovermögen</c:v>
                </c:pt>
              </c:strCache>
            </c:strRef>
          </c:tx>
          <c:spPr>
            <a:solidFill>
              <a:srgbClr val="0e4a4f"/>
            </a:solidFill>
            <a:ln w="32040">
              <a:solidFill>
                <a:srgbClr val="0e4a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Projektion!$B$11:$B$40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Projektion!$Q$11:$Q$40</c:f>
              <c:numCache>
                <c:formatCode>#,##0;\-#,##0;\–</c:formatCode>
                <c:ptCount val="30"/>
                <c:pt idx="0">
                  <c:v>62840</c:v>
                </c:pt>
                <c:pt idx="1">
                  <c:v>73980.1</c:v>
                </c:pt>
                <c:pt idx="2">
                  <c:v>85429.3841000001</c:v>
                </c:pt>
                <c:pt idx="3">
                  <c:v>97197.2321196999</c:v>
                </c:pt>
                <c:pt idx="4">
                  <c:v>109293.329732289</c:v>
                </c:pt>
                <c:pt idx="5">
                  <c:v>121727.678957027</c:v>
                </c:pt>
                <c:pt idx="6">
                  <c:v>134510.609023573</c:v>
                </c:pt>
                <c:pt idx="7">
                  <c:v>147652.787621484</c:v>
                </c:pt>
                <c:pt idx="8">
                  <c:v>161165.232548798</c:v>
                </c:pt>
                <c:pt idx="9">
                  <c:v>175059.32377413</c:v>
                </c:pt>
                <c:pt idx="10">
                  <c:v>187850.959775505</c:v>
                </c:pt>
                <c:pt idx="11">
                  <c:v>201037.198725572</c:v>
                </c:pt>
                <c:pt idx="12">
                  <c:v>214632.177343596</c:v>
                </c:pt>
                <c:pt idx="13">
                  <c:v>228650.596092938</c:v>
                </c:pt>
                <c:pt idx="14">
                  <c:v>243107.743101379</c:v>
                </c:pt>
                <c:pt idx="15">
                  <c:v>258019.519128884</c:v>
                </c:pt>
                <c:pt idx="16">
                  <c:v>273402.463629386</c:v>
                </c:pt>
                <c:pt idx="17">
                  <c:v>289273.781955205</c:v>
                </c:pt>
                <c:pt idx="18">
                  <c:v>305651.373754935</c:v>
                </c:pt>
                <c:pt idx="19">
                  <c:v>322553.862617888</c:v>
                </c:pt>
                <c:pt idx="20">
                  <c:v>340000.627020554</c:v>
                </c:pt>
                <c:pt idx="21">
                  <c:v>358011.832633037</c:v>
                </c:pt>
                <c:pt idx="22">
                  <c:v>376608.466046013</c:v>
                </c:pt>
                <c:pt idx="23">
                  <c:v>395812.369981462</c:v>
                </c:pt>
                <c:pt idx="24">
                  <c:v>415646.280053274</c:v>
                </c:pt>
                <c:pt idx="25">
                  <c:v>436133.863146771</c:v>
                </c:pt>
                <c:pt idx="26">
                  <c:v>457299.757489297</c:v>
                </c:pt>
                <c:pt idx="27">
                  <c:v>479169.614487255</c:v>
                </c:pt>
                <c:pt idx="28">
                  <c:v>501770.14240834</c:v>
                </c:pt>
                <c:pt idx="29">
                  <c:v>525129.151991257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990349"/>
        <c:axId val="8321878"/>
      </c:lineChart>
      <c:catAx>
        <c:axId val="42990349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1878"/>
        <c:crosses val="autoZero"/>
        <c:auto val="1"/>
        <c:lblAlgn val="ctr"/>
        <c:lblOffset val="100"/>
        <c:noMultiLvlLbl val="0"/>
      </c:catAx>
      <c:valAx>
        <c:axId val="8321878"/>
        <c:scaling>
          <c:orientation val="minMax"/>
        </c:scaling>
        <c:delete val="0"/>
        <c:axPos val="l"/>
        <c:majorGridlines>
          <c:spPr>
            <a:ln w="9360">
              <a:solidFill>
                <a:srgbClr val="edeef0"/>
              </a:solidFill>
              <a:round/>
            </a:ln>
          </c:spPr>
        </c:majorGridlines>
        <c:numFmt formatCode="#,##0,&quot;T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903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16</xdr:row>
      <xdr:rowOff>0</xdr:rowOff>
    </xdr:from>
    <xdr:to>
      <xdr:col>12</xdr:col>
      <xdr:colOff>303120</xdr:colOff>
      <xdr:row>26</xdr:row>
      <xdr:rowOff>64080</xdr:rowOff>
    </xdr:to>
    <xdr:graphicFrame>
      <xdr:nvGraphicFramePr>
        <xdr:cNvPr id="0" name="Chart 1"/>
        <xdr:cNvGraphicFramePr/>
      </xdr:nvGraphicFramePr>
      <xdr:xfrm>
        <a:off x="7474680" y="3162240"/>
        <a:ext cx="4463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271080</xdr:colOff>
      <xdr:row>37</xdr:row>
      <xdr:rowOff>208080</xdr:rowOff>
    </xdr:to>
    <xdr:graphicFrame>
      <xdr:nvGraphicFramePr>
        <xdr:cNvPr id="1" name="Chart 2"/>
        <xdr:cNvGraphicFramePr/>
      </xdr:nvGraphicFramePr>
      <xdr:xfrm>
        <a:off x="193680" y="5524560"/>
        <a:ext cx="5471640" cy="230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C8CE"/>
    <pageSetUpPr fitToPage="true"/>
  </sheetPr>
  <dimension ref="B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2</v>
      </c>
      <c r="C3" s="4"/>
      <c r="D3" s="4"/>
      <c r="E3" s="4"/>
      <c r="F3" s="4"/>
      <c r="G3" s="4"/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6" t="str">
        <f aca="false">Objekt</f>
        <v>3-Zi.-ETW, 75 m²</v>
      </c>
      <c r="I4" s="7" t="n">
        <f aca="false">Kaufdatum</f>
        <v>46357</v>
      </c>
      <c r="J4" s="6" t="str">
        <f aca="false">Investor</f>
        <v>Privatperson</v>
      </c>
      <c r="K4" s="6" t="str">
        <f aca="false">Lage</f>
        <v>Weingarten</v>
      </c>
      <c r="L4" s="8" t="n">
        <f aca="false">Haltedauer</f>
        <v>12</v>
      </c>
      <c r="M4" s="7" t="n">
        <f aca="false">Stand</f>
        <v>46289</v>
      </c>
    </row>
    <row r="5" customFormat="false" ht="6" hidden="false" customHeight="true" outlineLevel="0" collapsed="false"/>
    <row r="6" customFormat="false" ht="18.75" hidden="false" customHeight="true" outlineLevel="0" collapsed="false">
      <c r="B6" s="9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3</v>
      </c>
      <c r="C8" s="12"/>
      <c r="D8" s="12"/>
      <c r="E8" s="12"/>
      <c r="F8" s="12"/>
      <c r="G8" s="12"/>
      <c r="I8" s="11" t="s">
        <v>21</v>
      </c>
      <c r="J8" s="12"/>
      <c r="K8" s="12"/>
      <c r="L8" s="12"/>
      <c r="M8" s="12"/>
    </row>
    <row r="9" customFormat="false" ht="15" hidden="false" customHeight="false" outlineLevel="0" collapsed="false">
      <c r="B9" s="13" t="s">
        <v>3</v>
      </c>
      <c r="C9" s="13"/>
      <c r="D9" s="14" t="str">
        <f aca="false">Objekt</f>
        <v>3-Zi.-ETW, 75 m²</v>
      </c>
      <c r="E9" s="14"/>
      <c r="F9" s="14"/>
      <c r="G9" s="15"/>
      <c r="I9" s="13" t="s">
        <v>22</v>
      </c>
      <c r="J9" s="13"/>
      <c r="K9" s="16" t="str">
        <f aca="false">Cockpit!D8</f>
        <v>Liquidität kritisch</v>
      </c>
      <c r="L9" s="16"/>
      <c r="M9" s="16"/>
    </row>
    <row r="10" customFormat="false" ht="15" hidden="false" customHeight="false" outlineLevel="0" collapsed="false">
      <c r="B10" s="13" t="s">
        <v>6</v>
      </c>
      <c r="C10" s="13"/>
      <c r="D10" s="14" t="str">
        <f aca="false">Lage</f>
        <v>Weingarten</v>
      </c>
      <c r="E10" s="14"/>
      <c r="F10" s="14"/>
      <c r="G10" s="15"/>
      <c r="I10" s="13" t="s">
        <v>23</v>
      </c>
      <c r="J10" s="13"/>
      <c r="K10" s="17" t="n">
        <f aca="false">CF_Monat_J1</f>
        <v>273.68542712</v>
      </c>
      <c r="L10" s="17"/>
      <c r="M10" s="17"/>
    </row>
    <row r="11" customFormat="false" ht="15" hidden="false" customHeight="false" outlineLevel="0" collapsed="false">
      <c r="B11" s="13" t="s">
        <v>24</v>
      </c>
      <c r="C11" s="13"/>
      <c r="D11" s="18" t="n">
        <f aca="false">Kaufpreis</f>
        <v>285000</v>
      </c>
      <c r="E11" s="18"/>
      <c r="F11" s="18"/>
      <c r="G11" s="15"/>
      <c r="I11" s="13" t="s">
        <v>25</v>
      </c>
      <c r="J11" s="13"/>
      <c r="K11" s="19" t="n">
        <f aca="false">DSCR_J1</f>
        <v>0.613533834586466</v>
      </c>
      <c r="L11" s="19"/>
      <c r="M11" s="19"/>
    </row>
    <row r="12" customFormat="false" ht="15" hidden="false" customHeight="false" outlineLevel="0" collapsed="false">
      <c r="B12" s="13" t="s">
        <v>26</v>
      </c>
      <c r="C12" s="13"/>
      <c r="D12" s="18" t="n">
        <f aca="false">Gesamtinvestition</f>
        <v>328974.5</v>
      </c>
      <c r="E12" s="18"/>
      <c r="F12" s="18"/>
      <c r="G12" s="15"/>
      <c r="I12" s="13" t="s">
        <v>27</v>
      </c>
      <c r="J12" s="13"/>
      <c r="K12" s="20" t="n">
        <f aca="false">IRR_nSt</f>
        <v>0.0512168057115766</v>
      </c>
      <c r="L12" s="20"/>
      <c r="M12" s="20"/>
    </row>
    <row r="13" customFormat="false" ht="15" hidden="false" customHeight="false" outlineLevel="0" collapsed="false">
      <c r="B13" s="13" t="s">
        <v>28</v>
      </c>
      <c r="C13" s="13"/>
      <c r="D13" s="21" t="n">
        <f aca="false">Kaufdatum</f>
        <v>46357</v>
      </c>
      <c r="E13" s="21"/>
      <c r="F13" s="21"/>
      <c r="G13" s="15"/>
      <c r="I13" s="13" t="s">
        <v>29</v>
      </c>
      <c r="J13" s="13"/>
      <c r="K13" s="17" t="n">
        <f aca="false">Eigenkapital</f>
        <v>83974.5</v>
      </c>
      <c r="L13" s="17"/>
      <c r="M13" s="17"/>
    </row>
    <row r="14" customFormat="false" ht="15" hidden="false" customHeight="false" outlineLevel="0" collapsed="false">
      <c r="B14" s="13" t="s">
        <v>7</v>
      </c>
      <c r="C14" s="13"/>
      <c r="D14" s="22" t="n">
        <f aca="false">Haltedauer</f>
        <v>12</v>
      </c>
      <c r="E14" s="22"/>
      <c r="F14" s="22"/>
      <c r="G14" s="15"/>
      <c r="I14" s="13" t="s">
        <v>30</v>
      </c>
      <c r="J14" s="13"/>
      <c r="K14" s="17" t="n">
        <f aca="false">Projektion!Q40</f>
        <v>525129.151991257</v>
      </c>
      <c r="L14" s="17"/>
      <c r="M14" s="17"/>
    </row>
    <row r="16" customFormat="false" ht="21" hidden="false" customHeight="true" outlineLevel="0" collapsed="false">
      <c r="B16" s="11" t="s">
        <v>31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23" t="s">
        <v>32</v>
      </c>
    </row>
    <row r="17" customFormat="false" ht="15" hidden="false" customHeight="true" outlineLevel="0" collapsed="false">
      <c r="B17" s="24" t="s">
        <v>33</v>
      </c>
      <c r="C17" s="24"/>
      <c r="D17" s="24" t="s">
        <v>34</v>
      </c>
      <c r="E17" s="24"/>
      <c r="F17" s="24" t="s">
        <v>31</v>
      </c>
      <c r="G17" s="24"/>
      <c r="H17" s="24"/>
      <c r="I17" s="24"/>
      <c r="J17" s="24"/>
      <c r="K17" s="24"/>
      <c r="L17" s="24"/>
      <c r="M17" s="24"/>
    </row>
    <row r="18" customFormat="false" ht="15" hidden="false" customHeight="false" outlineLevel="0" collapsed="false">
      <c r="B18" s="25" t="s">
        <v>9</v>
      </c>
      <c r="C18" s="25"/>
      <c r="D18" s="26" t="s">
        <v>35</v>
      </c>
      <c r="E18" s="26"/>
      <c r="F18" s="27" t="s">
        <v>36</v>
      </c>
      <c r="G18" s="27"/>
      <c r="H18" s="27"/>
      <c r="I18" s="27"/>
      <c r="J18" s="27"/>
      <c r="K18" s="27"/>
      <c r="L18" s="27"/>
      <c r="M18" s="27"/>
    </row>
    <row r="19" customFormat="false" ht="15" hidden="false" customHeight="false" outlineLevel="0" collapsed="false">
      <c r="B19" s="25" t="s">
        <v>10</v>
      </c>
      <c r="C19" s="25"/>
      <c r="D19" s="26" t="s">
        <v>35</v>
      </c>
      <c r="E19" s="26"/>
      <c r="F19" s="27" t="s">
        <v>37</v>
      </c>
      <c r="G19" s="27"/>
      <c r="H19" s="27"/>
      <c r="I19" s="27"/>
      <c r="J19" s="27"/>
      <c r="K19" s="27"/>
      <c r="L19" s="27"/>
      <c r="M19" s="27"/>
    </row>
    <row r="20" customFormat="false" ht="15" hidden="false" customHeight="false" outlineLevel="0" collapsed="false">
      <c r="B20" s="25" t="s">
        <v>11</v>
      </c>
      <c r="C20" s="25"/>
      <c r="D20" s="28" t="s">
        <v>38</v>
      </c>
      <c r="E20" s="28"/>
      <c r="F20" s="27" t="s">
        <v>39</v>
      </c>
      <c r="G20" s="27"/>
      <c r="H20" s="27"/>
      <c r="I20" s="27"/>
      <c r="J20" s="27"/>
      <c r="K20" s="27"/>
      <c r="L20" s="27"/>
      <c r="M20" s="27"/>
    </row>
    <row r="21" customFormat="false" ht="15" hidden="false" customHeight="false" outlineLevel="0" collapsed="false">
      <c r="B21" s="25" t="s">
        <v>12</v>
      </c>
      <c r="C21" s="25"/>
      <c r="D21" s="29" t="s">
        <v>40</v>
      </c>
      <c r="E21" s="29"/>
      <c r="F21" s="27" t="s">
        <v>41</v>
      </c>
      <c r="G21" s="27"/>
      <c r="H21" s="27"/>
      <c r="I21" s="27"/>
      <c r="J21" s="27"/>
      <c r="K21" s="27"/>
      <c r="L21" s="27"/>
      <c r="M21" s="27"/>
    </row>
    <row r="22" customFormat="false" ht="15" hidden="false" customHeight="false" outlineLevel="0" collapsed="false">
      <c r="B22" s="25" t="s">
        <v>13</v>
      </c>
      <c r="C22" s="25"/>
      <c r="D22" s="30" t="s">
        <v>42</v>
      </c>
      <c r="E22" s="30"/>
      <c r="F22" s="27" t="s">
        <v>43</v>
      </c>
      <c r="G22" s="27"/>
      <c r="H22" s="27"/>
      <c r="I22" s="27"/>
      <c r="J22" s="27"/>
      <c r="K22" s="27"/>
      <c r="L22" s="27"/>
      <c r="M22" s="27"/>
    </row>
    <row r="23" customFormat="false" ht="15" hidden="false" customHeight="false" outlineLevel="0" collapsed="false">
      <c r="B23" s="25" t="s">
        <v>14</v>
      </c>
      <c r="C23" s="25"/>
      <c r="D23" s="30" t="s">
        <v>42</v>
      </c>
      <c r="E23" s="30"/>
      <c r="F23" s="27" t="s">
        <v>44</v>
      </c>
      <c r="G23" s="27"/>
      <c r="H23" s="27"/>
      <c r="I23" s="27"/>
      <c r="J23" s="27"/>
      <c r="K23" s="27"/>
      <c r="L23" s="27"/>
      <c r="M23" s="27"/>
    </row>
    <row r="24" customFormat="false" ht="15" hidden="false" customHeight="false" outlineLevel="0" collapsed="false">
      <c r="B24" s="25" t="s">
        <v>15</v>
      </c>
      <c r="C24" s="25"/>
      <c r="D24" s="30" t="s">
        <v>42</v>
      </c>
      <c r="E24" s="30"/>
      <c r="F24" s="27" t="s">
        <v>45</v>
      </c>
      <c r="G24" s="27"/>
      <c r="H24" s="27"/>
      <c r="I24" s="27"/>
      <c r="J24" s="27"/>
      <c r="K24" s="27"/>
      <c r="L24" s="27"/>
      <c r="M24" s="27"/>
    </row>
    <row r="25" customFormat="false" ht="15" hidden="false" customHeight="false" outlineLevel="0" collapsed="false">
      <c r="B25" s="25" t="s">
        <v>16</v>
      </c>
      <c r="C25" s="25"/>
      <c r="D25" s="30" t="s">
        <v>42</v>
      </c>
      <c r="E25" s="30"/>
      <c r="F25" s="27" t="s">
        <v>46</v>
      </c>
      <c r="G25" s="27"/>
      <c r="H25" s="27"/>
      <c r="I25" s="27"/>
      <c r="J25" s="27"/>
      <c r="K25" s="27"/>
      <c r="L25" s="27"/>
      <c r="M25" s="27"/>
    </row>
    <row r="26" customFormat="false" ht="15" hidden="false" customHeight="false" outlineLevel="0" collapsed="false">
      <c r="B26" s="25" t="s">
        <v>17</v>
      </c>
      <c r="C26" s="25"/>
      <c r="D26" s="30" t="s">
        <v>42</v>
      </c>
      <c r="E26" s="30"/>
      <c r="F26" s="27" t="s">
        <v>47</v>
      </c>
      <c r="G26" s="27"/>
      <c r="H26" s="27"/>
      <c r="I26" s="27"/>
      <c r="J26" s="27"/>
      <c r="K26" s="27"/>
      <c r="L26" s="27"/>
      <c r="M26" s="27"/>
    </row>
    <row r="27" customFormat="false" ht="15" hidden="false" customHeight="false" outlineLevel="0" collapsed="false">
      <c r="B27" s="25" t="s">
        <v>18</v>
      </c>
      <c r="C27" s="25"/>
      <c r="D27" s="31" t="s">
        <v>48</v>
      </c>
      <c r="E27" s="31"/>
      <c r="F27" s="27" t="s">
        <v>49</v>
      </c>
      <c r="G27" s="27"/>
      <c r="H27" s="27"/>
      <c r="I27" s="27"/>
      <c r="J27" s="27"/>
      <c r="K27" s="27"/>
      <c r="L27" s="27"/>
      <c r="M27" s="27"/>
    </row>
    <row r="28" customFormat="false" ht="15" hidden="false" customHeight="false" outlineLevel="0" collapsed="false">
      <c r="B28" s="25" t="s">
        <v>19</v>
      </c>
      <c r="C28" s="25"/>
      <c r="D28" s="32" t="s">
        <v>50</v>
      </c>
      <c r="E28" s="32"/>
      <c r="F28" s="27" t="s">
        <v>51</v>
      </c>
      <c r="G28" s="27"/>
      <c r="H28" s="27"/>
      <c r="I28" s="27"/>
      <c r="J28" s="27"/>
      <c r="K28" s="27"/>
      <c r="L28" s="27"/>
      <c r="M28" s="27"/>
    </row>
    <row r="29" customFormat="false" ht="15" hidden="false" customHeight="false" outlineLevel="0" collapsed="false">
      <c r="B29" s="25" t="s">
        <v>20</v>
      </c>
      <c r="C29" s="25"/>
      <c r="D29" s="32" t="s">
        <v>50</v>
      </c>
      <c r="E29" s="32"/>
      <c r="F29" s="27" t="s">
        <v>52</v>
      </c>
      <c r="G29" s="27"/>
      <c r="H29" s="27"/>
      <c r="I29" s="27"/>
      <c r="J29" s="27"/>
      <c r="K29" s="27"/>
      <c r="L29" s="27"/>
      <c r="M29" s="27"/>
    </row>
    <row r="31" customFormat="false" ht="21" hidden="false" customHeight="true" outlineLevel="0" collapsed="false">
      <c r="B31" s="11" t="s">
        <v>53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customFormat="false" ht="15" hidden="false" customHeight="false" outlineLevel="0" collapsed="false">
      <c r="B32" s="33" t="s">
        <v>54</v>
      </c>
      <c r="C32" s="34" t="s">
        <v>55</v>
      </c>
      <c r="D32" s="34"/>
      <c r="E32" s="34"/>
      <c r="F32" s="34"/>
      <c r="G32" s="34"/>
      <c r="I32" s="35" t="s">
        <v>56</v>
      </c>
      <c r="J32" s="34" t="s">
        <v>57</v>
      </c>
      <c r="K32" s="34"/>
      <c r="L32" s="34"/>
      <c r="M32" s="34"/>
    </row>
    <row r="33" customFormat="false" ht="15" hidden="false" customHeight="false" outlineLevel="0" collapsed="false">
      <c r="B33" s="36" t="n">
        <v>12345</v>
      </c>
      <c r="C33" s="34" t="s">
        <v>58</v>
      </c>
      <c r="D33" s="34"/>
      <c r="E33" s="34"/>
      <c r="F33" s="34"/>
      <c r="G33" s="34"/>
      <c r="I33" s="37" t="s">
        <v>59</v>
      </c>
      <c r="J33" s="34" t="s">
        <v>60</v>
      </c>
      <c r="K33" s="34"/>
      <c r="L33" s="34"/>
      <c r="M33" s="34"/>
    </row>
    <row r="34" customFormat="false" ht="15" hidden="false" customHeight="false" outlineLevel="0" collapsed="false">
      <c r="B34" s="38" t="n">
        <v>12345</v>
      </c>
      <c r="C34" s="34" t="s">
        <v>61</v>
      </c>
      <c r="D34" s="34"/>
      <c r="E34" s="34"/>
      <c r="F34" s="34"/>
      <c r="G34" s="34"/>
      <c r="I34" s="39" t="s">
        <v>62</v>
      </c>
      <c r="J34" s="34" t="s">
        <v>63</v>
      </c>
      <c r="K34" s="34"/>
      <c r="L34" s="34"/>
      <c r="M34" s="34"/>
    </row>
    <row r="35" customFormat="false" ht="15" hidden="false" customHeight="false" outlineLevel="0" collapsed="false">
      <c r="B35" s="40" t="n">
        <v>12345</v>
      </c>
      <c r="C35" s="34" t="s">
        <v>64</v>
      </c>
      <c r="D35" s="34"/>
      <c r="E35" s="34"/>
      <c r="F35" s="34"/>
      <c r="G35" s="34"/>
    </row>
    <row r="37" customFormat="false" ht="18" hidden="false" customHeight="true" outlineLevel="0" collapsed="false">
      <c r="B37" s="41" t="s">
        <v>65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3" t="s">
        <v>66</v>
      </c>
    </row>
  </sheetData>
  <mergeCells count="72">
    <mergeCell ref="H2:M2"/>
    <mergeCell ref="B3:G4"/>
    <mergeCell ref="B9:C9"/>
    <mergeCell ref="D9:F9"/>
    <mergeCell ref="I9:J9"/>
    <mergeCell ref="K9:M9"/>
    <mergeCell ref="B10:C10"/>
    <mergeCell ref="D10:F10"/>
    <mergeCell ref="I10:J10"/>
    <mergeCell ref="K10:M10"/>
    <mergeCell ref="B11:C11"/>
    <mergeCell ref="D11:F11"/>
    <mergeCell ref="I11:J11"/>
    <mergeCell ref="K11:M11"/>
    <mergeCell ref="B12:C12"/>
    <mergeCell ref="D12:F12"/>
    <mergeCell ref="I12:J12"/>
    <mergeCell ref="K12:M12"/>
    <mergeCell ref="B13:C13"/>
    <mergeCell ref="D13:F13"/>
    <mergeCell ref="I13:J13"/>
    <mergeCell ref="K13:M13"/>
    <mergeCell ref="B14:C14"/>
    <mergeCell ref="D14:F14"/>
    <mergeCell ref="I14:J14"/>
    <mergeCell ref="K14:M14"/>
    <mergeCell ref="B17:C17"/>
    <mergeCell ref="D17:E17"/>
    <mergeCell ref="F17:M17"/>
    <mergeCell ref="B18:C18"/>
    <mergeCell ref="D18:E18"/>
    <mergeCell ref="F18:M18"/>
    <mergeCell ref="B19:C19"/>
    <mergeCell ref="D19:E19"/>
    <mergeCell ref="F19:M19"/>
    <mergeCell ref="B20:C20"/>
    <mergeCell ref="D20:E20"/>
    <mergeCell ref="F20:M20"/>
    <mergeCell ref="B21:C21"/>
    <mergeCell ref="D21:E21"/>
    <mergeCell ref="F21:M21"/>
    <mergeCell ref="B22:C22"/>
    <mergeCell ref="D22:E22"/>
    <mergeCell ref="F22:M22"/>
    <mergeCell ref="B23:C23"/>
    <mergeCell ref="D23:E23"/>
    <mergeCell ref="F23:M23"/>
    <mergeCell ref="B24:C24"/>
    <mergeCell ref="D24:E24"/>
    <mergeCell ref="F24:M24"/>
    <mergeCell ref="B25:C25"/>
    <mergeCell ref="D25:E25"/>
    <mergeCell ref="F25:M25"/>
    <mergeCell ref="B26:C26"/>
    <mergeCell ref="D26:E26"/>
    <mergeCell ref="F26:M26"/>
    <mergeCell ref="B27:C27"/>
    <mergeCell ref="D27:E27"/>
    <mergeCell ref="F27:M27"/>
    <mergeCell ref="B28:C28"/>
    <mergeCell ref="D28:E28"/>
    <mergeCell ref="F28:M28"/>
    <mergeCell ref="B29:C29"/>
    <mergeCell ref="D29:E29"/>
    <mergeCell ref="F29:M29"/>
    <mergeCell ref="C32:G32"/>
    <mergeCell ref="J32:M32"/>
    <mergeCell ref="C33:G33"/>
    <mergeCell ref="J33:M33"/>
    <mergeCell ref="C34:G34"/>
    <mergeCell ref="J34:M34"/>
    <mergeCell ref="C35:G35"/>
  </mergeCells>
  <conditionalFormatting sqref="K9">
    <cfRule type="expression" priority="2" aboveAverage="0" equalAverage="0" bottom="0" percent="0" rank="0" text="" dxfId="0">
      <formula>ISNUMBER(SEARCH("kritisch",$K$9))</formula>
    </cfRule>
    <cfRule type="expression" priority="3" aboveAverage="0" equalAverage="0" bottom="0" percent="0" rank="0" text="" dxfId="1">
      <formula>ISNUMBER(SEARCH("Einschränkungen",$K$9))</formula>
    </cfRule>
    <cfRule type="expression" priority="4" aboveAverage="0" equalAverage="0" bottom="0" percent="0" rank="0" text="" dxfId="2">
      <formula>ISNUMBER(SEARCH("Solide",$K$9))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  <hyperlink ref="B18" location="'Start'!A1" display="Start"/>
    <hyperlink ref="B19" location="'Leitfaden'!A1" display="Leitfaden"/>
    <hyperlink ref="B20" location="'Cockpit'!A1" display="Cockpit"/>
    <hyperlink ref="B21" location="'Eingaben'!A1" display="Eingaben"/>
    <hyperlink ref="B22" location="'Projektion'!A1" display="Projektion"/>
    <hyperlink ref="B23" location="'Finanzierung'!A1" display="Finanzierung"/>
    <hyperlink ref="B24" location="'Steuern'!A1" display="Steuern"/>
    <hyperlink ref="B25" location="'AfA-Vergleich'!A1" display="AfA-Vergleich"/>
    <hyperlink ref="B26" location="'Sensitivität'!A1" display="Sensitivität"/>
    <hyperlink ref="B27" location="'Bankgespräch'!A1" display="Bankgespräch"/>
    <hyperlink ref="B28" location="'Hinweise'!A1" display="Hinweise"/>
    <hyperlink ref="B29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C8CE"/>
    <pageSetUpPr fitToPage="tru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10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9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67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6.5" hidden="false" customHeight="true" outlineLevel="0" collapsed="false">
      <c r="B9" s="44" t="n">
        <v>1</v>
      </c>
      <c r="C9" s="45" t="s">
        <v>12</v>
      </c>
      <c r="D9" s="46" t="s">
        <v>68</v>
      </c>
      <c r="E9" s="46"/>
      <c r="F9" s="46"/>
      <c r="G9" s="46"/>
      <c r="H9" s="46"/>
      <c r="I9" s="46"/>
      <c r="J9" s="46"/>
      <c r="K9" s="46"/>
      <c r="L9" s="46"/>
      <c r="M9" s="46"/>
    </row>
    <row r="10" customFormat="false" ht="16.5" hidden="false" customHeight="true" outlineLevel="0" collapsed="false">
      <c r="B10" s="44"/>
      <c r="C10" s="15"/>
      <c r="D10" s="46"/>
      <c r="E10" s="46"/>
      <c r="F10" s="46"/>
      <c r="G10" s="46"/>
      <c r="H10" s="46"/>
      <c r="I10" s="46"/>
      <c r="J10" s="46"/>
      <c r="K10" s="46"/>
      <c r="L10" s="46"/>
      <c r="M10" s="46"/>
    </row>
    <row r="11" customFormat="false" ht="16.5" hidden="false" customHeight="true" outlineLevel="0" collapsed="false">
      <c r="B11" s="44" t="n">
        <v>2</v>
      </c>
      <c r="C11" s="45" t="s">
        <v>11</v>
      </c>
      <c r="D11" s="46" t="s">
        <v>69</v>
      </c>
      <c r="E11" s="46"/>
      <c r="F11" s="46"/>
      <c r="G11" s="46"/>
      <c r="H11" s="46"/>
      <c r="I11" s="46"/>
      <c r="J11" s="46"/>
      <c r="K11" s="46"/>
      <c r="L11" s="46"/>
      <c r="M11" s="46"/>
    </row>
    <row r="12" customFormat="false" ht="16.5" hidden="false" customHeight="true" outlineLevel="0" collapsed="false">
      <c r="B12" s="44"/>
      <c r="C12" s="15"/>
      <c r="D12" s="46"/>
      <c r="E12" s="46"/>
      <c r="F12" s="46"/>
      <c r="G12" s="46"/>
      <c r="H12" s="46"/>
      <c r="I12" s="46"/>
      <c r="J12" s="46"/>
      <c r="K12" s="46"/>
      <c r="L12" s="46"/>
      <c r="M12" s="46"/>
    </row>
    <row r="13" customFormat="false" ht="16.5" hidden="false" customHeight="true" outlineLevel="0" collapsed="false">
      <c r="B13" s="44" t="n">
        <v>3</v>
      </c>
      <c r="C13" s="45" t="s">
        <v>70</v>
      </c>
      <c r="D13" s="46" t="s">
        <v>71</v>
      </c>
      <c r="E13" s="46"/>
      <c r="F13" s="46"/>
      <c r="G13" s="46"/>
      <c r="H13" s="46"/>
      <c r="I13" s="46"/>
      <c r="J13" s="46"/>
      <c r="K13" s="46"/>
      <c r="L13" s="46"/>
      <c r="M13" s="46"/>
    </row>
    <row r="14" customFormat="false" ht="16.5" hidden="false" customHeight="true" outlineLevel="0" collapsed="false">
      <c r="B14" s="44"/>
      <c r="C14" s="15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customFormat="false" ht="16.5" hidden="false" customHeight="true" outlineLevel="0" collapsed="false">
      <c r="B15" s="44" t="n">
        <v>4</v>
      </c>
      <c r="C15" s="45" t="s">
        <v>72</v>
      </c>
      <c r="D15" s="46" t="s">
        <v>73</v>
      </c>
      <c r="E15" s="46"/>
      <c r="F15" s="46"/>
      <c r="G15" s="46"/>
      <c r="H15" s="46"/>
      <c r="I15" s="46"/>
      <c r="J15" s="46"/>
      <c r="K15" s="46"/>
      <c r="L15" s="46"/>
      <c r="M15" s="46"/>
    </row>
    <row r="16" customFormat="false" ht="16.5" hidden="false" customHeight="true" outlineLevel="0" collapsed="false">
      <c r="B16" s="44"/>
      <c r="C16" s="15"/>
      <c r="D16" s="46"/>
      <c r="E16" s="46"/>
      <c r="F16" s="46"/>
      <c r="G16" s="46"/>
      <c r="H16" s="46"/>
      <c r="I16" s="46"/>
      <c r="J16" s="46"/>
      <c r="K16" s="46"/>
      <c r="L16" s="46"/>
      <c r="M16" s="46"/>
    </row>
    <row r="17" customFormat="false" ht="16.5" hidden="false" customHeight="true" outlineLevel="0" collapsed="false">
      <c r="B17" s="44" t="n">
        <v>5</v>
      </c>
      <c r="C17" s="45" t="s">
        <v>74</v>
      </c>
      <c r="D17" s="46" t="s">
        <v>75</v>
      </c>
      <c r="E17" s="46"/>
      <c r="F17" s="46"/>
      <c r="G17" s="46"/>
      <c r="H17" s="46"/>
      <c r="I17" s="46"/>
      <c r="J17" s="46"/>
      <c r="K17" s="46"/>
      <c r="L17" s="46"/>
      <c r="M17" s="46"/>
    </row>
    <row r="18" customFormat="false" ht="16.5" hidden="false" customHeight="true" outlineLevel="0" collapsed="false">
      <c r="B18" s="44"/>
      <c r="C18" s="15"/>
      <c r="D18" s="46"/>
      <c r="E18" s="46"/>
      <c r="F18" s="46"/>
      <c r="G18" s="46"/>
      <c r="H18" s="46"/>
      <c r="I18" s="46"/>
      <c r="J18" s="46"/>
      <c r="K18" s="46"/>
      <c r="L18" s="46"/>
      <c r="M18" s="46"/>
    </row>
    <row r="19" customFormat="false" ht="16.5" hidden="false" customHeight="true" outlineLevel="0" collapsed="false">
      <c r="B19" s="44" t="n">
        <v>6</v>
      </c>
      <c r="C19" s="45" t="s">
        <v>48</v>
      </c>
      <c r="D19" s="46" t="s">
        <v>76</v>
      </c>
      <c r="E19" s="46"/>
      <c r="F19" s="46"/>
      <c r="G19" s="46"/>
      <c r="H19" s="46"/>
      <c r="I19" s="46"/>
      <c r="J19" s="46"/>
      <c r="K19" s="46"/>
      <c r="L19" s="46"/>
      <c r="M19" s="46"/>
    </row>
    <row r="20" customFormat="false" ht="16.5" hidden="false" customHeight="true" outlineLevel="0" collapsed="false">
      <c r="B20" s="44"/>
      <c r="C20" s="15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2" customFormat="false" ht="21" hidden="false" customHeight="true" outlineLevel="0" collapsed="false">
      <c r="B22" s="11" t="s">
        <v>77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false" outlineLevel="0" collapsed="false">
      <c r="B23" s="47" t="s">
        <v>78</v>
      </c>
      <c r="C23" s="48" t="s">
        <v>79</v>
      </c>
      <c r="D23" s="48"/>
      <c r="E23" s="48"/>
      <c r="F23" s="48"/>
      <c r="G23" s="48"/>
      <c r="H23" s="48"/>
      <c r="I23" s="48"/>
      <c r="J23" s="48"/>
      <c r="K23" s="48"/>
      <c r="L23" s="48"/>
      <c r="M23" s="48"/>
    </row>
    <row r="24" customFormat="false" ht="15" hidden="false" customHeight="false" outlineLevel="0" collapsed="false">
      <c r="B24" s="47" t="s">
        <v>78</v>
      </c>
      <c r="C24" s="48" t="s">
        <v>80</v>
      </c>
      <c r="D24" s="48"/>
      <c r="E24" s="48"/>
      <c r="F24" s="48"/>
      <c r="G24" s="48"/>
      <c r="H24" s="48"/>
      <c r="I24" s="48"/>
      <c r="J24" s="48"/>
      <c r="K24" s="48"/>
      <c r="L24" s="48"/>
      <c r="M24" s="48"/>
    </row>
    <row r="25" customFormat="false" ht="15" hidden="false" customHeight="false" outlineLevel="0" collapsed="false">
      <c r="B25" s="47" t="s">
        <v>78</v>
      </c>
      <c r="C25" s="48" t="s">
        <v>81</v>
      </c>
      <c r="D25" s="48"/>
      <c r="E25" s="48"/>
      <c r="F25" s="48"/>
      <c r="G25" s="48"/>
      <c r="H25" s="48"/>
      <c r="I25" s="48"/>
      <c r="J25" s="48"/>
      <c r="K25" s="48"/>
      <c r="L25" s="48"/>
      <c r="M25" s="48"/>
    </row>
    <row r="26" customFormat="false" ht="15" hidden="false" customHeight="false" outlineLevel="0" collapsed="false">
      <c r="B26" s="47" t="s">
        <v>78</v>
      </c>
      <c r="C26" s="48" t="s">
        <v>82</v>
      </c>
      <c r="D26" s="48"/>
      <c r="E26" s="48"/>
      <c r="F26" s="48"/>
      <c r="G26" s="48"/>
      <c r="H26" s="48"/>
      <c r="I26" s="48"/>
      <c r="J26" s="48"/>
      <c r="K26" s="48"/>
      <c r="L26" s="48"/>
      <c r="M26" s="48"/>
    </row>
    <row r="27" customFormat="false" ht="15" hidden="false" customHeight="false" outlineLevel="0" collapsed="false">
      <c r="B27" s="47" t="s">
        <v>78</v>
      </c>
      <c r="C27" s="48" t="s">
        <v>83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30" customFormat="false" ht="18" hidden="false" customHeight="true" outlineLevel="0" collapsed="false">
      <c r="B30" s="41" t="s">
        <v>65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 t="s">
        <v>66</v>
      </c>
    </row>
  </sheetData>
  <mergeCells count="19">
    <mergeCell ref="H2:M2"/>
    <mergeCell ref="B3:G4"/>
    <mergeCell ref="B9:B10"/>
    <mergeCell ref="D9:M10"/>
    <mergeCell ref="B11:B12"/>
    <mergeCell ref="D11:M12"/>
    <mergeCell ref="B13:B14"/>
    <mergeCell ref="D13:M14"/>
    <mergeCell ref="B15:B16"/>
    <mergeCell ref="D15:M16"/>
    <mergeCell ref="B17:B18"/>
    <mergeCell ref="D17:M18"/>
    <mergeCell ref="B19:B20"/>
    <mergeCell ref="D19:M20"/>
    <mergeCell ref="C23:M23"/>
    <mergeCell ref="C24:M24"/>
    <mergeCell ref="C25:M25"/>
    <mergeCell ref="C26:M26"/>
    <mergeCell ref="C27:M27"/>
  </mergeCells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4A4F"/>
    <pageSetUpPr fitToPage="true"/>
  </sheetPr>
  <dimension ref="B1:M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11</v>
      </c>
      <c r="C3" s="4"/>
      <c r="D3" s="4"/>
      <c r="E3" s="4"/>
      <c r="F3" s="4"/>
      <c r="G3" s="4"/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6" t="str">
        <f aca="false">Objekt</f>
        <v>3-Zi.-ETW, 75 m²</v>
      </c>
      <c r="I4" s="7" t="n">
        <f aca="false">Kaufdatum</f>
        <v>46357</v>
      </c>
      <c r="J4" s="6" t="str">
        <f aca="false">Investor</f>
        <v>Privatperson</v>
      </c>
      <c r="K4" s="6" t="str">
        <f aca="false">Lage</f>
        <v>Weingarten</v>
      </c>
      <c r="L4" s="8" t="n">
        <f aca="false">Haltedauer</f>
        <v>12</v>
      </c>
      <c r="M4" s="7" t="n">
        <f aca="false">Stand</f>
        <v>46289</v>
      </c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9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7" customFormat="false" ht="7.5" hidden="false" customHeight="true" outlineLevel="0" collapsed="false"/>
    <row r="8" customFormat="false" ht="16.5" hidden="false" customHeight="true" outlineLevel="0" collapsed="false">
      <c r="B8" s="49" t="s">
        <v>22</v>
      </c>
      <c r="C8" s="49"/>
      <c r="D8" s="50" t="str">
        <f aca="false">IF(OR(F20="kritisch",F21="kritisch"),"Liquidität kritisch",IF(COUNTIF(F18:F23,"kritisch")&gt;0,"Rendite kritisch",IF(COUNTIF(F18:F23,"prüfen")&gt;0,"Mit Einschränkungen","Solide")))</f>
        <v>Liquidität kritisch</v>
      </c>
      <c r="E8" s="50"/>
      <c r="F8" s="51" t="str">
        <f aca="false">"Kapitaldienstdeckung "&amp;FIXED(DSCR_J1,2)&amp;IF(DSCR_J1&lt;Ziel_DSCR," statt mindestens "," bei Ziel ")&amp;FIXED(Ziel_DSCR,2)&amp;". Cashflow nach Steuern im Jahr 1: "&amp;FIXED(CF_Monat_J1,0)&amp;" € / Monat, im Jahr 2: "&amp;FIXED(CF_Monat_J2,0)&amp;" € / Monat. IRR nach Steuern "&amp;FIXED(IRR_nSt*100,1)&amp;" %."</f>
        <v>Kapitaldienstdeckung 0.61 statt mindestens 1.20. Cashflow nach Steuern im Jahr 1: 274 € / Monat, im Jahr 2: -252 € / Monat. IRR nach Steuern 5.1 %.</v>
      </c>
      <c r="G8" s="51"/>
      <c r="H8" s="51"/>
      <c r="I8" s="51"/>
      <c r="J8" s="51"/>
      <c r="K8" s="51"/>
      <c r="L8" s="51"/>
      <c r="M8" s="51"/>
    </row>
    <row r="9" customFormat="false" ht="16.5" hidden="false" customHeight="true" outlineLevel="0" collapsed="false">
      <c r="B9" s="49"/>
      <c r="C9" s="49"/>
      <c r="D9" s="50"/>
      <c r="E9" s="50"/>
      <c r="F9" s="51"/>
      <c r="G9" s="51"/>
      <c r="H9" s="51"/>
      <c r="I9" s="51"/>
      <c r="J9" s="51"/>
      <c r="K9" s="51"/>
      <c r="L9" s="51"/>
      <c r="M9" s="51"/>
    </row>
    <row r="10" customFormat="false" ht="16.5" hidden="false" customHeight="true" outlineLevel="0" collapsed="false"/>
    <row r="11" customFormat="false" ht="18" hidden="false" customHeight="true" outlineLevel="0" collapsed="false">
      <c r="B11" s="52" t="s">
        <v>26</v>
      </c>
      <c r="C11" s="52"/>
      <c r="D11" s="52" t="s">
        <v>29</v>
      </c>
      <c r="E11" s="52"/>
      <c r="F11" s="52" t="s">
        <v>23</v>
      </c>
      <c r="G11" s="52"/>
      <c r="H11" s="52" t="s">
        <v>84</v>
      </c>
      <c r="I11" s="52"/>
      <c r="J11" s="52" t="s">
        <v>25</v>
      </c>
      <c r="K11" s="52"/>
      <c r="L11" s="52" t="s">
        <v>27</v>
      </c>
      <c r="M11" s="52"/>
    </row>
    <row r="12" customFormat="false" ht="16.5" hidden="false" customHeight="true" outlineLevel="0" collapsed="false">
      <c r="B12" s="53" t="n">
        <f aca="false">Gesamtinvestition</f>
        <v>328974.5</v>
      </c>
      <c r="C12" s="53"/>
      <c r="D12" s="53" t="n">
        <f aca="false">Eigenkapital</f>
        <v>83974.5</v>
      </c>
      <c r="E12" s="53"/>
      <c r="F12" s="53" t="n">
        <f aca="false">CF_Monat_J1</f>
        <v>273.68542712</v>
      </c>
      <c r="G12" s="53"/>
      <c r="H12" s="54" t="n">
        <f aca="false">Brutto_Rendite</f>
        <v>0.04</v>
      </c>
      <c r="I12" s="54"/>
      <c r="J12" s="55" t="n">
        <f aca="false">DSCR_J1</f>
        <v>0.613533834586466</v>
      </c>
      <c r="K12" s="55"/>
      <c r="L12" s="54" t="n">
        <f aca="false">IRR_nSt</f>
        <v>0.0512168057115766</v>
      </c>
      <c r="M12" s="54"/>
    </row>
    <row r="13" customFormat="false" ht="16.5" hidden="false" customHeight="true" outlineLevel="0" collapsed="false">
      <c r="B13" s="53"/>
      <c r="C13" s="53"/>
      <c r="D13" s="53"/>
      <c r="E13" s="53"/>
      <c r="F13" s="53"/>
      <c r="G13" s="53"/>
      <c r="H13" s="54"/>
      <c r="I13" s="54"/>
      <c r="J13" s="55"/>
      <c r="K13" s="55"/>
      <c r="L13" s="54"/>
      <c r="M13" s="54"/>
    </row>
    <row r="14" customFormat="false" ht="15.75" hidden="false" customHeight="true" outlineLevel="0" collapsed="false">
      <c r="B14" s="56" t="str">
        <f aca="false">"Kaufpreis "&amp;FIXED(Kaufpreis,0)&amp;" €"</f>
        <v>Kaufpreis 285,000 €</v>
      </c>
      <c r="C14" s="56"/>
      <c r="D14" s="56" t="str">
        <f aca="false">"Quote "&amp;FIXED(EK_Quote*100,1)&amp;" % · LTV "&amp;FIXED(LTV*100,1)&amp;" %"</f>
        <v>Quote 25.5 % · LTV 82.5 %</v>
      </c>
      <c r="E14" s="56"/>
      <c r="F14" s="56" t="str">
        <f aca="false">"Jahr 2: "&amp;FIXED(CF_Monat_J2,0)&amp;" €"</f>
        <v>Jahr 2: -252 €</v>
      </c>
      <c r="G14" s="56"/>
      <c r="H14" s="56" t="str">
        <f aca="false">"Faktor "&amp;FIXED(Faktor,1)&amp;"× · netto "&amp;FIXED(Netto_Rendite*100,1)&amp;" %"</f>
        <v>Faktor 25.0× · netto 2.6 %</v>
      </c>
      <c r="I14" s="56"/>
      <c r="J14" s="56" t="str">
        <f aca="false">"Bankmaßstab ≥ "&amp;FIXED(Ziel_DSCR,2)</f>
        <v>Bankmaßstab ≥ 1.20</v>
      </c>
      <c r="K14" s="56"/>
      <c r="L14" s="56" t="str">
        <f aca="false">Haltedauer&amp;" Jahre · Multiple "&amp;FIXED(Multiple,1)&amp;"×"</f>
        <v>12 Jahre · Multiple 1.7×</v>
      </c>
      <c r="M14" s="56"/>
    </row>
    <row r="15" customFormat="false" ht="16.5" hidden="false" customHeight="true" outlineLevel="0" collapsed="false"/>
    <row r="16" customFormat="false" ht="21" hidden="false" customHeight="true" outlineLevel="0" collapsed="false">
      <c r="B16" s="11" t="s">
        <v>85</v>
      </c>
      <c r="C16" s="12"/>
      <c r="D16" s="12"/>
      <c r="E16" s="12"/>
      <c r="F16" s="12"/>
      <c r="G16" s="23" t="s">
        <v>86</v>
      </c>
      <c r="I16" s="11" t="s">
        <v>87</v>
      </c>
      <c r="J16" s="12"/>
      <c r="K16" s="12"/>
      <c r="L16" s="12"/>
      <c r="M16" s="23" t="s">
        <v>88</v>
      </c>
    </row>
    <row r="17" customFormat="false" ht="16.5" hidden="false" customHeight="true" outlineLevel="0" collapsed="false">
      <c r="B17" s="24" t="s">
        <v>89</v>
      </c>
      <c r="C17" s="24"/>
      <c r="D17" s="57" t="s">
        <v>90</v>
      </c>
      <c r="E17" s="57" t="s">
        <v>91</v>
      </c>
      <c r="F17" s="58" t="s">
        <v>92</v>
      </c>
      <c r="G17" s="58" t="s">
        <v>93</v>
      </c>
    </row>
    <row r="18" customFormat="false" ht="16.5" hidden="false" customHeight="true" outlineLevel="0" collapsed="false">
      <c r="B18" s="59" t="s">
        <v>84</v>
      </c>
      <c r="C18" s="59"/>
      <c r="D18" s="20" t="n">
        <f aca="false">Brutto_Rendite</f>
        <v>0.04</v>
      </c>
      <c r="E18" s="60" t="n">
        <f aca="false">Ziel_Brutto</f>
        <v>0.05</v>
      </c>
      <c r="F18" s="61" t="str">
        <f aca="false">IF(D18&gt;=E18,"erfüllt",IF(AND(E18&gt;0,D18&gt;=E18*Schwelle_Pruefen),"prüfen","kritisch"))</f>
        <v>prüfen</v>
      </c>
      <c r="G18" s="62" t="str">
        <f aca="false">REPT("█",ROUND(8*MIN(IF(E18&gt;0,MAX(0,D18/E18),IF(D18&gt;=E18,1.25,0)),1.25),0))</f>
        <v>██████</v>
      </c>
    </row>
    <row r="19" customFormat="false" ht="16.5" hidden="false" customHeight="true" outlineLevel="0" collapsed="false">
      <c r="B19" s="59" t="s">
        <v>94</v>
      </c>
      <c r="C19" s="59"/>
      <c r="D19" s="20" t="n">
        <f aca="false">Netto_Rendite</f>
        <v>0.0260445718437143</v>
      </c>
      <c r="E19" s="60" t="n">
        <f aca="false">Ziel_Netto</f>
        <v>0.03</v>
      </c>
      <c r="F19" s="61" t="str">
        <f aca="false">IF(D19&gt;=E19,"erfüllt",IF(AND(E19&gt;0,D19&gt;=E19*Schwelle_Pruefen),"prüfen","kritisch"))</f>
        <v>prüfen</v>
      </c>
      <c r="G19" s="62" t="str">
        <f aca="false">REPT("█",ROUND(8*MIN(IF(E19&gt;0,MAX(0,D19/E19),IF(D19&gt;=E19,1.25,0)),1.25),0))</f>
        <v>███████</v>
      </c>
    </row>
    <row r="20" customFormat="false" ht="16.5" hidden="false" customHeight="true" outlineLevel="0" collapsed="false">
      <c r="B20" s="59" t="s">
        <v>25</v>
      </c>
      <c r="C20" s="59"/>
      <c r="D20" s="19" t="n">
        <f aca="false">DSCR_J1</f>
        <v>0.613533834586466</v>
      </c>
      <c r="E20" s="63" t="n">
        <f aca="false">Ziel_DSCR</f>
        <v>1.2</v>
      </c>
      <c r="F20" s="61" t="str">
        <f aca="false">IF(D20&gt;=E20,"erfüllt",IF(AND(E20&gt;0,D20&gt;=E20*Schwelle_Pruefen),"prüfen","kritisch"))</f>
        <v>kritisch</v>
      </c>
      <c r="G20" s="62" t="str">
        <f aca="false">REPT("█",ROUND(8*MIN(IF(E20&gt;0,MAX(0,D20/E20),IF(D20&gt;=E20,1.25,0)),1.25),0))</f>
        <v>████</v>
      </c>
    </row>
    <row r="21" customFormat="false" ht="16.5" hidden="false" customHeight="true" outlineLevel="0" collapsed="false">
      <c r="B21" s="59" t="s">
        <v>23</v>
      </c>
      <c r="C21" s="59"/>
      <c r="D21" s="64" t="n">
        <f aca="false">CF_Monat_J1</f>
        <v>273.68542712</v>
      </c>
      <c r="E21" s="65" t="n">
        <f aca="false">Ziel_CF</f>
        <v>0</v>
      </c>
      <c r="F21" s="61" t="str">
        <f aca="false">IF(D21&gt;=E21,"erfüllt",IF(AND(E21&gt;0,D21&gt;=E21*Schwelle_Pruefen),"prüfen","kritisch"))</f>
        <v>erfüllt</v>
      </c>
      <c r="G21" s="62" t="str">
        <f aca="false">REPT("█",ROUND(8*MIN(IF(E21&gt;0,MAX(0,D21/E21),IF(D21&gt;=E21,1.25,0)),1.25),0))</f>
        <v>██████████</v>
      </c>
    </row>
    <row r="22" customFormat="false" ht="16.5" hidden="false" customHeight="true" outlineLevel="0" collapsed="false">
      <c r="B22" s="59" t="s">
        <v>95</v>
      </c>
      <c r="C22" s="59"/>
      <c r="D22" s="20" t="n">
        <f aca="false">EK_Rendite_J1</f>
        <v>0.168196596888817</v>
      </c>
      <c r="E22" s="60" t="n">
        <f aca="false">Ziel_EKR</f>
        <v>0.1</v>
      </c>
      <c r="F22" s="61" t="str">
        <f aca="false">IF(D22&gt;=E22,"erfüllt",IF(AND(E22&gt;0,D22&gt;=E22*Schwelle_Pruefen),"prüfen","kritisch"))</f>
        <v>erfüllt</v>
      </c>
      <c r="G22" s="62" t="str">
        <f aca="false">REPT("█",ROUND(8*MIN(IF(E22&gt;0,MAX(0,D22/E22),IF(D22&gt;=E22,1.25,0)),1.25),0))</f>
        <v>██████████</v>
      </c>
    </row>
    <row r="23" customFormat="false" ht="16.5" hidden="false" customHeight="true" outlineLevel="0" collapsed="false">
      <c r="B23" s="59" t="s">
        <v>27</v>
      </c>
      <c r="C23" s="59"/>
      <c r="D23" s="20" t="n">
        <f aca="false">IRR_nSt</f>
        <v>0.0512168057115766</v>
      </c>
      <c r="E23" s="60" t="n">
        <f aca="false">Ziel_IRR</f>
        <v>0.06</v>
      </c>
      <c r="F23" s="61" t="str">
        <f aca="false">IF(D23&gt;=E23,"erfüllt",IF(AND(E23&gt;0,D23&gt;=E23*Schwelle_Pruefen),"prüfen","kritisch"))</f>
        <v>prüfen</v>
      </c>
      <c r="G23" s="62" t="str">
        <f aca="false">REPT("█",ROUND(8*MIN(IF(E23&gt;0,MAX(0,D23/E23),IF(D23&gt;=E23,1.25,0)),1.25),0))</f>
        <v>███████</v>
      </c>
    </row>
    <row r="24" customFormat="false" ht="16.5" hidden="false" customHeight="true" outlineLevel="0" collapsed="false">
      <c r="B24" s="66" t="s">
        <v>96</v>
      </c>
    </row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21" hidden="false" customHeight="true" outlineLevel="0" collapsed="false">
      <c r="B27" s="11" t="s">
        <v>97</v>
      </c>
      <c r="C27" s="12"/>
      <c r="D27" s="12"/>
      <c r="E27" s="12"/>
      <c r="F27" s="12"/>
      <c r="G27" s="23" t="s">
        <v>98</v>
      </c>
      <c r="I27" s="11" t="s">
        <v>70</v>
      </c>
      <c r="J27" s="12"/>
      <c r="K27" s="12"/>
      <c r="L27" s="12"/>
      <c r="M27" s="23" t="str">
        <f aca="false">COUNTIF(I28:I37,"●*")&amp;" Warnung(en)"</f>
        <v>2 Warnung(en)</v>
      </c>
    </row>
    <row r="28" customFormat="false" ht="16.5" hidden="false" customHeight="true" outlineLevel="0" collapsed="false">
      <c r="I28" s="67" t="str">
        <f aca="false">IF(DSCR_J1&lt;Ziel_DSCR,"● DSCR im Jahr 1 nur "&amp;FIXED(DSCR_J1,2)&amp;" – Banken erwarten meist 1,10 bis 1,20.","○ DSCR im Jahr 1 "&amp;FIXED(DSCR_J1,2)&amp;" – Bankmaßstab erfüllt.")</f>
        <v>● DSCR im Jahr 1 nur 0.61 – Banken erwarten meist 1,10 bis 1,20.</v>
      </c>
      <c r="J28" s="67"/>
      <c r="K28" s="67"/>
      <c r="L28" s="67"/>
      <c r="M28" s="67"/>
    </row>
    <row r="29" customFormat="false" ht="16.5" hidden="false" customHeight="true" outlineLevel="0" collapsed="false">
      <c r="I29" s="67"/>
      <c r="J29" s="67"/>
      <c r="K29" s="67"/>
      <c r="L29" s="67"/>
      <c r="M29" s="67"/>
    </row>
    <row r="30" customFormat="false" ht="16.5" hidden="false" customHeight="true" outlineLevel="0" collapsed="false">
      <c r="I30" s="67" t="str">
        <f aca="false">IF(Zinsbindung&lt;Haltedauer,"● ","○ ")&amp;"Zinsbindung endet nach "&amp;Zinsbindung&amp;" Jahren, Restschuld "&amp;FIXED(Restschuld_ZB,0)&amp;" € – Anschlusszins "&amp;FIXED(Anschlusszins*100,2)&amp;" % angenommen."</f>
        <v>● Zinsbindung endet nach 10 Jahren, Restschuld 186,982 € – Anschlusszins 4.50 % angenommen.</v>
      </c>
      <c r="J30" s="67"/>
      <c r="K30" s="67"/>
      <c r="L30" s="67"/>
      <c r="M30" s="67"/>
    </row>
    <row r="31" customFormat="false" ht="16.5" hidden="false" customHeight="true" outlineLevel="0" collapsed="false">
      <c r="I31" s="67"/>
      <c r="J31" s="67"/>
      <c r="K31" s="67"/>
      <c r="L31" s="67"/>
      <c r="M31" s="67"/>
    </row>
    <row r="32" customFormat="false" ht="16.5" hidden="false" customHeight="true" outlineLevel="0" collapsed="false">
      <c r="I32" s="67" t="str">
        <f aca="false">"○ Steuerliches Ergebnis Jahr 1 "&amp;FIXED(Steuern!I23,0)&amp;" € – "&amp;IF(Steuern!I23&lt;0,"Verrechnung mit anderen Einkünften.","zu versteuern.")</f>
        <v>○ Steuerliches Ergebnis Jahr 1 -19,592 € – Verrechnung mit anderen Einkünften.</v>
      </c>
      <c r="J32" s="67"/>
      <c r="K32" s="67"/>
      <c r="L32" s="67"/>
      <c r="M32" s="67"/>
    </row>
    <row r="33" customFormat="false" ht="16.5" hidden="false" customHeight="true" outlineLevel="0" collapsed="false">
      <c r="I33" s="67"/>
      <c r="J33" s="67"/>
      <c r="K33" s="67"/>
      <c r="L33" s="67"/>
      <c r="M33" s="67"/>
    </row>
    <row r="34" customFormat="false" ht="16.5" hidden="false" customHeight="true" outlineLevel="0" collapsed="false">
      <c r="I34" s="67" t="str">
        <f aca="false">IF(Regel15_ok=1,"○ Renovierung "&amp;FIXED(Renovierung,0)&amp;" € unter der 15-%-Grenze ("&amp;FIXED(Grenze15,0)&amp;" €) – sofort abziehbar.","● Renovierung über der 15-%-Grenze ("&amp;FIXED(Grenze15,0)&amp;" €) – nur über die AfA absetzbar.")</f>
        <v>○ Renovierung 14,250 € unter der 15-%-Grenze (36,753 €) – sofort abziehbar.</v>
      </c>
      <c r="J34" s="67"/>
      <c r="K34" s="67"/>
      <c r="L34" s="67"/>
      <c r="M34" s="67"/>
    </row>
    <row r="35" customFormat="false" ht="16.5" hidden="false" customHeight="true" outlineLevel="0" collapsed="false">
      <c r="I35" s="67"/>
      <c r="J35" s="67"/>
      <c r="K35" s="67"/>
      <c r="L35" s="67"/>
      <c r="M35" s="67"/>
    </row>
    <row r="36" customFormat="false" ht="16.5" hidden="false" customHeight="true" outlineLevel="0" collapsed="false">
      <c r="I36" s="67" t="str">
        <f aca="false">IF(Haltedauer&lt;=10,"● Verkauf innerhalb von 10 Jahren – Veräußerungsgewinn steuerpflichtig (§ 23 EStG).","○ Bewegliche Gegenstände "&amp;FIXED(Inventar,0)&amp;" € – grunderwerbsteuerfrei, "&amp;ND_Inventar&amp;" Jahre AfA.")</f>
        <v>○ Bewegliche Gegenstände 8,000 € – grunderwerbsteuerfrei, 10 Jahre AfA.</v>
      </c>
      <c r="J36" s="67"/>
      <c r="K36" s="67"/>
      <c r="L36" s="67"/>
      <c r="M36" s="67"/>
    </row>
    <row r="37" customFormat="false" ht="16.5" hidden="false" customHeight="true" outlineLevel="0" collapsed="false">
      <c r="I37" s="67"/>
      <c r="J37" s="67"/>
      <c r="K37" s="67"/>
      <c r="L37" s="67"/>
      <c r="M37" s="67"/>
    </row>
    <row r="38" customFormat="false" ht="16.5" hidden="false" customHeight="true" outlineLevel="0" collapsed="false"/>
    <row r="39" customFormat="false" ht="21" hidden="false" customHeight="true" outlineLevel="0" collapsed="false">
      <c r="B39" s="11" t="s">
        <v>99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3" t="s">
        <v>100</v>
      </c>
    </row>
    <row r="40" customFormat="false" ht="16.5" hidden="false" customHeight="true" outlineLevel="0" collapsed="false">
      <c r="B40" s="68" t="s">
        <v>101</v>
      </c>
      <c r="C40" s="68"/>
      <c r="D40" s="68"/>
      <c r="E40" s="69" t="n">
        <v>1</v>
      </c>
      <c r="F40" s="69" t="n">
        <v>2</v>
      </c>
      <c r="G40" s="69" t="n">
        <v>3</v>
      </c>
      <c r="H40" s="69" t="n">
        <v>5</v>
      </c>
      <c r="I40" s="69" t="n">
        <v>10</v>
      </c>
      <c r="J40" s="69" t="n">
        <v>15</v>
      </c>
      <c r="K40" s="69" t="n">
        <v>20</v>
      </c>
      <c r="L40" s="69" t="n">
        <v>25</v>
      </c>
      <c r="M40" s="69" t="n">
        <v>30</v>
      </c>
    </row>
    <row r="41" customFormat="false" ht="16.5" hidden="false" customHeight="true" outlineLevel="0" collapsed="false">
      <c r="B41" s="59" t="s">
        <v>102</v>
      </c>
      <c r="C41" s="59"/>
      <c r="D41" s="59"/>
      <c r="E41" s="70" t="n">
        <f aca="false">INDEX(Projektion!$E$11:$E$40,E$40)</f>
        <v>11058</v>
      </c>
      <c r="F41" s="70" t="n">
        <f aca="false">INDEX(Projektion!$E$11:$E$40,F$40)</f>
        <v>11279.16</v>
      </c>
      <c r="G41" s="70" t="n">
        <f aca="false">INDEX(Projektion!$E$11:$E$40,G$40)</f>
        <v>11504.7432</v>
      </c>
      <c r="H41" s="70" t="n">
        <f aca="false">INDEX(Projektion!$E$11:$E$40,H$40)</f>
        <v>11969.53482528</v>
      </c>
      <c r="I41" s="70" t="n">
        <f aca="false">INDEX(Projektion!$E$11:$E$40,I$40)</f>
        <v>13215.3336238255</v>
      </c>
      <c r="J41" s="70" t="n">
        <f aca="false">INDEX(Projektion!$E$11:$E$40,J$40)</f>
        <v>14590.7961619492</v>
      </c>
      <c r="K41" s="70" t="n">
        <f aca="false">INDEX(Projektion!$E$11:$E$40,K$40)</f>
        <v>16109.4179458124</v>
      </c>
      <c r="L41" s="70" t="n">
        <f aca="false">INDEX(Projektion!$E$11:$E$40,L$40)</f>
        <v>17786.0991046971</v>
      </c>
      <c r="M41" s="70" t="n">
        <f aca="false">INDEX(Projektion!$E$11:$E$40,M$40)</f>
        <v>19637.2905853087</v>
      </c>
    </row>
    <row r="42" customFormat="false" ht="16.5" hidden="false" customHeight="true" outlineLevel="0" collapsed="false">
      <c r="B42" s="59" t="s">
        <v>103</v>
      </c>
      <c r="C42" s="59"/>
      <c r="D42" s="59"/>
      <c r="E42" s="70" t="n">
        <f aca="false">INDEX(Projektion!$F$11:$F$40,E$40)</f>
        <v>-2490</v>
      </c>
      <c r="F42" s="70" t="n">
        <f aca="false">INDEX(Projektion!$F$11:$F$40,F$40)</f>
        <v>-2539.8</v>
      </c>
      <c r="G42" s="70" t="n">
        <f aca="false">INDEX(Projektion!$F$11:$F$40,G$40)</f>
        <v>-2590.596</v>
      </c>
      <c r="H42" s="70" t="n">
        <f aca="false">INDEX(Projektion!$F$11:$F$40,H$40)</f>
        <v>-2695.2560784</v>
      </c>
      <c r="I42" s="70" t="n">
        <f aca="false">INDEX(Projektion!$F$11:$F$40,I$40)</f>
        <v>-2975.78049586955</v>
      </c>
      <c r="J42" s="70" t="n">
        <f aca="false">INDEX(Projektion!$F$11:$F$40,J$40)</f>
        <v>-3285.50212002655</v>
      </c>
      <c r="K42" s="70" t="n">
        <f aca="false">INDEX(Projektion!$F$11:$F$40,K$40)</f>
        <v>-3627.45981959422</v>
      </c>
      <c r="L42" s="70" t="n">
        <f aca="false">INDEX(Projektion!$F$11:$F$40,L$40)</f>
        <v>-4005.00875119331</v>
      </c>
      <c r="M42" s="70" t="n">
        <f aca="false">INDEX(Projektion!$F$11:$F$40,M$40)</f>
        <v>-4421.85327884054</v>
      </c>
    </row>
    <row r="43" customFormat="false" ht="16.5" hidden="false" customHeight="true" outlineLevel="0" collapsed="false">
      <c r="B43" s="59" t="s">
        <v>104</v>
      </c>
      <c r="C43" s="59"/>
      <c r="D43" s="59"/>
      <c r="E43" s="70" t="n">
        <f aca="false">INDEX(Projektion!$I$11:$I$40,E$40)</f>
        <v>-13965</v>
      </c>
      <c r="F43" s="70" t="n">
        <f aca="false">INDEX(Projektion!$I$11:$I$40,F$40)</f>
        <v>-13965</v>
      </c>
      <c r="G43" s="70" t="n">
        <f aca="false">INDEX(Projektion!$I$11:$I$40,G$40)</f>
        <v>-13965</v>
      </c>
      <c r="H43" s="70" t="n">
        <f aca="false">INDEX(Projektion!$I$11:$I$40,H$40)</f>
        <v>-13965</v>
      </c>
      <c r="I43" s="70" t="n">
        <f aca="false">INDEX(Projektion!$I$11:$I$40,I$40)</f>
        <v>-13965</v>
      </c>
      <c r="J43" s="70" t="n">
        <f aca="false">INDEX(Projektion!$I$11:$I$40,J$40)</f>
        <v>-13965</v>
      </c>
      <c r="K43" s="70" t="n">
        <f aca="false">INDEX(Projektion!$I$11:$I$40,K$40)</f>
        <v>-13965</v>
      </c>
      <c r="L43" s="70" t="n">
        <f aca="false">INDEX(Projektion!$I$11:$I$40,L$40)</f>
        <v>-13965</v>
      </c>
      <c r="M43" s="70" t="n">
        <f aca="false">INDEX(Projektion!$I$11:$I$40,M$40)</f>
        <v>-13965</v>
      </c>
    </row>
    <row r="44" customFormat="false" ht="16.5" hidden="false" customHeight="true" outlineLevel="0" collapsed="false">
      <c r="B44" s="71" t="s">
        <v>105</v>
      </c>
      <c r="C44" s="71"/>
      <c r="D44" s="71"/>
      <c r="E44" s="38" t="n">
        <f aca="false">INDEX(Projektion!$J$11:$J$40,E$40)</f>
        <v>-5397</v>
      </c>
      <c r="F44" s="38" t="n">
        <f aca="false">INDEX(Projektion!$J$11:$J$40,F$40)</f>
        <v>-5225.64</v>
      </c>
      <c r="G44" s="38" t="n">
        <f aca="false">INDEX(Projektion!$J$11:$J$40,G$40)</f>
        <v>-5050.8528</v>
      </c>
      <c r="H44" s="38" t="n">
        <f aca="false">INDEX(Projektion!$J$11:$J$40,H$40)</f>
        <v>-4690.72125312</v>
      </c>
      <c r="I44" s="38" t="n">
        <f aca="false">INDEX(Projektion!$J$11:$J$40,I$40)</f>
        <v>-3725.44687204404</v>
      </c>
      <c r="J44" s="38" t="n">
        <f aca="false">INDEX(Projektion!$J$11:$J$40,J$40)</f>
        <v>-2659.70595807731</v>
      </c>
      <c r="K44" s="38" t="n">
        <f aca="false">INDEX(Projektion!$J$11:$J$40,K$40)</f>
        <v>-1483.04187378182</v>
      </c>
      <c r="L44" s="38" t="n">
        <f aca="false">INDEX(Projektion!$J$11:$J$40,L$40)</f>
        <v>-183.909646496259</v>
      </c>
      <c r="M44" s="38" t="n">
        <f aca="false">INDEX(Projektion!$J$11:$J$40,M$40)</f>
        <v>1250.43730646818</v>
      </c>
    </row>
    <row r="45" customFormat="false" ht="16.5" hidden="false" customHeight="true" outlineLevel="0" collapsed="false">
      <c r="B45" s="59" t="s">
        <v>106</v>
      </c>
      <c r="C45" s="59"/>
      <c r="D45" s="59"/>
      <c r="E45" s="70" t="n">
        <f aca="false">INDEX(Projektion!$K$11:$K$40,E$40)</f>
        <v>8681.22512544</v>
      </c>
      <c r="F45" s="70" t="n">
        <f aca="false">INDEX(Projektion!$K$11:$K$40,F$40)</f>
        <v>2202.81067944</v>
      </c>
      <c r="G45" s="70" t="n">
        <f aca="false">INDEX(Projektion!$K$11:$K$40,G$40)</f>
        <v>2033.92076601</v>
      </c>
      <c r="H45" s="70" t="n">
        <f aca="false">INDEX(Projektion!$K$11:$K$40,H$40)</f>
        <v>1681.61063864317</v>
      </c>
      <c r="I45" s="70" t="n">
        <f aca="false">INDEX(Projektion!$K$11:$K$40,I$40)</f>
        <v>708.802518967322</v>
      </c>
      <c r="J45" s="70" t="n">
        <f aca="false">INDEX(Projektion!$K$11:$K$40,J$40)</f>
        <v>-109.359598813562</v>
      </c>
      <c r="K45" s="70" t="n">
        <f aca="false">INDEX(Projektion!$K$11:$K$40,K$40)</f>
        <v>-1407.5763975046</v>
      </c>
      <c r="L45" s="70" t="n">
        <f aca="false">INDEX(Projektion!$K$11:$K$40,L$40)</f>
        <v>-2943.51963099544</v>
      </c>
      <c r="M45" s="70" t="n">
        <f aca="false">INDEX(Projektion!$K$11:$K$40,M$40)</f>
        <v>-4767.19204460187</v>
      </c>
    </row>
    <row r="46" customFormat="false" ht="16.5" hidden="false" customHeight="true" outlineLevel="0" collapsed="false">
      <c r="B46" s="72" t="s">
        <v>107</v>
      </c>
      <c r="C46" s="72"/>
      <c r="D46" s="72"/>
      <c r="E46" s="40" t="n">
        <f aca="false">INDEX(Projektion!$L$11:$L$40,E$40)</f>
        <v>3284.22512544</v>
      </c>
      <c r="F46" s="40" t="n">
        <f aca="false">INDEX(Projektion!$L$11:$L$40,F$40)</f>
        <v>-3022.82932056</v>
      </c>
      <c r="G46" s="40" t="n">
        <f aca="false">INDEX(Projektion!$L$11:$L$40,G$40)</f>
        <v>-3016.93203399</v>
      </c>
      <c r="H46" s="40" t="n">
        <f aca="false">INDEX(Projektion!$L$11:$L$40,H$40)</f>
        <v>-3009.11061447683</v>
      </c>
      <c r="I46" s="40" t="n">
        <f aca="false">INDEX(Projektion!$L$11:$L$40,I$40)</f>
        <v>-3016.64435307671</v>
      </c>
      <c r="J46" s="40" t="n">
        <f aca="false">INDEX(Projektion!$L$11:$L$40,J$40)</f>
        <v>-2769.06555689087</v>
      </c>
      <c r="K46" s="40" t="n">
        <f aca="false">INDEX(Projektion!$L$11:$L$40,K$40)</f>
        <v>-2890.61827128642</v>
      </c>
      <c r="L46" s="40" t="n">
        <f aca="false">INDEX(Projektion!$L$11:$L$40,L$40)</f>
        <v>-3127.4292774917</v>
      </c>
      <c r="M46" s="40" t="n">
        <f aca="false">INDEX(Projektion!$L$11:$L$40,M$40)</f>
        <v>-3516.75473813368</v>
      </c>
    </row>
    <row r="47" customFormat="false" ht="16.5" hidden="false" customHeight="true" outlineLevel="0" collapsed="false">
      <c r="B47" s="59" t="s">
        <v>108</v>
      </c>
      <c r="C47" s="59"/>
      <c r="D47" s="59"/>
      <c r="E47" s="70" t="n">
        <f aca="false">INDEX(Projektion!$M$11:$M$40,E$40)</f>
        <v>3284.22512544</v>
      </c>
      <c r="F47" s="70" t="n">
        <f aca="false">INDEX(Projektion!$M$11:$M$40,F$40)</f>
        <v>261.395804880004</v>
      </c>
      <c r="G47" s="70" t="n">
        <f aca="false">INDEX(Projektion!$M$11:$M$40,G$40)</f>
        <v>-2755.53622911</v>
      </c>
      <c r="H47" s="70" t="n">
        <f aca="false">INDEX(Projektion!$M$11:$M$40,H$40)</f>
        <v>-8776.97985389029</v>
      </c>
      <c r="I47" s="70" t="n">
        <f aca="false">INDEX(Projektion!$M$11:$M$40,I$40)</f>
        <v>-23828.3183951059</v>
      </c>
      <c r="J47" s="70" t="n">
        <f aca="false">INDEX(Projektion!$M$11:$M$40,J$40)</f>
        <v>-37573.1802180585</v>
      </c>
      <c r="K47" s="70" t="n">
        <f aca="false">INDEX(Projektion!$M$11:$M$40,K$40)</f>
        <v>-51743.4325003319</v>
      </c>
      <c r="L47" s="70" t="n">
        <f aca="false">INDEX(Projektion!$M$11:$M$40,L$40)</f>
        <v>-66854.0624153029</v>
      </c>
      <c r="M47" s="70" t="n">
        <f aca="false">INDEX(Projektion!$M$11:$M$40,M$40)</f>
        <v>-83589.5382546661</v>
      </c>
    </row>
    <row r="48" customFormat="false" ht="16.5" hidden="false" customHeight="true" outlineLevel="0" collapsed="false">
      <c r="B48" s="59" t="s">
        <v>109</v>
      </c>
      <c r="C48" s="59"/>
      <c r="D48" s="59"/>
      <c r="E48" s="70" t="n">
        <f aca="false">INDEX(Projektion!$N$11:$N$40,E$40)</f>
        <v>5745.0224</v>
      </c>
      <c r="F48" s="70" t="n">
        <f aca="false">INDEX(Projektion!$N$11:$N$40,F$40)</f>
        <v>5745.0224</v>
      </c>
      <c r="G48" s="70" t="n">
        <f aca="false">INDEX(Projektion!$N$11:$N$40,G$40)</f>
        <v>5745.0224</v>
      </c>
      <c r="H48" s="70" t="n">
        <f aca="false">INDEX(Projektion!$N$11:$N$40,H$40)</f>
        <v>5745.0224</v>
      </c>
      <c r="I48" s="70" t="n">
        <f aca="false">INDEX(Projektion!$N$11:$N$40,I$40)</f>
        <v>5745.0224</v>
      </c>
      <c r="J48" s="70" t="n">
        <f aca="false">INDEX(Projektion!$N$11:$N$40,J$40)</f>
        <v>4900.4624</v>
      </c>
      <c r="K48" s="70" t="n">
        <f aca="false">INDEX(Projektion!$N$11:$N$40,K$40)</f>
        <v>4900.4624</v>
      </c>
      <c r="L48" s="70" t="n">
        <f aca="false">INDEX(Projektion!$N$11:$N$40,L$40)</f>
        <v>4900.4624</v>
      </c>
      <c r="M48" s="70" t="n">
        <f aca="false">INDEX(Projektion!$N$11:$N$40,M$40)</f>
        <v>4900.4624</v>
      </c>
    </row>
    <row r="49" customFormat="false" ht="16.5" hidden="false" customHeight="true" outlineLevel="0" collapsed="false">
      <c r="B49" s="59" t="s">
        <v>110</v>
      </c>
      <c r="C49" s="59"/>
      <c r="D49" s="59"/>
      <c r="E49" s="70" t="n">
        <f aca="false">INDEX(Projektion!$O$11:$O$40,E$40)</f>
        <v>302940</v>
      </c>
      <c r="F49" s="70" t="n">
        <f aca="false">INDEX(Projektion!$O$11:$O$40,F$40)</f>
        <v>308998.8</v>
      </c>
      <c r="G49" s="70" t="n">
        <f aca="false">INDEX(Projektion!$O$11:$O$40,G$40)</f>
        <v>315178.776</v>
      </c>
      <c r="H49" s="70" t="n">
        <f aca="false">INDEX(Projektion!$O$11:$O$40,H$40)</f>
        <v>327911.9985504</v>
      </c>
      <c r="I49" s="70" t="n">
        <f aca="false">INDEX(Projektion!$O$11:$O$40,I$40)</f>
        <v>362041.342738443</v>
      </c>
      <c r="J49" s="70" t="n">
        <f aca="false">INDEX(Projektion!$O$11:$O$40,J$40)</f>
        <v>399722.896482267</v>
      </c>
      <c r="K49" s="70" t="n">
        <f aca="false">INDEX(Projektion!$O$11:$O$40,K$40)</f>
        <v>441326.376605571</v>
      </c>
      <c r="L49" s="70" t="n">
        <f aca="false">INDEX(Projektion!$O$11:$O$40,L$40)</f>
        <v>487259.980356025</v>
      </c>
      <c r="M49" s="70" t="n">
        <f aca="false">INDEX(Projektion!$O$11:$O$40,M$40)</f>
        <v>537974.390478696</v>
      </c>
    </row>
    <row r="50" customFormat="false" ht="16.5" hidden="false" customHeight="true" outlineLevel="0" collapsed="false">
      <c r="B50" s="59" t="s">
        <v>111</v>
      </c>
      <c r="C50" s="59"/>
      <c r="D50" s="59"/>
      <c r="E50" s="70" t="n">
        <f aca="false">INDEX(Projektion!$P$11:$P$40,E$40)</f>
        <v>240100</v>
      </c>
      <c r="F50" s="70" t="n">
        <f aca="false">INDEX(Projektion!$P$11:$P$40,F$40)</f>
        <v>235018.7</v>
      </c>
      <c r="G50" s="70" t="n">
        <f aca="false">INDEX(Projektion!$P$11:$P$40,G$40)</f>
        <v>229749.3919</v>
      </c>
      <c r="H50" s="70" t="n">
        <f aca="false">INDEX(Projektion!$P$11:$P$40,H$40)</f>
        <v>218618.668818111</v>
      </c>
      <c r="I50" s="70" t="n">
        <f aca="false">INDEX(Projektion!$P$11:$P$40,I$40)</f>
        <v>186982.018964313</v>
      </c>
      <c r="J50" s="70" t="n">
        <f aca="false">INDEX(Projektion!$P$11:$P$40,J$40)</f>
        <v>156615.153380888</v>
      </c>
      <c r="K50" s="70" t="n">
        <f aca="false">INDEX(Projektion!$P$11:$P$40,K$40)</f>
        <v>118772.513987683</v>
      </c>
      <c r="L50" s="70" t="n">
        <f aca="false">INDEX(Projektion!$P$11:$P$40,L$40)</f>
        <v>71613.7003027508</v>
      </c>
      <c r="M50" s="70" t="n">
        <f aca="false">INDEX(Projektion!$P$11:$P$40,M$40)</f>
        <v>12845.2384874391</v>
      </c>
    </row>
    <row r="51" customFormat="false" ht="16.5" hidden="false" customHeight="true" outlineLevel="0" collapsed="false">
      <c r="B51" s="71" t="s">
        <v>112</v>
      </c>
      <c r="C51" s="71"/>
      <c r="D51" s="71"/>
      <c r="E51" s="38" t="n">
        <f aca="false">INDEX(Projektion!$Q$11:$Q$40,E$40)</f>
        <v>62840</v>
      </c>
      <c r="F51" s="38" t="n">
        <f aca="false">INDEX(Projektion!$Q$11:$Q$40,F$40)</f>
        <v>73980.1</v>
      </c>
      <c r="G51" s="38" t="n">
        <f aca="false">INDEX(Projektion!$Q$11:$Q$40,G$40)</f>
        <v>85429.3841000001</v>
      </c>
      <c r="H51" s="38" t="n">
        <f aca="false">INDEX(Projektion!$Q$11:$Q$40,H$40)</f>
        <v>109293.329732289</v>
      </c>
      <c r="I51" s="38" t="n">
        <f aca="false">INDEX(Projektion!$Q$11:$Q$40,I$40)</f>
        <v>175059.32377413</v>
      </c>
      <c r="J51" s="38" t="n">
        <f aca="false">INDEX(Projektion!$Q$11:$Q$40,J$40)</f>
        <v>243107.743101379</v>
      </c>
      <c r="K51" s="38" t="n">
        <f aca="false">INDEX(Projektion!$Q$11:$Q$40,K$40)</f>
        <v>322553.862617888</v>
      </c>
      <c r="L51" s="38" t="n">
        <f aca="false">INDEX(Projektion!$Q$11:$Q$40,L$40)</f>
        <v>415646.280053274</v>
      </c>
      <c r="M51" s="38" t="n">
        <f aca="false">INDEX(Projektion!$Q$11:$Q$40,M$40)</f>
        <v>525129.151991257</v>
      </c>
    </row>
    <row r="52" customFormat="false" ht="16.5" hidden="false" customHeight="true" outlineLevel="0" collapsed="false">
      <c r="B52" s="66" t="s">
        <v>113</v>
      </c>
    </row>
    <row r="53" customFormat="false" ht="16.5" hidden="false" customHeight="true" outlineLevel="0" collapsed="false"/>
    <row r="54" customFormat="false" ht="18" hidden="false" customHeight="true" outlineLevel="0" collapsed="false">
      <c r="B54" s="41" t="s">
        <v>65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3" t="s">
        <v>66</v>
      </c>
    </row>
    <row r="55" customFormat="false" ht="16.5" hidden="false" customHeight="true" outlineLevel="0" collapsed="false"/>
  </sheetData>
  <mergeCells count="47">
    <mergeCell ref="H2:M2"/>
    <mergeCell ref="B3:G4"/>
    <mergeCell ref="B8:C9"/>
    <mergeCell ref="D8:E9"/>
    <mergeCell ref="F8:M9"/>
    <mergeCell ref="B11:C11"/>
    <mergeCell ref="D11:E11"/>
    <mergeCell ref="F11:G11"/>
    <mergeCell ref="H11:I11"/>
    <mergeCell ref="J11:K11"/>
    <mergeCell ref="L11:M11"/>
    <mergeCell ref="B12:C13"/>
    <mergeCell ref="D12:E13"/>
    <mergeCell ref="F12:G13"/>
    <mergeCell ref="H12:I13"/>
    <mergeCell ref="J12:K13"/>
    <mergeCell ref="L12:M13"/>
    <mergeCell ref="B14:C14"/>
    <mergeCell ref="D14:E14"/>
    <mergeCell ref="F14:G14"/>
    <mergeCell ref="H14:I14"/>
    <mergeCell ref="J14:K14"/>
    <mergeCell ref="L14:M14"/>
    <mergeCell ref="B17:C17"/>
    <mergeCell ref="B18:C18"/>
    <mergeCell ref="B19:C19"/>
    <mergeCell ref="B20:C20"/>
    <mergeCell ref="B21:C21"/>
    <mergeCell ref="B22:C22"/>
    <mergeCell ref="B23:C23"/>
    <mergeCell ref="I28:M29"/>
    <mergeCell ref="I30:M31"/>
    <mergeCell ref="I32:M33"/>
    <mergeCell ref="I34:M35"/>
    <mergeCell ref="I36:M3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</mergeCells>
  <conditionalFormatting sqref="B8:M9">
    <cfRule type="expression" priority="2" aboveAverage="0" equalAverage="0" bottom="0" percent="0" rank="0" text="" dxfId="3">
      <formula>ISNUMBER(SEARCH("kritisch",$D$8))</formula>
    </cfRule>
    <cfRule type="expression" priority="3" aboveAverage="0" equalAverage="0" bottom="0" percent="0" rank="0" text="" dxfId="4">
      <formula>ISNUMBER(SEARCH("Einschränkungen",$D$8))</formula>
    </cfRule>
    <cfRule type="expression" priority="4" aboveAverage="0" equalAverage="0" bottom="0" percent="0" rank="0" text="" dxfId="5">
      <formula>ISNUMBER(SEARCH("Solide",$D$8))</formula>
    </cfRule>
  </conditionalFormatting>
  <conditionalFormatting sqref="B8:E9">
    <cfRule type="expression" priority="5" aboveAverage="0" equalAverage="0" bottom="0" percent="0" rank="0" text="" dxfId="0">
      <formula>ISNUMBER(SEARCH("kritisch",$D$8))</formula>
    </cfRule>
    <cfRule type="expression" priority="6" aboveAverage="0" equalAverage="0" bottom="0" percent="0" rank="0" text="" dxfId="1">
      <formula>ISNUMBER(SEARCH("Einschränkungen",$D$8))</formula>
    </cfRule>
    <cfRule type="expression" priority="7" aboveAverage="0" equalAverage="0" bottom="0" percent="0" rank="0" text="" dxfId="2">
      <formula>ISNUMBER(SEARCH("Solide",$D$8))</formula>
    </cfRule>
  </conditionalFormatting>
  <conditionalFormatting sqref="J12">
    <cfRule type="expression" priority="8" aboveAverage="0" equalAverage="0" bottom="0" percent="0" rank="0" text="" dxfId="0">
      <formula>DSCR_J1&lt;Ziel_DSCR</formula>
    </cfRule>
  </conditionalFormatting>
  <conditionalFormatting sqref="F12">
    <cfRule type="expression" priority="9" aboveAverage="0" equalAverage="0" bottom="0" percent="0" rank="0" text="" dxfId="0">
      <formula>CF_Monat_J1&lt;Ziel_CF</formula>
    </cfRule>
  </conditionalFormatting>
  <conditionalFormatting sqref="L12">
    <cfRule type="expression" priority="10" aboveAverage="0" equalAverage="0" bottom="0" percent="0" rank="0" text="" dxfId="0">
      <formula>IRR_nSt&lt;Ziel_IRR*Schwelle_Pruefen</formula>
    </cfRule>
  </conditionalFormatting>
  <conditionalFormatting sqref="F18:G18">
    <cfRule type="expression" priority="11" aboveAverage="0" equalAverage="0" bottom="0" percent="0" rank="0" text="" dxfId="2">
      <formula>$F18="erfüllt"</formula>
    </cfRule>
    <cfRule type="expression" priority="12" aboveAverage="0" equalAverage="0" bottom="0" percent="0" rank="0" text="" dxfId="1">
      <formula>$F18="prüfen"</formula>
    </cfRule>
    <cfRule type="expression" priority="13" aboveAverage="0" equalAverage="0" bottom="0" percent="0" rank="0" text="" dxfId="0">
      <formula>$F18="kritisch"</formula>
    </cfRule>
  </conditionalFormatting>
  <conditionalFormatting sqref="F19:G19">
    <cfRule type="expression" priority="14" aboveAverage="0" equalAverage="0" bottom="0" percent="0" rank="0" text="" dxfId="2">
      <formula>$F19="erfüllt"</formula>
    </cfRule>
    <cfRule type="expression" priority="15" aboveAverage="0" equalAverage="0" bottom="0" percent="0" rank="0" text="" dxfId="1">
      <formula>$F19="prüfen"</formula>
    </cfRule>
    <cfRule type="expression" priority="16" aboveAverage="0" equalAverage="0" bottom="0" percent="0" rank="0" text="" dxfId="0">
      <formula>$F19="kritisch"</formula>
    </cfRule>
  </conditionalFormatting>
  <conditionalFormatting sqref="F20:G20">
    <cfRule type="expression" priority="17" aboveAverage="0" equalAverage="0" bottom="0" percent="0" rank="0" text="" dxfId="2">
      <formula>$F20="erfüllt"</formula>
    </cfRule>
    <cfRule type="expression" priority="18" aboveAverage="0" equalAverage="0" bottom="0" percent="0" rank="0" text="" dxfId="1">
      <formula>$F20="prüfen"</formula>
    </cfRule>
    <cfRule type="expression" priority="19" aboveAverage="0" equalAverage="0" bottom="0" percent="0" rank="0" text="" dxfId="0">
      <formula>$F20="kritisch"</formula>
    </cfRule>
  </conditionalFormatting>
  <conditionalFormatting sqref="F21:G21">
    <cfRule type="expression" priority="20" aboveAverage="0" equalAverage="0" bottom="0" percent="0" rank="0" text="" dxfId="2">
      <formula>$F21="erfüllt"</formula>
    </cfRule>
    <cfRule type="expression" priority="21" aboveAverage="0" equalAverage="0" bottom="0" percent="0" rank="0" text="" dxfId="1">
      <formula>$F21="prüfen"</formula>
    </cfRule>
    <cfRule type="expression" priority="22" aboveAverage="0" equalAverage="0" bottom="0" percent="0" rank="0" text="" dxfId="0">
      <formula>$F21="kritisch"</formula>
    </cfRule>
  </conditionalFormatting>
  <conditionalFormatting sqref="F22:G22">
    <cfRule type="expression" priority="23" aboveAverage="0" equalAverage="0" bottom="0" percent="0" rank="0" text="" dxfId="2">
      <formula>$F22="erfüllt"</formula>
    </cfRule>
    <cfRule type="expression" priority="24" aboveAverage="0" equalAverage="0" bottom="0" percent="0" rank="0" text="" dxfId="1">
      <formula>$F22="prüfen"</formula>
    </cfRule>
    <cfRule type="expression" priority="25" aboveAverage="0" equalAverage="0" bottom="0" percent="0" rank="0" text="" dxfId="0">
      <formula>$F22="kritisch"</formula>
    </cfRule>
  </conditionalFormatting>
  <conditionalFormatting sqref="F23:G23">
    <cfRule type="expression" priority="26" aboveAverage="0" equalAverage="0" bottom="0" percent="0" rank="0" text="" dxfId="2">
      <formula>$F23="erfüllt"</formula>
    </cfRule>
    <cfRule type="expression" priority="27" aboveAverage="0" equalAverage="0" bottom="0" percent="0" rank="0" text="" dxfId="1">
      <formula>$F23="prüfen"</formula>
    </cfRule>
    <cfRule type="expression" priority="28" aboveAverage="0" equalAverage="0" bottom="0" percent="0" rank="0" text="" dxfId="0">
      <formula>$F23="kritisch"</formula>
    </cfRule>
  </conditionalFormatting>
  <conditionalFormatting sqref="I28">
    <cfRule type="expression" priority="29" aboveAverage="0" equalAverage="0" bottom="0" percent="0" rank="0" text="" dxfId="6">
      <formula>LEFT(I28,1)="●"</formula>
    </cfRule>
  </conditionalFormatting>
  <conditionalFormatting sqref="I30">
    <cfRule type="expression" priority="30" aboveAverage="0" equalAverage="0" bottom="0" percent="0" rank="0" text="" dxfId="6">
      <formula>LEFT(I30,1)="●"</formula>
    </cfRule>
  </conditionalFormatting>
  <conditionalFormatting sqref="I32">
    <cfRule type="expression" priority="31" aboveAverage="0" equalAverage="0" bottom="0" percent="0" rank="0" text="" dxfId="6">
      <formula>LEFT(I32,1)="●"</formula>
    </cfRule>
  </conditionalFormatting>
  <conditionalFormatting sqref="I34">
    <cfRule type="expression" priority="32" aboveAverage="0" equalAverage="0" bottom="0" percent="0" rank="0" text="" dxfId="6">
      <formula>LEFT(I34,1)="●"</formula>
    </cfRule>
  </conditionalFormatting>
  <conditionalFormatting sqref="I36">
    <cfRule type="expression" priority="33" aboveAverage="0" equalAverage="0" bottom="0" percent="0" rank="0" text="" dxfId="6">
      <formula>LEFT(I36,1)="●"</formula>
    </cfRule>
  </conditionalFormatting>
  <conditionalFormatting sqref="E44:M44">
    <cfRule type="cellIs" priority="34" operator="lessThan" aboveAverage="0" equalAverage="0" bottom="0" percent="0" rank="0" text="" dxfId="0">
      <formula>0</formula>
    </cfRule>
  </conditionalFormatting>
  <conditionalFormatting sqref="E46:M46">
    <cfRule type="cellIs" priority="35" operator="lessThan" aboveAverage="0" equalAverage="0" bottom="0" percent="0" rank="0" text="" dxfId="0">
      <formula>0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  <hyperlink ref="B24" location="'Konfiguration'!A1" display="Balken: 8 Blöcke = Zielwert erreicht · Ziele und Ampelschwellen: Blatt 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B0"/>
    <pageSetUpPr fitToPage="true"/>
  </sheetPr>
  <dimension ref="B1:M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12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9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19.5" hidden="false" customHeight="true" outlineLevel="0" collapsed="false">
      <c r="B8" s="33" t="s">
        <v>40</v>
      </c>
      <c r="C8" s="73" t="s">
        <v>114</v>
      </c>
      <c r="D8" s="73"/>
      <c r="E8" s="73"/>
      <c r="F8" s="73"/>
      <c r="G8" s="73"/>
      <c r="H8" s="73"/>
      <c r="I8" s="73"/>
      <c r="J8" s="73"/>
      <c r="K8" s="73"/>
      <c r="L8" s="73"/>
      <c r="M8" s="73"/>
    </row>
    <row r="10" customFormat="false" ht="15" hidden="false" customHeight="true" outlineLevel="0" collapsed="false">
      <c r="B10" s="24" t="s">
        <v>115</v>
      </c>
      <c r="C10" s="24"/>
      <c r="D10" s="24"/>
      <c r="E10" s="57" t="s">
        <v>116</v>
      </c>
      <c r="F10" s="58" t="s">
        <v>117</v>
      </c>
      <c r="G10" s="24" t="s">
        <v>118</v>
      </c>
      <c r="H10" s="24"/>
      <c r="I10" s="24"/>
      <c r="J10" s="24"/>
      <c r="K10" s="24"/>
      <c r="L10" s="24"/>
      <c r="M10" s="24"/>
    </row>
    <row r="12" customFormat="false" ht="21" hidden="false" customHeight="true" outlineLevel="0" collapsed="false">
      <c r="B12" s="11" t="s">
        <v>119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B13" s="59" t="s">
        <v>120</v>
      </c>
      <c r="C13" s="59"/>
      <c r="D13" s="59"/>
      <c r="E13" s="74" t="s">
        <v>121</v>
      </c>
      <c r="F13" s="75"/>
      <c r="G13" s="75" t="s">
        <v>122</v>
      </c>
      <c r="H13" s="75"/>
      <c r="I13" s="75"/>
      <c r="J13" s="75"/>
      <c r="K13" s="75"/>
      <c r="L13" s="75"/>
      <c r="M13" s="75"/>
    </row>
    <row r="14" customFormat="false" ht="15" hidden="false" customHeight="false" outlineLevel="0" collapsed="false">
      <c r="B14" s="59" t="s">
        <v>6</v>
      </c>
      <c r="C14" s="59"/>
      <c r="D14" s="59"/>
      <c r="E14" s="74" t="s">
        <v>123</v>
      </c>
      <c r="F14" s="75"/>
      <c r="G14" s="75"/>
      <c r="H14" s="75"/>
      <c r="I14" s="75"/>
      <c r="J14" s="75"/>
      <c r="K14" s="75"/>
      <c r="L14" s="75"/>
      <c r="M14" s="75"/>
    </row>
    <row r="15" customFormat="false" ht="15" hidden="false" customHeight="false" outlineLevel="0" collapsed="false">
      <c r="B15" s="59" t="s">
        <v>5</v>
      </c>
      <c r="C15" s="59"/>
      <c r="D15" s="59"/>
      <c r="E15" s="74" t="s">
        <v>124</v>
      </c>
      <c r="F15" s="75"/>
      <c r="G15" s="75" t="s">
        <v>125</v>
      </c>
      <c r="H15" s="75"/>
      <c r="I15" s="75"/>
      <c r="J15" s="75"/>
      <c r="K15" s="75"/>
      <c r="L15" s="75"/>
      <c r="M15" s="75"/>
    </row>
    <row r="16" customFormat="false" ht="15" hidden="false" customHeight="false" outlineLevel="0" collapsed="false">
      <c r="B16" s="59" t="s">
        <v>126</v>
      </c>
      <c r="C16" s="59"/>
      <c r="D16" s="59"/>
      <c r="E16" s="76" t="n">
        <v>75</v>
      </c>
      <c r="F16" s="75" t="s">
        <v>127</v>
      </c>
      <c r="G16" s="75" t="s">
        <v>128</v>
      </c>
      <c r="H16" s="75"/>
      <c r="I16" s="75"/>
      <c r="J16" s="75"/>
      <c r="K16" s="75"/>
      <c r="L16" s="75"/>
      <c r="M16" s="75"/>
    </row>
    <row r="17" customFormat="false" ht="15" hidden="false" customHeight="false" outlineLevel="0" collapsed="false">
      <c r="B17" s="59" t="s">
        <v>129</v>
      </c>
      <c r="C17" s="59"/>
      <c r="D17" s="59"/>
      <c r="E17" s="77" t="n">
        <v>46357</v>
      </c>
      <c r="F17" s="75" t="s">
        <v>130</v>
      </c>
      <c r="G17" s="75" t="s">
        <v>131</v>
      </c>
      <c r="H17" s="75"/>
      <c r="I17" s="75"/>
      <c r="J17" s="75"/>
      <c r="K17" s="75"/>
      <c r="L17" s="75"/>
      <c r="M17" s="75"/>
    </row>
    <row r="18" customFormat="false" ht="15" hidden="false" customHeight="false" outlineLevel="0" collapsed="false">
      <c r="B18" s="59" t="s">
        <v>132</v>
      </c>
      <c r="C18" s="59"/>
      <c r="D18" s="59"/>
      <c r="E18" s="77" t="n">
        <v>46289</v>
      </c>
      <c r="F18" s="75" t="s">
        <v>130</v>
      </c>
      <c r="G18" s="75"/>
      <c r="H18" s="75"/>
      <c r="I18" s="75"/>
      <c r="J18" s="75"/>
      <c r="K18" s="75"/>
      <c r="L18" s="75"/>
      <c r="M18" s="75"/>
    </row>
    <row r="19" customFormat="false" ht="15" hidden="false" customHeight="false" outlineLevel="0" collapsed="false">
      <c r="B19" s="59" t="s">
        <v>133</v>
      </c>
      <c r="C19" s="59"/>
      <c r="D19" s="59"/>
      <c r="E19" s="78" t="n">
        <v>12</v>
      </c>
      <c r="F19" s="75" t="s">
        <v>134</v>
      </c>
      <c r="G19" s="75" t="s">
        <v>135</v>
      </c>
      <c r="H19" s="75"/>
      <c r="I19" s="75"/>
      <c r="J19" s="75"/>
      <c r="K19" s="75"/>
      <c r="L19" s="75"/>
      <c r="M19" s="75"/>
    </row>
    <row r="21" customFormat="false" ht="21" hidden="false" customHeight="true" outlineLevel="0" collapsed="false">
      <c r="B21" s="11" t="s">
        <v>136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customFormat="false" ht="15" hidden="false" customHeight="false" outlineLevel="0" collapsed="false">
      <c r="B22" s="59" t="s">
        <v>24</v>
      </c>
      <c r="C22" s="59"/>
      <c r="D22" s="59"/>
      <c r="E22" s="79" t="n">
        <v>285000</v>
      </c>
      <c r="F22" s="75" t="s">
        <v>137</v>
      </c>
      <c r="G22" s="75" t="s">
        <v>138</v>
      </c>
      <c r="H22" s="75"/>
      <c r="I22" s="75"/>
      <c r="J22" s="75"/>
      <c r="K22" s="75"/>
      <c r="L22" s="75"/>
      <c r="M22" s="75"/>
    </row>
    <row r="23" customFormat="false" ht="15" hidden="false" customHeight="false" outlineLevel="0" collapsed="false">
      <c r="B23" s="59" t="s">
        <v>139</v>
      </c>
      <c r="C23" s="59"/>
      <c r="D23" s="59"/>
      <c r="E23" s="79" t="n">
        <v>8000</v>
      </c>
      <c r="F23" s="75" t="s">
        <v>137</v>
      </c>
      <c r="G23" s="75" t="s">
        <v>140</v>
      </c>
      <c r="H23" s="75"/>
      <c r="I23" s="75"/>
      <c r="J23" s="75"/>
      <c r="K23" s="75"/>
      <c r="L23" s="75"/>
      <c r="M23" s="75"/>
    </row>
    <row r="24" customFormat="false" ht="15" hidden="false" customHeight="false" outlineLevel="0" collapsed="false">
      <c r="B24" s="59" t="s">
        <v>141</v>
      </c>
      <c r="C24" s="59"/>
      <c r="D24" s="59"/>
      <c r="E24" s="80" t="n">
        <v>0.05</v>
      </c>
      <c r="F24" s="75" t="s">
        <v>142</v>
      </c>
      <c r="G24" s="75" t="s">
        <v>143</v>
      </c>
      <c r="H24" s="75"/>
      <c r="I24" s="75"/>
      <c r="J24" s="75"/>
      <c r="K24" s="75"/>
      <c r="L24" s="75"/>
      <c r="M24" s="75"/>
    </row>
    <row r="25" customFormat="false" ht="15" hidden="false" customHeight="false" outlineLevel="0" collapsed="false">
      <c r="B25" s="59" t="s">
        <v>144</v>
      </c>
      <c r="C25" s="59"/>
      <c r="D25" s="59"/>
      <c r="E25" s="80" t="n">
        <v>0.015</v>
      </c>
      <c r="F25" s="75" t="s">
        <v>142</v>
      </c>
      <c r="G25" s="75" t="s">
        <v>145</v>
      </c>
      <c r="H25" s="75"/>
      <c r="I25" s="75"/>
      <c r="J25" s="75"/>
      <c r="K25" s="75"/>
      <c r="L25" s="75"/>
      <c r="M25" s="75"/>
    </row>
    <row r="26" customFormat="false" ht="15" hidden="false" customHeight="false" outlineLevel="0" collapsed="false">
      <c r="B26" s="59" t="s">
        <v>146</v>
      </c>
      <c r="C26" s="59"/>
      <c r="D26" s="59"/>
      <c r="E26" s="80" t="n">
        <v>0.005</v>
      </c>
      <c r="F26" s="75" t="s">
        <v>142</v>
      </c>
      <c r="G26" s="75" t="s">
        <v>147</v>
      </c>
      <c r="H26" s="75"/>
      <c r="I26" s="75"/>
      <c r="J26" s="75"/>
      <c r="K26" s="75"/>
      <c r="L26" s="75"/>
      <c r="M26" s="75"/>
    </row>
    <row r="27" customFormat="false" ht="15" hidden="false" customHeight="false" outlineLevel="0" collapsed="false">
      <c r="B27" s="59" t="s">
        <v>148</v>
      </c>
      <c r="C27" s="59"/>
      <c r="D27" s="59"/>
      <c r="E27" s="80" t="n">
        <v>0.0357</v>
      </c>
      <c r="F27" s="75" t="s">
        <v>142</v>
      </c>
      <c r="G27" s="75" t="s">
        <v>149</v>
      </c>
      <c r="H27" s="75"/>
      <c r="I27" s="75"/>
      <c r="J27" s="75"/>
      <c r="K27" s="75"/>
      <c r="L27" s="75"/>
      <c r="M27" s="75"/>
    </row>
    <row r="28" customFormat="false" ht="15" hidden="false" customHeight="false" outlineLevel="0" collapsed="false">
      <c r="B28" s="59" t="s">
        <v>150</v>
      </c>
      <c r="C28" s="59"/>
      <c r="D28" s="59"/>
      <c r="E28" s="79" t="n">
        <v>14250</v>
      </c>
      <c r="F28" s="75" t="s">
        <v>137</v>
      </c>
      <c r="G28" s="75" t="s">
        <v>151</v>
      </c>
      <c r="H28" s="75"/>
      <c r="I28" s="75"/>
      <c r="J28" s="75"/>
      <c r="K28" s="75"/>
      <c r="L28" s="75"/>
      <c r="M28" s="75"/>
    </row>
    <row r="29" customFormat="false" ht="15" hidden="false" customHeight="false" outlineLevel="0" collapsed="false">
      <c r="B29" s="59" t="s">
        <v>152</v>
      </c>
      <c r="C29" s="59"/>
      <c r="D29" s="59"/>
      <c r="E29" s="78" t="n">
        <v>1</v>
      </c>
      <c r="F29" s="75" t="s">
        <v>134</v>
      </c>
      <c r="G29" s="75" t="s">
        <v>153</v>
      </c>
      <c r="H29" s="75"/>
      <c r="I29" s="75"/>
      <c r="J29" s="75"/>
      <c r="K29" s="75"/>
      <c r="L29" s="75"/>
      <c r="M29" s="75"/>
    </row>
    <row r="31" customFormat="false" ht="21" hidden="false" customHeight="true" outlineLevel="0" collapsed="false">
      <c r="B31" s="11" t="s">
        <v>14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customFormat="false" ht="15" hidden="false" customHeight="false" outlineLevel="0" collapsed="false">
      <c r="B32" s="59" t="s">
        <v>154</v>
      </c>
      <c r="C32" s="59"/>
      <c r="D32" s="59"/>
      <c r="E32" s="79" t="n">
        <v>245000</v>
      </c>
      <c r="F32" s="75" t="s">
        <v>137</v>
      </c>
      <c r="G32" s="75" t="s">
        <v>155</v>
      </c>
      <c r="H32" s="75"/>
      <c r="I32" s="75"/>
      <c r="J32" s="75"/>
      <c r="K32" s="75"/>
      <c r="L32" s="75"/>
      <c r="M32" s="75"/>
    </row>
    <row r="33" customFormat="false" ht="15" hidden="false" customHeight="false" outlineLevel="0" collapsed="false">
      <c r="B33" s="59" t="s">
        <v>156</v>
      </c>
      <c r="C33" s="59"/>
      <c r="D33" s="59"/>
      <c r="E33" s="80" t="n">
        <v>0.037</v>
      </c>
      <c r="F33" s="75" t="s">
        <v>142</v>
      </c>
      <c r="G33" s="75" t="s">
        <v>157</v>
      </c>
      <c r="H33" s="75"/>
      <c r="I33" s="75"/>
      <c r="J33" s="75"/>
      <c r="K33" s="75"/>
      <c r="L33" s="75"/>
      <c r="M33" s="75"/>
    </row>
    <row r="34" customFormat="false" ht="15" hidden="false" customHeight="false" outlineLevel="0" collapsed="false">
      <c r="B34" s="59" t="s">
        <v>158</v>
      </c>
      <c r="C34" s="59"/>
      <c r="D34" s="59"/>
      <c r="E34" s="80" t="n">
        <v>0.02</v>
      </c>
      <c r="F34" s="75" t="s">
        <v>142</v>
      </c>
      <c r="G34" s="75"/>
      <c r="H34" s="75"/>
      <c r="I34" s="75"/>
      <c r="J34" s="75"/>
      <c r="K34" s="75"/>
      <c r="L34" s="75"/>
      <c r="M34" s="75"/>
    </row>
    <row r="35" customFormat="false" ht="15" hidden="false" customHeight="false" outlineLevel="0" collapsed="false">
      <c r="B35" s="59" t="s">
        <v>159</v>
      </c>
      <c r="C35" s="59"/>
      <c r="D35" s="59"/>
      <c r="E35" s="78" t="n">
        <v>10</v>
      </c>
      <c r="F35" s="75" t="s">
        <v>134</v>
      </c>
      <c r="G35" s="75"/>
      <c r="H35" s="75"/>
      <c r="I35" s="75"/>
      <c r="J35" s="75"/>
      <c r="K35" s="75"/>
      <c r="L35" s="75"/>
      <c r="M35" s="75"/>
    </row>
    <row r="36" customFormat="false" ht="15" hidden="false" customHeight="false" outlineLevel="0" collapsed="false">
      <c r="B36" s="59" t="s">
        <v>160</v>
      </c>
      <c r="C36" s="59"/>
      <c r="D36" s="59"/>
      <c r="E36" s="80" t="n">
        <v>0.045</v>
      </c>
      <c r="F36" s="75" t="s">
        <v>142</v>
      </c>
      <c r="G36" s="75" t="s">
        <v>161</v>
      </c>
      <c r="H36" s="75"/>
      <c r="I36" s="75"/>
      <c r="J36" s="75"/>
      <c r="K36" s="75"/>
      <c r="L36" s="75"/>
      <c r="M36" s="75"/>
    </row>
    <row r="38" customFormat="false" ht="21" hidden="false" customHeight="true" outlineLevel="0" collapsed="false">
      <c r="B38" s="11" t="s">
        <v>162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customFormat="false" ht="15" hidden="false" customHeight="false" outlineLevel="0" collapsed="false">
      <c r="B39" s="59" t="s">
        <v>163</v>
      </c>
      <c r="C39" s="59"/>
      <c r="D39" s="59"/>
      <c r="E39" s="79" t="n">
        <v>950</v>
      </c>
      <c r="F39" s="75" t="s">
        <v>164</v>
      </c>
      <c r="G39" s="75" t="s">
        <v>165</v>
      </c>
      <c r="H39" s="75"/>
      <c r="I39" s="75"/>
      <c r="J39" s="75"/>
      <c r="K39" s="75"/>
      <c r="L39" s="75"/>
      <c r="M39" s="75"/>
    </row>
    <row r="40" customFormat="false" ht="15" hidden="false" customHeight="false" outlineLevel="0" collapsed="false">
      <c r="B40" s="59" t="s">
        <v>166</v>
      </c>
      <c r="C40" s="59"/>
      <c r="D40" s="59"/>
      <c r="E40" s="81" t="n">
        <v>0.03</v>
      </c>
      <c r="F40" s="75" t="s">
        <v>142</v>
      </c>
      <c r="G40" s="75" t="s">
        <v>167</v>
      </c>
      <c r="H40" s="75"/>
      <c r="I40" s="75"/>
      <c r="J40" s="75"/>
      <c r="K40" s="75"/>
      <c r="L40" s="75"/>
      <c r="M40" s="75"/>
    </row>
    <row r="41" customFormat="false" ht="15" hidden="false" customHeight="false" outlineLevel="0" collapsed="false">
      <c r="B41" s="59" t="s">
        <v>168</v>
      </c>
      <c r="C41" s="59"/>
      <c r="D41" s="59"/>
      <c r="E41" s="81" t="n">
        <v>0.02</v>
      </c>
      <c r="F41" s="75" t="s">
        <v>142</v>
      </c>
      <c r="G41" s="75"/>
      <c r="H41" s="75"/>
      <c r="I41" s="75"/>
      <c r="J41" s="75"/>
      <c r="K41" s="75"/>
      <c r="L41" s="75"/>
      <c r="M41" s="75"/>
    </row>
    <row r="42" customFormat="false" ht="15" hidden="false" customHeight="false" outlineLevel="0" collapsed="false">
      <c r="B42" s="59" t="s">
        <v>169</v>
      </c>
      <c r="C42" s="59"/>
      <c r="D42" s="59"/>
      <c r="E42" s="79" t="n">
        <v>1290</v>
      </c>
      <c r="F42" s="75" t="s">
        <v>170</v>
      </c>
      <c r="G42" s="75" t="s">
        <v>171</v>
      </c>
      <c r="H42" s="75"/>
      <c r="I42" s="75"/>
      <c r="J42" s="75"/>
      <c r="K42" s="75"/>
      <c r="L42" s="75"/>
      <c r="M42" s="75"/>
    </row>
    <row r="43" customFormat="false" ht="15" hidden="false" customHeight="false" outlineLevel="0" collapsed="false">
      <c r="B43" s="59" t="s">
        <v>172</v>
      </c>
      <c r="C43" s="59"/>
      <c r="D43" s="59"/>
      <c r="E43" s="79" t="n">
        <v>900</v>
      </c>
      <c r="F43" s="75" t="s">
        <v>170</v>
      </c>
      <c r="G43" s="75" t="s">
        <v>173</v>
      </c>
      <c r="H43" s="75"/>
      <c r="I43" s="75"/>
      <c r="J43" s="75"/>
      <c r="K43" s="75"/>
      <c r="L43" s="75"/>
      <c r="M43" s="75"/>
    </row>
    <row r="44" customFormat="false" ht="15" hidden="false" customHeight="false" outlineLevel="0" collapsed="false">
      <c r="B44" s="59" t="s">
        <v>174</v>
      </c>
      <c r="C44" s="59"/>
      <c r="D44" s="59"/>
      <c r="E44" s="79" t="n">
        <v>300</v>
      </c>
      <c r="F44" s="75" t="s">
        <v>170</v>
      </c>
      <c r="G44" s="75" t="s">
        <v>175</v>
      </c>
      <c r="H44" s="75"/>
      <c r="I44" s="75"/>
      <c r="J44" s="75"/>
      <c r="K44" s="75"/>
      <c r="L44" s="75"/>
      <c r="M44" s="75"/>
    </row>
    <row r="45" customFormat="false" ht="15" hidden="false" customHeight="false" outlineLevel="0" collapsed="false">
      <c r="B45" s="59" t="s">
        <v>176</v>
      </c>
      <c r="C45" s="59"/>
      <c r="D45" s="59"/>
      <c r="E45" s="81" t="n">
        <v>0.02</v>
      </c>
      <c r="F45" s="75" t="s">
        <v>142</v>
      </c>
      <c r="G45" s="75"/>
      <c r="H45" s="75"/>
      <c r="I45" s="75"/>
      <c r="J45" s="75"/>
      <c r="K45" s="75"/>
      <c r="L45" s="75"/>
      <c r="M45" s="75"/>
    </row>
    <row r="47" customFormat="false" ht="21" hidden="false" customHeight="true" outlineLevel="0" collapsed="false">
      <c r="B47" s="11" t="s">
        <v>177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customFormat="false" ht="15" hidden="false" customHeight="false" outlineLevel="0" collapsed="false">
      <c r="B48" s="59" t="s">
        <v>178</v>
      </c>
      <c r="C48" s="59"/>
      <c r="D48" s="59"/>
      <c r="E48" s="79" t="n">
        <v>297000</v>
      </c>
      <c r="F48" s="75" t="s">
        <v>137</v>
      </c>
      <c r="G48" s="75" t="s">
        <v>179</v>
      </c>
      <c r="H48" s="75"/>
      <c r="I48" s="75"/>
      <c r="J48" s="75"/>
      <c r="K48" s="75"/>
      <c r="L48" s="75"/>
      <c r="M48" s="75"/>
    </row>
    <row r="49" customFormat="false" ht="15" hidden="false" customHeight="false" outlineLevel="0" collapsed="false">
      <c r="B49" s="59" t="s">
        <v>180</v>
      </c>
      <c r="C49" s="59"/>
      <c r="D49" s="59"/>
      <c r="E49" s="81" t="n">
        <v>0.02</v>
      </c>
      <c r="F49" s="75" t="s">
        <v>142</v>
      </c>
      <c r="G49" s="75"/>
      <c r="H49" s="75"/>
      <c r="I49" s="75"/>
      <c r="J49" s="75"/>
      <c r="K49" s="75"/>
      <c r="L49" s="75"/>
      <c r="M49" s="75"/>
    </row>
    <row r="50" customFormat="false" ht="15" hidden="false" customHeight="false" outlineLevel="0" collapsed="false">
      <c r="B50" s="59" t="s">
        <v>181</v>
      </c>
      <c r="C50" s="59"/>
      <c r="D50" s="59"/>
      <c r="E50" s="81" t="n">
        <v>0.03</v>
      </c>
      <c r="F50" s="75" t="s">
        <v>142</v>
      </c>
      <c r="G50" s="75" t="s">
        <v>182</v>
      </c>
      <c r="H50" s="75"/>
      <c r="I50" s="75"/>
      <c r="J50" s="75"/>
      <c r="K50" s="75"/>
      <c r="L50" s="75"/>
      <c r="M50" s="75"/>
    </row>
    <row r="52" customFormat="false" ht="21" hidden="false" customHeight="true" outlineLevel="0" collapsed="false">
      <c r="B52" s="11" t="s">
        <v>15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customFormat="false" ht="15" hidden="false" customHeight="false" outlineLevel="0" collapsed="false">
      <c r="B53" s="59" t="s">
        <v>183</v>
      </c>
      <c r="C53" s="59"/>
      <c r="D53" s="59"/>
      <c r="E53" s="81" t="n">
        <v>0.8</v>
      </c>
      <c r="F53" s="75" t="s">
        <v>142</v>
      </c>
      <c r="G53" s="75" t="s">
        <v>184</v>
      </c>
      <c r="H53" s="75"/>
      <c r="I53" s="75"/>
      <c r="J53" s="75"/>
      <c r="K53" s="75"/>
      <c r="L53" s="75"/>
      <c r="M53" s="75"/>
    </row>
    <row r="54" customFormat="false" ht="15" hidden="false" customHeight="false" outlineLevel="0" collapsed="false">
      <c r="B54" s="59" t="s">
        <v>185</v>
      </c>
      <c r="C54" s="59"/>
      <c r="D54" s="59"/>
      <c r="E54" s="81" t="n">
        <v>0.02</v>
      </c>
      <c r="F54" s="75" t="s">
        <v>142</v>
      </c>
      <c r="G54" s="75" t="s">
        <v>186</v>
      </c>
      <c r="H54" s="75"/>
      <c r="I54" s="75"/>
      <c r="J54" s="75"/>
      <c r="K54" s="75"/>
      <c r="L54" s="75"/>
      <c r="M54" s="75"/>
    </row>
    <row r="55" customFormat="false" ht="15" hidden="false" customHeight="false" outlineLevel="0" collapsed="false">
      <c r="B55" s="59" t="s">
        <v>187</v>
      </c>
      <c r="C55" s="59"/>
      <c r="D55" s="59"/>
      <c r="E55" s="78" t="n">
        <v>10</v>
      </c>
      <c r="F55" s="75" t="s">
        <v>134</v>
      </c>
      <c r="G55" s="75" t="s">
        <v>188</v>
      </c>
      <c r="H55" s="75"/>
      <c r="I55" s="75"/>
      <c r="J55" s="75"/>
      <c r="K55" s="75"/>
      <c r="L55" s="75"/>
      <c r="M55" s="75"/>
    </row>
    <row r="56" customFormat="false" ht="15" hidden="false" customHeight="false" outlineLevel="0" collapsed="false">
      <c r="B56" s="59" t="s">
        <v>189</v>
      </c>
      <c r="C56" s="59"/>
      <c r="D56" s="59"/>
      <c r="E56" s="81" t="n">
        <v>0.42</v>
      </c>
      <c r="F56" s="75" t="s">
        <v>142</v>
      </c>
      <c r="G56" s="75" t="s">
        <v>190</v>
      </c>
      <c r="H56" s="75"/>
      <c r="I56" s="75"/>
      <c r="J56" s="75"/>
      <c r="K56" s="75"/>
      <c r="L56" s="75"/>
      <c r="M56" s="75"/>
    </row>
    <row r="57" customFormat="false" ht="15" hidden="false" customHeight="false" outlineLevel="0" collapsed="false">
      <c r="B57" s="59" t="s">
        <v>191</v>
      </c>
      <c r="C57" s="59"/>
      <c r="D57" s="59"/>
      <c r="E57" s="81" t="n">
        <v>0.055</v>
      </c>
      <c r="F57" s="75" t="s">
        <v>142</v>
      </c>
      <c r="G57" s="75" t="s">
        <v>192</v>
      </c>
      <c r="H57" s="75"/>
      <c r="I57" s="75"/>
      <c r="J57" s="75"/>
      <c r="K57" s="75"/>
      <c r="L57" s="75"/>
      <c r="M57" s="75"/>
    </row>
    <row r="58" customFormat="false" ht="15" hidden="false" customHeight="false" outlineLevel="0" collapsed="false">
      <c r="B58" s="59" t="s">
        <v>193</v>
      </c>
      <c r="C58" s="59"/>
      <c r="D58" s="59"/>
      <c r="E58" s="81" t="n">
        <v>0</v>
      </c>
      <c r="F58" s="75" t="s">
        <v>142</v>
      </c>
      <c r="G58" s="75" t="s">
        <v>194</v>
      </c>
      <c r="H58" s="75"/>
      <c r="I58" s="75"/>
      <c r="J58" s="75"/>
      <c r="K58" s="75"/>
      <c r="L58" s="75"/>
      <c r="M58" s="75"/>
    </row>
    <row r="60" customFormat="false" ht="21" hidden="false" customHeight="true" outlineLevel="0" collapsed="false">
      <c r="B60" s="11" t="s">
        <v>195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false" outlineLevel="0" collapsed="false">
      <c r="B61" s="59" t="s">
        <v>196</v>
      </c>
      <c r="C61" s="59"/>
      <c r="D61" s="59"/>
      <c r="E61" s="79" t="n">
        <v>5200</v>
      </c>
      <c r="F61" s="75" t="s">
        <v>164</v>
      </c>
      <c r="G61" s="75" t="s">
        <v>197</v>
      </c>
      <c r="H61" s="75"/>
      <c r="I61" s="75"/>
      <c r="J61" s="75"/>
      <c r="K61" s="75"/>
      <c r="L61" s="75"/>
      <c r="M61" s="75"/>
    </row>
    <row r="62" customFormat="false" ht="15" hidden="false" customHeight="false" outlineLevel="0" collapsed="false">
      <c r="B62" s="59" t="s">
        <v>198</v>
      </c>
      <c r="C62" s="59"/>
      <c r="D62" s="59"/>
      <c r="E62" s="79" t="n">
        <v>1900</v>
      </c>
      <c r="F62" s="75" t="s">
        <v>164</v>
      </c>
      <c r="G62" s="75" t="s">
        <v>199</v>
      </c>
      <c r="H62" s="75"/>
      <c r="I62" s="75"/>
      <c r="J62" s="75"/>
      <c r="K62" s="75"/>
      <c r="L62" s="75"/>
      <c r="M62" s="75"/>
    </row>
    <row r="63" customFormat="false" ht="15" hidden="false" customHeight="false" outlineLevel="0" collapsed="false">
      <c r="B63" s="59" t="s">
        <v>200</v>
      </c>
      <c r="C63" s="59"/>
      <c r="D63" s="59"/>
      <c r="E63" s="79" t="n">
        <v>1100</v>
      </c>
      <c r="F63" s="75" t="s">
        <v>164</v>
      </c>
      <c r="G63" s="75" t="s">
        <v>199</v>
      </c>
      <c r="H63" s="75"/>
      <c r="I63" s="75"/>
      <c r="J63" s="75"/>
      <c r="K63" s="75"/>
      <c r="L63" s="75"/>
      <c r="M63" s="75"/>
    </row>
    <row r="64" customFormat="false" ht="15" hidden="false" customHeight="false" outlineLevel="0" collapsed="false">
      <c r="B64" s="59" t="s">
        <v>201</v>
      </c>
      <c r="C64" s="59"/>
      <c r="D64" s="59"/>
      <c r="E64" s="79" t="n">
        <v>0</v>
      </c>
      <c r="F64" s="75" t="s">
        <v>164</v>
      </c>
      <c r="G64" s="75" t="s">
        <v>199</v>
      </c>
      <c r="H64" s="75"/>
      <c r="I64" s="75"/>
      <c r="J64" s="75"/>
      <c r="K64" s="75"/>
      <c r="L64" s="75"/>
      <c r="M64" s="75"/>
    </row>
    <row r="65" customFormat="false" ht="15" hidden="false" customHeight="false" outlineLevel="0" collapsed="false">
      <c r="B65" s="59" t="s">
        <v>202</v>
      </c>
      <c r="C65" s="59"/>
      <c r="D65" s="59"/>
      <c r="E65" s="79" t="n">
        <v>25000</v>
      </c>
      <c r="F65" s="75" t="s">
        <v>137</v>
      </c>
      <c r="G65" s="75" t="s">
        <v>199</v>
      </c>
      <c r="H65" s="75"/>
      <c r="I65" s="75"/>
      <c r="J65" s="75"/>
      <c r="K65" s="75"/>
      <c r="L65" s="75"/>
      <c r="M65" s="75"/>
    </row>
    <row r="67" customFormat="false" ht="18" hidden="false" customHeight="true" outlineLevel="0" collapsed="false">
      <c r="B67" s="41" t="s">
        <v>65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3" t="s">
        <v>66</v>
      </c>
    </row>
  </sheetData>
  <mergeCells count="87">
    <mergeCell ref="H2:M2"/>
    <mergeCell ref="B3:G4"/>
    <mergeCell ref="C8:M8"/>
    <mergeCell ref="B10:D10"/>
    <mergeCell ref="G10:M10"/>
    <mergeCell ref="B13:D13"/>
    <mergeCell ref="G13:M13"/>
    <mergeCell ref="B14:D14"/>
    <mergeCell ref="G14:M14"/>
    <mergeCell ref="B15:D15"/>
    <mergeCell ref="G15:M15"/>
    <mergeCell ref="B16:D16"/>
    <mergeCell ref="G16:M16"/>
    <mergeCell ref="B17:D17"/>
    <mergeCell ref="G17:M17"/>
    <mergeCell ref="B18:D18"/>
    <mergeCell ref="G18:M18"/>
    <mergeCell ref="B19:D19"/>
    <mergeCell ref="G19:M19"/>
    <mergeCell ref="B22:D22"/>
    <mergeCell ref="G22:M22"/>
    <mergeCell ref="B23:D23"/>
    <mergeCell ref="G23:M23"/>
    <mergeCell ref="B24:D24"/>
    <mergeCell ref="G24:M24"/>
    <mergeCell ref="B25:D25"/>
    <mergeCell ref="G25:M25"/>
    <mergeCell ref="B26:D26"/>
    <mergeCell ref="G26:M26"/>
    <mergeCell ref="B27:D27"/>
    <mergeCell ref="G27:M27"/>
    <mergeCell ref="B28:D28"/>
    <mergeCell ref="G28:M28"/>
    <mergeCell ref="B29:D29"/>
    <mergeCell ref="G29:M29"/>
    <mergeCell ref="B32:D32"/>
    <mergeCell ref="G32:M32"/>
    <mergeCell ref="B33:D33"/>
    <mergeCell ref="G33:M33"/>
    <mergeCell ref="B34:D34"/>
    <mergeCell ref="G34:M34"/>
    <mergeCell ref="B35:D35"/>
    <mergeCell ref="G35:M35"/>
    <mergeCell ref="B36:D36"/>
    <mergeCell ref="G36:M36"/>
    <mergeCell ref="B39:D39"/>
    <mergeCell ref="G39:M39"/>
    <mergeCell ref="B40:D40"/>
    <mergeCell ref="G40:M40"/>
    <mergeCell ref="B41:D41"/>
    <mergeCell ref="G41:M41"/>
    <mergeCell ref="B42:D42"/>
    <mergeCell ref="G42:M42"/>
    <mergeCell ref="B43:D43"/>
    <mergeCell ref="G43:M43"/>
    <mergeCell ref="B44:D44"/>
    <mergeCell ref="G44:M44"/>
    <mergeCell ref="B45:D45"/>
    <mergeCell ref="G45:M45"/>
    <mergeCell ref="B48:D48"/>
    <mergeCell ref="G48:M48"/>
    <mergeCell ref="B49:D49"/>
    <mergeCell ref="G49:M49"/>
    <mergeCell ref="B50:D50"/>
    <mergeCell ref="G50:M50"/>
    <mergeCell ref="B53:D53"/>
    <mergeCell ref="G53:M53"/>
    <mergeCell ref="B54:D54"/>
    <mergeCell ref="G54:M54"/>
    <mergeCell ref="B55:D55"/>
    <mergeCell ref="G55:M55"/>
    <mergeCell ref="B56:D56"/>
    <mergeCell ref="G56:M56"/>
    <mergeCell ref="B57:D57"/>
    <mergeCell ref="G57:M57"/>
    <mergeCell ref="B58:D58"/>
    <mergeCell ref="G58:M58"/>
    <mergeCell ref="B61:D61"/>
    <mergeCell ref="G61:M61"/>
    <mergeCell ref="B62:D62"/>
    <mergeCell ref="G62:M62"/>
    <mergeCell ref="B63:D63"/>
    <mergeCell ref="G63:M63"/>
    <mergeCell ref="B64:D64"/>
    <mergeCell ref="G64:M64"/>
    <mergeCell ref="B65:D65"/>
    <mergeCell ref="G65:M65"/>
  </mergeCells>
  <dataValidations count="16">
    <dataValidation allowBlank="false" error="Bitte einen gültigen Wert eingeben." errorStyle="stop" errorTitle="Ungültige Eingabe" operator="between" showDropDown="false" showErrorMessage="true" showInputMessage="false" sqref="E16" type="decimal">
      <formula1>1</formula1>
      <formula2>10000</formula2>
    </dataValidation>
    <dataValidation allowBlank="false" error="Bitte einen gültigen Wert eingeben." errorStyle="stop" errorTitle="Ungültige Eingabe" operator="greaterThan" showDropDown="false" showErrorMessage="true" showInputMessage="false" sqref="E17:E18" type="date">
      <formula1>36526</formula1>
      <formula2>0</formula2>
    </dataValidation>
    <dataValidation allowBlank="false" error="Bitte einen gültigen Wert eingeben." errorStyle="stop" errorTitle="Ungültige Eingabe" operator="between" showDropDown="false" showErrorMessage="true" showInputMessage="false" sqref="E19 E35 E55" type="whole">
      <formula1>1</formula1>
      <formula2>30</formula2>
    </dataValidation>
    <dataValidation allowBlank="false" error="Bitte einen gültigen Wert eingeben." errorStyle="stop" errorTitle="Ungültige Eingabe" operator="between" showDropDown="false" showErrorMessage="true" showInputMessage="false" sqref="E22:E23 E28 E32 E48 E65" type="decimal">
      <formula1>0</formula1>
      <formula2>1000000000</formula2>
    </dataValidation>
    <dataValidation allowBlank="false" error="Bitte einen gültigen Wert eingeben." errorStyle="stop" errorTitle="Ungültige Eingabe" operator="between" showDropDown="false" showErrorMessage="true" showInputMessage="false" sqref="E24:E27" type="decimal">
      <formula1>0</formula1>
      <formula2>0.1</formula2>
    </dataValidation>
    <dataValidation allowBlank="false" error="Bitte einen gültigen Wert eingeben." errorStyle="stop" errorTitle="Ungültige Eingabe" operator="between" showDropDown="false" showErrorMessage="true" showInputMessage="false" sqref="E29" type="whole">
      <formula1>1</formula1>
      <formula2>5</formula2>
    </dataValidation>
    <dataValidation allowBlank="false" error="Bitte einen gültigen Wert eingeben." errorStyle="stop" errorTitle="Ungültige Eingabe" operator="between" showDropDown="false" showErrorMessage="true" showInputMessage="false" sqref="E33:E34 E36 E50" type="decimal">
      <formula1>0</formula1>
      <formula2>0.2</formula2>
    </dataValidation>
    <dataValidation allowBlank="false" error="Bitte einen gültigen Wert eingeben." errorStyle="stop" errorTitle="Ungültige Eingabe" operator="between" showDropDown="false" showErrorMessage="true" showInputMessage="false" sqref="E39 E42:E44 E61:E64" type="decimal">
      <formula1>0</formula1>
      <formula2>10000000</formula2>
    </dataValidation>
    <dataValidation allowBlank="false" error="Bitte einen gültigen Wert eingeben." errorStyle="stop" errorTitle="Ungültige Eingabe" operator="between" showDropDown="false" showErrorMessage="true" showInputMessage="false" sqref="E40 E53" type="decimal">
      <formula1>0</formula1>
      <formula2>1</formula2>
    </dataValidation>
    <dataValidation allowBlank="false" error="Bitte einen gültigen Wert eingeben." errorStyle="stop" errorTitle="Ungültige Eingabe" operator="between" showDropDown="false" showErrorMessage="true" showInputMessage="false" sqref="E41" type="decimal">
      <formula1>-0.1</formula1>
      <formula2>0.2</formula2>
    </dataValidation>
    <dataValidation allowBlank="false" error="Bitte einen gültigen Wert eingeben." errorStyle="stop" errorTitle="Ungültige Eingabe" operator="between" showDropDown="false" showErrorMessage="true" showInputMessage="false" sqref="E45" type="decimal">
      <formula1>-0.1</formula1>
      <formula2>0.2</formula2>
    </dataValidation>
    <dataValidation allowBlank="false" error="Bitte einen gültigen Wert eingeben." errorStyle="stop" errorTitle="Ungültige Eingabe" operator="between" showDropDown="false" showErrorMessage="true" showInputMessage="false" sqref="E49" type="decimal">
      <formula1>-0.1</formula1>
      <formula2>0.2</formula2>
    </dataValidation>
    <dataValidation allowBlank="false" error="Bitte einen gültigen Wert eingeben." errorStyle="stop" errorTitle="Ungültige Eingabe" operator="between" showDropDown="false" showErrorMessage="true" showInputMessage="false" sqref="E54" type="list">
      <formula1>Liste_AfA</formula1>
      <formula2>0</formula2>
    </dataValidation>
    <dataValidation allowBlank="false" error="Bitte einen gültigen Wert eingeben." errorStyle="stop" errorTitle="Ungültige Eingabe" operator="between" showDropDown="false" showErrorMessage="true" showInputMessage="false" sqref="E56" type="decimal">
      <formula1>0</formula1>
      <formula2>0.45</formula2>
    </dataValidation>
    <dataValidation allowBlank="false" error="Bitte einen gültigen Wert eingeben." errorStyle="stop" errorTitle="Ungültige Eingabe" operator="between" showDropDown="false" showErrorMessage="true" showInputMessage="false" sqref="E57" type="list">
      <formula1>Liste_Soli</formula1>
      <formula2>0</formula2>
    </dataValidation>
    <dataValidation allowBlank="false" error="Bitte einen gültigen Wert eingeben." errorStyle="stop" errorTitle="Ungültige Eingabe" operator="between" showDropDown="false" showErrorMessage="true" showInputMessage="false" sqref="E58" type="list">
      <formula1>Liste_KiSt</formula1>
      <formula2>0</formula2>
    </dataValidation>
  </dataValidations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C9E"/>
    <pageSetUpPr fitToPage="true"/>
  </sheetPr>
  <dimension ref="B1:T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2" min="2" style="0" width="12.9"/>
    <col collapsed="false" customWidth="true" hidden="false" outlineLevel="0" max="20" min="3" style="0" width="14.5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13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9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203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23" t="s">
        <v>204</v>
      </c>
    </row>
    <row r="9" customFormat="false" ht="30" hidden="false" customHeight="true" outlineLevel="0" collapsed="false">
      <c r="B9" s="82" t="s">
        <v>101</v>
      </c>
      <c r="C9" s="83" t="s">
        <v>163</v>
      </c>
      <c r="D9" s="83" t="s">
        <v>205</v>
      </c>
      <c r="E9" s="83" t="s">
        <v>102</v>
      </c>
      <c r="F9" s="83" t="s">
        <v>206</v>
      </c>
      <c r="G9" s="83" t="s">
        <v>207</v>
      </c>
      <c r="H9" s="83" t="s">
        <v>208</v>
      </c>
      <c r="I9" s="83" t="s">
        <v>104</v>
      </c>
      <c r="J9" s="83" t="s">
        <v>105</v>
      </c>
      <c r="K9" s="83" t="s">
        <v>106</v>
      </c>
      <c r="L9" s="83" t="s">
        <v>107</v>
      </c>
      <c r="M9" s="83" t="s">
        <v>209</v>
      </c>
      <c r="N9" s="83" t="s">
        <v>109</v>
      </c>
      <c r="O9" s="83" t="s">
        <v>110</v>
      </c>
      <c r="P9" s="83" t="s">
        <v>111</v>
      </c>
      <c r="Q9" s="83" t="s">
        <v>112</v>
      </c>
      <c r="R9" s="83" t="s">
        <v>210</v>
      </c>
      <c r="S9" s="83" t="s">
        <v>211</v>
      </c>
      <c r="T9" s="83" t="s">
        <v>212</v>
      </c>
    </row>
    <row r="10" customFormat="false" ht="15" hidden="false" customHeight="false" outlineLevel="0" collapsed="false">
      <c r="B10" s="84" t="n">
        <v>0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6" t="n">
        <f aca="false">Marktwert</f>
        <v>297000</v>
      </c>
      <c r="P10" s="86" t="n">
        <f aca="false">Darlehen</f>
        <v>245000</v>
      </c>
      <c r="Q10" s="86" t="n">
        <f aca="false">O10-P10</f>
        <v>52000</v>
      </c>
      <c r="R10" s="85"/>
      <c r="S10" s="85"/>
      <c r="T10" s="87" t="n">
        <f aca="false">-Eigenkapital</f>
        <v>-83974.5</v>
      </c>
    </row>
    <row r="11" customFormat="false" ht="15" hidden="false" customHeight="false" outlineLevel="0" collapsed="false">
      <c r="B11" s="88" t="n">
        <v>1</v>
      </c>
      <c r="C11" s="70" t="n">
        <f aca="false">Miete_Monat*12*(1+Mietsteigerung)^(B11-1)</f>
        <v>11400</v>
      </c>
      <c r="D11" s="70" t="n">
        <f aca="false">-C11*Mietausfall</f>
        <v>-342</v>
      </c>
      <c r="E11" s="70" t="n">
        <f aca="false">C11+D11</f>
        <v>11058</v>
      </c>
      <c r="F11" s="70" t="n">
        <f aca="false">-(Hausgeld_nu+Ruecklage+Verwaltung)*(1+Kostensteigerung)^(B11-1)</f>
        <v>-2490</v>
      </c>
      <c r="G11" s="70" t="n">
        <f aca="false">-Finanzierung!E20</f>
        <v>-9065</v>
      </c>
      <c r="H11" s="70" t="n">
        <f aca="false">-Finanzierung!F20</f>
        <v>-4900</v>
      </c>
      <c r="I11" s="70" t="n">
        <f aca="false">G11+H11</f>
        <v>-13965</v>
      </c>
      <c r="J11" s="89" t="n">
        <f aca="false">E11+F11+I11</f>
        <v>-5397</v>
      </c>
      <c r="K11" s="70" t="n">
        <f aca="false">Steuern!J23</f>
        <v>8681.22512544</v>
      </c>
      <c r="L11" s="90" t="n">
        <f aca="false">J11+K11</f>
        <v>3284.22512544</v>
      </c>
      <c r="M11" s="70" t="n">
        <f aca="false">SUM(L$11:L11)</f>
        <v>3284.22512544</v>
      </c>
      <c r="N11" s="70" t="n">
        <f aca="false">Steuern!L23</f>
        <v>5745.0224</v>
      </c>
      <c r="O11" s="70" t="n">
        <f aca="false">Marktwert*(1+Wertsteigerung)^B11</f>
        <v>302940</v>
      </c>
      <c r="P11" s="70" t="n">
        <f aca="false">Finanzierung!H20</f>
        <v>240100</v>
      </c>
      <c r="Q11" s="89" t="n">
        <f aca="false">O11-P11</f>
        <v>62840</v>
      </c>
      <c r="R11" s="91" t="n">
        <f aca="false">IF(I11=0,"",(E11+F11)/-I11)</f>
        <v>0.613533834586466</v>
      </c>
      <c r="S11" s="70" t="n">
        <f aca="false">IF(B11=Haltedauer,Exit_Netto,0)</f>
        <v>0</v>
      </c>
      <c r="T11" s="92" t="n">
        <f aca="false">IF(B11&lt;=Haltedauer,L11+S11,0)</f>
        <v>3284.22512544</v>
      </c>
    </row>
    <row r="12" customFormat="false" ht="15" hidden="false" customHeight="false" outlineLevel="0" collapsed="false">
      <c r="B12" s="88" t="n">
        <v>2</v>
      </c>
      <c r="C12" s="70" t="n">
        <f aca="false">Miete_Monat*12*(1+Mietsteigerung)^(B12-1)</f>
        <v>11628</v>
      </c>
      <c r="D12" s="70" t="n">
        <f aca="false">-C12*Mietausfall</f>
        <v>-348.84</v>
      </c>
      <c r="E12" s="70" t="n">
        <f aca="false">C12+D12</f>
        <v>11279.16</v>
      </c>
      <c r="F12" s="70" t="n">
        <f aca="false">-(Hausgeld_nu+Ruecklage+Verwaltung)*(1+Kostensteigerung)^(B12-1)</f>
        <v>-2539.8</v>
      </c>
      <c r="G12" s="70" t="n">
        <f aca="false">-Finanzierung!E21</f>
        <v>-8883.7</v>
      </c>
      <c r="H12" s="70" t="n">
        <f aca="false">-Finanzierung!F21</f>
        <v>-5081.3</v>
      </c>
      <c r="I12" s="70" t="n">
        <f aca="false">G12+H12</f>
        <v>-13965</v>
      </c>
      <c r="J12" s="89" t="n">
        <f aca="false">E12+F12+I12</f>
        <v>-5225.64</v>
      </c>
      <c r="K12" s="70" t="n">
        <f aca="false">Steuern!J24</f>
        <v>2202.81067944</v>
      </c>
      <c r="L12" s="90" t="n">
        <f aca="false">J12+K12</f>
        <v>-3022.82932056</v>
      </c>
      <c r="M12" s="70" t="n">
        <f aca="false">SUM(L$11:L12)</f>
        <v>261.395804880004</v>
      </c>
      <c r="N12" s="70" t="n">
        <f aca="false">Steuern!L24</f>
        <v>5745.0224</v>
      </c>
      <c r="O12" s="70" t="n">
        <f aca="false">Marktwert*(1+Wertsteigerung)^B12</f>
        <v>308998.8</v>
      </c>
      <c r="P12" s="70" t="n">
        <f aca="false">Finanzierung!H21</f>
        <v>235018.7</v>
      </c>
      <c r="Q12" s="89" t="n">
        <f aca="false">O12-P12</f>
        <v>73980.1</v>
      </c>
      <c r="R12" s="91" t="n">
        <f aca="false">IF(I12=0,"",(E12+F12)/-I12)</f>
        <v>0.625804511278196</v>
      </c>
      <c r="S12" s="70" t="n">
        <f aca="false">IF(B12=Haltedauer,Exit_Netto,0)</f>
        <v>0</v>
      </c>
      <c r="T12" s="92" t="n">
        <f aca="false">IF(B12&lt;=Haltedauer,L12+S12,0)</f>
        <v>-3022.82932056</v>
      </c>
    </row>
    <row r="13" customFormat="false" ht="15" hidden="false" customHeight="false" outlineLevel="0" collapsed="false">
      <c r="B13" s="88" t="n">
        <v>3</v>
      </c>
      <c r="C13" s="70" t="n">
        <f aca="false">Miete_Monat*12*(1+Mietsteigerung)^(B13-1)</f>
        <v>11860.56</v>
      </c>
      <c r="D13" s="70" t="n">
        <f aca="false">-C13*Mietausfall</f>
        <v>-355.8168</v>
      </c>
      <c r="E13" s="70" t="n">
        <f aca="false">C13+D13</f>
        <v>11504.7432</v>
      </c>
      <c r="F13" s="70" t="n">
        <f aca="false">-(Hausgeld_nu+Ruecklage+Verwaltung)*(1+Kostensteigerung)^(B13-1)</f>
        <v>-2590.596</v>
      </c>
      <c r="G13" s="70" t="n">
        <f aca="false">-Finanzierung!E22</f>
        <v>-8695.6919</v>
      </c>
      <c r="H13" s="70" t="n">
        <f aca="false">-Finanzierung!F22</f>
        <v>-5269.3081</v>
      </c>
      <c r="I13" s="70" t="n">
        <f aca="false">G13+H13</f>
        <v>-13965</v>
      </c>
      <c r="J13" s="89" t="n">
        <f aca="false">E13+F13+I13</f>
        <v>-5050.8528</v>
      </c>
      <c r="K13" s="70" t="n">
        <f aca="false">Steuern!J25</f>
        <v>2033.92076601</v>
      </c>
      <c r="L13" s="90" t="n">
        <f aca="false">J13+K13</f>
        <v>-3016.93203399</v>
      </c>
      <c r="M13" s="70" t="n">
        <f aca="false">SUM(L$11:L13)</f>
        <v>-2755.53622911</v>
      </c>
      <c r="N13" s="70" t="n">
        <f aca="false">Steuern!L25</f>
        <v>5745.0224</v>
      </c>
      <c r="O13" s="70" t="n">
        <f aca="false">Marktwert*(1+Wertsteigerung)^B13</f>
        <v>315178.776</v>
      </c>
      <c r="P13" s="70" t="n">
        <f aca="false">Finanzierung!H22</f>
        <v>229749.3919</v>
      </c>
      <c r="Q13" s="89" t="n">
        <f aca="false">O13-P13</f>
        <v>85429.3841000001</v>
      </c>
      <c r="R13" s="91" t="n">
        <f aca="false">IF(I13=0,"",(E13+F13)/-I13)</f>
        <v>0.63832060150376</v>
      </c>
      <c r="S13" s="70" t="n">
        <f aca="false">IF(B13=Haltedauer,Exit_Netto,0)</f>
        <v>0</v>
      </c>
      <c r="T13" s="92" t="n">
        <f aca="false">IF(B13&lt;=Haltedauer,L13+S13,0)</f>
        <v>-3016.93203399</v>
      </c>
    </row>
    <row r="14" customFormat="false" ht="15" hidden="false" customHeight="false" outlineLevel="0" collapsed="false">
      <c r="B14" s="88" t="n">
        <v>4</v>
      </c>
      <c r="C14" s="70" t="n">
        <f aca="false">Miete_Monat*12*(1+Mietsteigerung)^(B14-1)</f>
        <v>12097.7712</v>
      </c>
      <c r="D14" s="70" t="n">
        <f aca="false">-C14*Mietausfall</f>
        <v>-362.933136</v>
      </c>
      <c r="E14" s="70" t="n">
        <f aca="false">C14+D14</f>
        <v>11734.838064</v>
      </c>
      <c r="F14" s="70" t="n">
        <f aca="false">-(Hausgeld_nu+Ruecklage+Verwaltung)*(1+Kostensteigerung)^(B14-1)</f>
        <v>-2642.40792</v>
      </c>
      <c r="G14" s="70" t="n">
        <f aca="false">-Finanzierung!E23</f>
        <v>-8500.7275003</v>
      </c>
      <c r="H14" s="70" t="n">
        <f aca="false">-Finanzierung!F23</f>
        <v>-5464.2724997</v>
      </c>
      <c r="I14" s="70" t="n">
        <f aca="false">G14+H14</f>
        <v>-13965</v>
      </c>
      <c r="J14" s="89" t="n">
        <f aca="false">E14+F14+I14</f>
        <v>-4872.569856</v>
      </c>
      <c r="K14" s="70" t="n">
        <f aca="false">Steuern!J26</f>
        <v>1860.23684569653</v>
      </c>
      <c r="L14" s="90" t="n">
        <f aca="false">J14+K14</f>
        <v>-3012.33301030347</v>
      </c>
      <c r="M14" s="70" t="n">
        <f aca="false">SUM(L$11:L14)</f>
        <v>-5767.86923941346</v>
      </c>
      <c r="N14" s="70" t="n">
        <f aca="false">Steuern!L26</f>
        <v>5745.0224</v>
      </c>
      <c r="O14" s="70" t="n">
        <f aca="false">Marktwert*(1+Wertsteigerung)^B14</f>
        <v>321482.35152</v>
      </c>
      <c r="P14" s="70" t="n">
        <f aca="false">Finanzierung!H23</f>
        <v>224285.1194003</v>
      </c>
      <c r="Q14" s="89" t="n">
        <f aca="false">O14-P14</f>
        <v>97197.2321196999</v>
      </c>
      <c r="R14" s="91" t="n">
        <f aca="false">IF(I14=0,"",(E14+F14)/-I14)</f>
        <v>0.651087013533835</v>
      </c>
      <c r="S14" s="70" t="n">
        <f aca="false">IF(B14=Haltedauer,Exit_Netto,0)</f>
        <v>0</v>
      </c>
      <c r="T14" s="92" t="n">
        <f aca="false">IF(B14&lt;=Haltedauer,L14+S14,0)</f>
        <v>-3012.33301030347</v>
      </c>
    </row>
    <row r="15" customFormat="false" ht="15" hidden="false" customHeight="false" outlineLevel="0" collapsed="false">
      <c r="B15" s="88" t="n">
        <v>5</v>
      </c>
      <c r="C15" s="70" t="n">
        <f aca="false">Miete_Monat*12*(1+Mietsteigerung)^(B15-1)</f>
        <v>12339.726624</v>
      </c>
      <c r="D15" s="70" t="n">
        <f aca="false">-C15*Mietausfall</f>
        <v>-370.19179872</v>
      </c>
      <c r="E15" s="70" t="n">
        <f aca="false">C15+D15</f>
        <v>11969.53482528</v>
      </c>
      <c r="F15" s="70" t="n">
        <f aca="false">-(Hausgeld_nu+Ruecklage+Verwaltung)*(1+Kostensteigerung)^(B15-1)</f>
        <v>-2695.2560784</v>
      </c>
      <c r="G15" s="70" t="n">
        <f aca="false">-Finanzierung!E24</f>
        <v>-8298.5494178111</v>
      </c>
      <c r="H15" s="70" t="n">
        <f aca="false">-Finanzierung!F24</f>
        <v>-5666.4505821889</v>
      </c>
      <c r="I15" s="70" t="n">
        <f aca="false">G15+H15</f>
        <v>-13965</v>
      </c>
      <c r="J15" s="89" t="n">
        <f aca="false">E15+F15+I15</f>
        <v>-4690.72125312</v>
      </c>
      <c r="K15" s="70" t="n">
        <f aca="false">Steuern!J27</f>
        <v>1681.61063864317</v>
      </c>
      <c r="L15" s="90" t="n">
        <f aca="false">J15+K15</f>
        <v>-3009.11061447683</v>
      </c>
      <c r="M15" s="70" t="n">
        <f aca="false">SUM(L$11:L15)</f>
        <v>-8776.97985389029</v>
      </c>
      <c r="N15" s="70" t="n">
        <f aca="false">Steuern!L27</f>
        <v>5745.0224</v>
      </c>
      <c r="O15" s="70" t="n">
        <f aca="false">Marktwert*(1+Wertsteigerung)^B15</f>
        <v>327911.9985504</v>
      </c>
      <c r="P15" s="70" t="n">
        <f aca="false">Finanzierung!H24</f>
        <v>218618.668818111</v>
      </c>
      <c r="Q15" s="89" t="n">
        <f aca="false">O15-P15</f>
        <v>109293.329732289</v>
      </c>
      <c r="R15" s="91" t="n">
        <f aca="false">IF(I15=0,"",(E15+F15)/-I15)</f>
        <v>0.664108753804511</v>
      </c>
      <c r="S15" s="70" t="n">
        <f aca="false">IF(B15=Haltedauer,Exit_Netto,0)</f>
        <v>0</v>
      </c>
      <c r="T15" s="92" t="n">
        <f aca="false">IF(B15&lt;=Haltedauer,L15+S15,0)</f>
        <v>-3009.11061447683</v>
      </c>
    </row>
    <row r="16" customFormat="false" ht="15" hidden="false" customHeight="false" outlineLevel="0" collapsed="false">
      <c r="B16" s="88" t="n">
        <v>6</v>
      </c>
      <c r="C16" s="70" t="n">
        <f aca="false">Miete_Monat*12*(1+Mietsteigerung)^(B16-1)</f>
        <v>12586.52115648</v>
      </c>
      <c r="D16" s="70" t="n">
        <f aca="false">-C16*Mietausfall</f>
        <v>-377.5956346944</v>
      </c>
      <c r="E16" s="70" t="n">
        <f aca="false">C16+D16</f>
        <v>12208.9255217856</v>
      </c>
      <c r="F16" s="70" t="n">
        <f aca="false">-(Hausgeld_nu+Ruecklage+Verwaltung)*(1+Kostensteigerung)^(B16-1)</f>
        <v>-2749.161199968</v>
      </c>
      <c r="G16" s="70" t="n">
        <f aca="false">-Finanzierung!E25</f>
        <v>-8088.89074627011</v>
      </c>
      <c r="H16" s="70" t="n">
        <f aca="false">-Finanzierung!F25</f>
        <v>-5876.10925372989</v>
      </c>
      <c r="I16" s="70" t="n">
        <f aca="false">G16+H16</f>
        <v>-13965</v>
      </c>
      <c r="J16" s="89" t="n">
        <f aca="false">E16+F16+I16</f>
        <v>-4505.2356781824</v>
      </c>
      <c r="K16" s="70" t="n">
        <f aca="false">Steuern!J28</f>
        <v>1497.88896060678</v>
      </c>
      <c r="L16" s="90" t="n">
        <f aca="false">J16+K16</f>
        <v>-3007.34671757562</v>
      </c>
      <c r="M16" s="70" t="n">
        <f aca="false">SUM(L$11:L16)</f>
        <v>-11784.3265714659</v>
      </c>
      <c r="N16" s="70" t="n">
        <f aca="false">Steuern!L28</f>
        <v>5745.0224</v>
      </c>
      <c r="O16" s="70" t="n">
        <f aca="false">Marktwert*(1+Wertsteigerung)^B16</f>
        <v>334470.238521408</v>
      </c>
      <c r="P16" s="70" t="n">
        <f aca="false">Finanzierung!H25</f>
        <v>212742.559564381</v>
      </c>
      <c r="Q16" s="89" t="n">
        <f aca="false">O16-P16</f>
        <v>121727.678957027</v>
      </c>
      <c r="R16" s="91" t="n">
        <f aca="false">IF(I16=0,"",(E16+F16)/-I16)</f>
        <v>0.677390928880602</v>
      </c>
      <c r="S16" s="70" t="n">
        <f aca="false">IF(B16=Haltedauer,Exit_Netto,0)</f>
        <v>0</v>
      </c>
      <c r="T16" s="92" t="n">
        <f aca="false">IF(B16&lt;=Haltedauer,L16+S16,0)</f>
        <v>-3007.34671757562</v>
      </c>
    </row>
    <row r="17" customFormat="false" ht="15" hidden="false" customHeight="false" outlineLevel="0" collapsed="false">
      <c r="B17" s="88" t="n">
        <v>7</v>
      </c>
      <c r="C17" s="70" t="n">
        <f aca="false">Miete_Monat*12*(1+Mietsteigerung)^(B17-1)</f>
        <v>12838.2515796096</v>
      </c>
      <c r="D17" s="70" t="n">
        <f aca="false">-C17*Mietausfall</f>
        <v>-385.147547388288</v>
      </c>
      <c r="E17" s="70" t="n">
        <f aca="false">C17+D17</f>
        <v>12453.1040322213</v>
      </c>
      <c r="F17" s="70" t="n">
        <f aca="false">-(Hausgeld_nu+Ruecklage+Verwaltung)*(1+Kostensteigerung)^(B17-1)</f>
        <v>-2804.14442396736</v>
      </c>
      <c r="G17" s="70" t="n">
        <f aca="false">-Finanzierung!E26</f>
        <v>-7871.47470388211</v>
      </c>
      <c r="H17" s="70" t="n">
        <f aca="false">-Finanzierung!F26</f>
        <v>-6093.52529611789</v>
      </c>
      <c r="I17" s="70" t="n">
        <f aca="false">G17+H17</f>
        <v>-13965</v>
      </c>
      <c r="J17" s="89" t="n">
        <f aca="false">E17+F17+I17</f>
        <v>-4316.04039174604</v>
      </c>
      <c r="K17" s="70" t="n">
        <f aca="false">Steuern!J29</f>
        <v>1308.91355313454</v>
      </c>
      <c r="L17" s="90" t="n">
        <f aca="false">J17+K17</f>
        <v>-3007.1268386115</v>
      </c>
      <c r="M17" s="70" t="n">
        <f aca="false">SUM(L$11:L17)</f>
        <v>-14791.4534100774</v>
      </c>
      <c r="N17" s="70" t="n">
        <f aca="false">Steuern!L29</f>
        <v>5745.0224</v>
      </c>
      <c r="O17" s="70" t="n">
        <f aca="false">Marktwert*(1+Wertsteigerung)^B17</f>
        <v>341159.643291836</v>
      </c>
      <c r="P17" s="70" t="n">
        <f aca="false">Finanzierung!H26</f>
        <v>206649.034268263</v>
      </c>
      <c r="Q17" s="89" t="n">
        <f aca="false">O17-P17</f>
        <v>134510.609023573</v>
      </c>
      <c r="R17" s="91" t="n">
        <f aca="false">IF(I17=0,"",(E17+F17)/-I17)</f>
        <v>0.690938747458214</v>
      </c>
      <c r="S17" s="70" t="n">
        <f aca="false">IF(B17=Haltedauer,Exit_Netto,0)</f>
        <v>0</v>
      </c>
      <c r="T17" s="92" t="n">
        <f aca="false">IF(B17&lt;=Haltedauer,L17+S17,0)</f>
        <v>-3007.1268386115</v>
      </c>
    </row>
    <row r="18" customFormat="false" ht="15" hidden="false" customHeight="false" outlineLevel="0" collapsed="false">
      <c r="B18" s="88" t="n">
        <v>8</v>
      </c>
      <c r="C18" s="70" t="n">
        <f aca="false">Miete_Monat*12*(1+Mietsteigerung)^(B18-1)</f>
        <v>13095.0166112018</v>
      </c>
      <c r="D18" s="70" t="n">
        <f aca="false">-C18*Mietausfall</f>
        <v>-392.850498336054</v>
      </c>
      <c r="E18" s="70" t="n">
        <f aca="false">C18+D18</f>
        <v>12702.1661128657</v>
      </c>
      <c r="F18" s="70" t="n">
        <f aca="false">-(Hausgeld_nu+Ruecklage+Verwaltung)*(1+Kostensteigerung)^(B18-1)</f>
        <v>-2860.22731244671</v>
      </c>
      <c r="G18" s="70" t="n">
        <f aca="false">-Finanzierung!E27</f>
        <v>-7646.01426792574</v>
      </c>
      <c r="H18" s="70" t="n">
        <f aca="false">-Finanzierung!F27</f>
        <v>-6318.98573207426</v>
      </c>
      <c r="I18" s="70" t="n">
        <f aca="false">G18+H18</f>
        <v>-13965</v>
      </c>
      <c r="J18" s="89" t="n">
        <f aca="false">E18+F18+I18</f>
        <v>-4123.06119958097</v>
      </c>
      <c r="K18" s="70" t="n">
        <f aca="false">Steuern!J30</f>
        <v>1114.52090769037</v>
      </c>
      <c r="L18" s="90" t="n">
        <f aca="false">J18+K18</f>
        <v>-3008.5402918906</v>
      </c>
      <c r="M18" s="70" t="n">
        <f aca="false">SUM(L$11:L18)</f>
        <v>-17799.993701968</v>
      </c>
      <c r="N18" s="70" t="n">
        <f aca="false">Steuern!L30</f>
        <v>5745.0224</v>
      </c>
      <c r="O18" s="70" t="n">
        <f aca="false">Marktwert*(1+Wertsteigerung)^B18</f>
        <v>347982.836157673</v>
      </c>
      <c r="P18" s="70" t="n">
        <f aca="false">Finanzierung!H27</f>
        <v>200330.048536189</v>
      </c>
      <c r="Q18" s="89" t="n">
        <f aca="false">O18-P18</f>
        <v>147652.787621484</v>
      </c>
      <c r="R18" s="91" t="n">
        <f aca="false">IF(I18=0,"",(E18+F18)/-I18)</f>
        <v>0.704757522407378</v>
      </c>
      <c r="S18" s="70" t="n">
        <f aca="false">IF(B18=Haltedauer,Exit_Netto,0)</f>
        <v>0</v>
      </c>
      <c r="T18" s="92" t="n">
        <f aca="false">IF(B18&lt;=Haltedauer,L18+S18,0)</f>
        <v>-3008.5402918906</v>
      </c>
    </row>
    <row r="19" customFormat="false" ht="15" hidden="false" customHeight="false" outlineLevel="0" collapsed="false">
      <c r="B19" s="88" t="n">
        <v>9</v>
      </c>
      <c r="C19" s="70" t="n">
        <f aca="false">Miete_Monat*12*(1+Mietsteigerung)^(B19-1)</f>
        <v>13356.9169434258</v>
      </c>
      <c r="D19" s="70" t="n">
        <f aca="false">-C19*Mietausfall</f>
        <v>-400.707508302775</v>
      </c>
      <c r="E19" s="70" t="n">
        <f aca="false">C19+D19</f>
        <v>12956.2094351231</v>
      </c>
      <c r="F19" s="70" t="n">
        <f aca="false">-(Hausgeld_nu+Ruecklage+Verwaltung)*(1+Kostensteigerung)^(B19-1)</f>
        <v>-2917.43185869564</v>
      </c>
      <c r="G19" s="70" t="n">
        <f aca="false">-Finanzierung!E28</f>
        <v>-7412.211795839</v>
      </c>
      <c r="H19" s="70" t="n">
        <f aca="false">-Finanzierung!F28</f>
        <v>-6552.788204161</v>
      </c>
      <c r="I19" s="70" t="n">
        <f aca="false">G19+H19</f>
        <v>-13965</v>
      </c>
      <c r="J19" s="89" t="n">
        <f aca="false">E19+F19+I19</f>
        <v>-3926.22242357258</v>
      </c>
      <c r="K19" s="70" t="n">
        <f aca="false">Steuern!J31</f>
        <v>914.542083511379</v>
      </c>
      <c r="L19" s="90" t="n">
        <f aca="false">J19+K19</f>
        <v>-3011.68034006121</v>
      </c>
      <c r="M19" s="70" t="n">
        <f aca="false">SUM(L$11:L19)</f>
        <v>-20811.6740420292</v>
      </c>
      <c r="N19" s="70" t="n">
        <f aca="false">Steuern!L31</f>
        <v>5745.0224</v>
      </c>
      <c r="O19" s="70" t="n">
        <f aca="false">Marktwert*(1+Wertsteigerung)^B19</f>
        <v>354942.492880826</v>
      </c>
      <c r="P19" s="70" t="n">
        <f aca="false">Finanzierung!H28</f>
        <v>193777.260332028</v>
      </c>
      <c r="Q19" s="89" t="n">
        <f aca="false">O19-P19</f>
        <v>161165.232548798</v>
      </c>
      <c r="R19" s="91" t="n">
        <f aca="false">IF(I19=0,"",(E19+F19)/-I19)</f>
        <v>0.718852672855526</v>
      </c>
      <c r="S19" s="70" t="n">
        <f aca="false">IF(B19=Haltedauer,Exit_Netto,0)</f>
        <v>0</v>
      </c>
      <c r="T19" s="92" t="n">
        <f aca="false">IF(B19&lt;=Haltedauer,L19+S19,0)</f>
        <v>-3011.68034006121</v>
      </c>
    </row>
    <row r="20" customFormat="false" ht="15" hidden="false" customHeight="false" outlineLevel="0" collapsed="false">
      <c r="B20" s="88" t="n">
        <v>10</v>
      </c>
      <c r="C20" s="70" t="n">
        <f aca="false">Miete_Monat*12*(1+Mietsteigerung)^(B20-1)</f>
        <v>13624.0552822943</v>
      </c>
      <c r="D20" s="70" t="n">
        <f aca="false">-C20*Mietausfall</f>
        <v>-408.72165846883</v>
      </c>
      <c r="E20" s="70" t="n">
        <f aca="false">C20+D20</f>
        <v>13215.3336238255</v>
      </c>
      <c r="F20" s="70" t="n">
        <f aca="false">-(Hausgeld_nu+Ruecklage+Verwaltung)*(1+Kostensteigerung)^(B20-1)</f>
        <v>-2975.78049586955</v>
      </c>
      <c r="G20" s="70" t="n">
        <f aca="false">-Finanzierung!E29</f>
        <v>-7169.75863228504</v>
      </c>
      <c r="H20" s="70" t="n">
        <f aca="false">-Finanzierung!F29</f>
        <v>-6795.24136771496</v>
      </c>
      <c r="I20" s="70" t="n">
        <f aca="false">G20+H20</f>
        <v>-13965</v>
      </c>
      <c r="J20" s="89" t="n">
        <f aca="false">E20+F20+I20</f>
        <v>-3725.44687204404</v>
      </c>
      <c r="K20" s="70" t="n">
        <f aca="false">Steuern!J32</f>
        <v>708.802518967322</v>
      </c>
      <c r="L20" s="90" t="n">
        <f aca="false">J20+K20</f>
        <v>-3016.64435307671</v>
      </c>
      <c r="M20" s="70" t="n">
        <f aca="false">SUM(L$11:L20)</f>
        <v>-23828.3183951059</v>
      </c>
      <c r="N20" s="70" t="n">
        <f aca="false">Steuern!L32</f>
        <v>5745.0224</v>
      </c>
      <c r="O20" s="70" t="n">
        <f aca="false">Marktwert*(1+Wertsteigerung)^B20</f>
        <v>362041.342738443</v>
      </c>
      <c r="P20" s="70" t="n">
        <f aca="false">Finanzierung!H29</f>
        <v>186982.018964313</v>
      </c>
      <c r="Q20" s="89" t="n">
        <f aca="false">O20-P20</f>
        <v>175059.32377413</v>
      </c>
      <c r="R20" s="91" t="n">
        <f aca="false">IF(I20=0,"",(E20+F20)/-I20)</f>
        <v>0.733229726312636</v>
      </c>
      <c r="S20" s="70" t="n">
        <f aca="false">IF(B20=Haltedauer,Exit_Netto,0)</f>
        <v>0</v>
      </c>
      <c r="T20" s="92" t="n">
        <f aca="false">IF(B20&lt;=Haltedauer,L20+S20,0)</f>
        <v>-3016.64435307671</v>
      </c>
    </row>
    <row r="21" customFormat="false" ht="15" hidden="false" customHeight="false" outlineLevel="0" collapsed="false">
      <c r="B21" s="88" t="n">
        <v>11</v>
      </c>
      <c r="C21" s="70" t="n">
        <f aca="false">Miete_Monat*12*(1+Mietsteigerung)^(B21-1)</f>
        <v>13896.5363879402</v>
      </c>
      <c r="D21" s="70" t="n">
        <f aca="false">-C21*Mietausfall</f>
        <v>-416.896091638207</v>
      </c>
      <c r="E21" s="70" t="n">
        <f aca="false">C21+D21</f>
        <v>13479.640296302</v>
      </c>
      <c r="F21" s="70" t="n">
        <f aca="false">-(Hausgeld_nu+Ruecklage+Verwaltung)*(1+Kostensteigerung)^(B21-1)</f>
        <v>-3035.29610578695</v>
      </c>
      <c r="G21" s="70" t="n">
        <f aca="false">-Finanzierung!E30</f>
        <v>-8414.19085339409</v>
      </c>
      <c r="H21" s="70" t="n">
        <f aca="false">-Finanzierung!F30</f>
        <v>-5550.80914660591</v>
      </c>
      <c r="I21" s="70" t="n">
        <f aca="false">G21+H21</f>
        <v>-13965</v>
      </c>
      <c r="J21" s="89" t="n">
        <f aca="false">E21+F21+I21</f>
        <v>-3520.65580948492</v>
      </c>
      <c r="K21" s="70" t="n">
        <f aca="false">Steuern!J33</f>
        <v>785.711161011979</v>
      </c>
      <c r="L21" s="90" t="n">
        <f aca="false">J21+K21</f>
        <v>-2734.94464847294</v>
      </c>
      <c r="M21" s="70" t="n">
        <f aca="false">SUM(L$11:L21)</f>
        <v>-26563.2630435789</v>
      </c>
      <c r="N21" s="70" t="n">
        <f aca="false">Steuern!L33</f>
        <v>4900.4624</v>
      </c>
      <c r="O21" s="70" t="n">
        <f aca="false">Marktwert*(1+Wertsteigerung)^B21</f>
        <v>369282.169593212</v>
      </c>
      <c r="P21" s="70" t="n">
        <f aca="false">Finanzierung!H30</f>
        <v>181431.209817707</v>
      </c>
      <c r="Q21" s="89" t="n">
        <f aca="false">O21-P21</f>
        <v>187850.959775505</v>
      </c>
      <c r="R21" s="91" t="n">
        <f aca="false">IF(I21=0,"",(E21+F21)/-I21)</f>
        <v>0.747894320838889</v>
      </c>
      <c r="S21" s="70" t="n">
        <f aca="false">IF(B21=Haltedauer,Exit_Netto,0)</f>
        <v>0</v>
      </c>
      <c r="T21" s="92" t="n">
        <f aca="false">IF(B21&lt;=Haltedauer,L21+S21,0)</f>
        <v>-2734.94464847294</v>
      </c>
    </row>
    <row r="22" customFormat="false" ht="15" hidden="false" customHeight="false" outlineLevel="0" collapsed="false">
      <c r="B22" s="88" t="n">
        <v>12</v>
      </c>
      <c r="C22" s="70" t="n">
        <f aca="false">Miete_Monat*12*(1+Mietsteigerung)^(B22-1)</f>
        <v>14174.467115699</v>
      </c>
      <c r="D22" s="70" t="n">
        <f aca="false">-C22*Mietausfall</f>
        <v>-425.234013470971</v>
      </c>
      <c r="E22" s="70" t="n">
        <f aca="false">C22+D22</f>
        <v>13749.2331022281</v>
      </c>
      <c r="F22" s="70" t="n">
        <f aca="false">-(Hausgeld_nu+Ruecklage+Verwaltung)*(1+Kostensteigerung)^(B22-1)</f>
        <v>-3096.00202790268</v>
      </c>
      <c r="G22" s="70" t="n">
        <f aca="false">-Finanzierung!E31</f>
        <v>-8164.40444179682</v>
      </c>
      <c r="H22" s="70" t="n">
        <f aca="false">-Finanzierung!F31</f>
        <v>-5800.59555820318</v>
      </c>
      <c r="I22" s="70" t="n">
        <f aca="false">G22+H22</f>
        <v>-13965</v>
      </c>
      <c r="J22" s="89" t="n">
        <f aca="false">E22+F22+I22</f>
        <v>-3311.76892567462</v>
      </c>
      <c r="K22" s="70" t="n">
        <f aca="false">Steuern!J34</f>
        <v>572.750568121892</v>
      </c>
      <c r="L22" s="90" t="n">
        <f aca="false">J22+K22</f>
        <v>-2739.01835755272</v>
      </c>
      <c r="M22" s="70" t="n">
        <f aca="false">SUM(L$11:L22)</f>
        <v>-29302.2814011316</v>
      </c>
      <c r="N22" s="70" t="n">
        <f aca="false">Steuern!L34</f>
        <v>4900.4624</v>
      </c>
      <c r="O22" s="70" t="n">
        <f aca="false">Marktwert*(1+Wertsteigerung)^B22</f>
        <v>376667.812985076</v>
      </c>
      <c r="P22" s="70" t="n">
        <f aca="false">Finanzierung!H31</f>
        <v>175630.614259504</v>
      </c>
      <c r="Q22" s="89" t="n">
        <f aca="false">O22-P22</f>
        <v>201037.198725572</v>
      </c>
      <c r="R22" s="91" t="n">
        <f aca="false">IF(I22=0,"",(E22+F22)/-I22)</f>
        <v>0.762852207255667</v>
      </c>
      <c r="S22" s="70" t="n">
        <f aca="false">IF(B22=Haltedauer,Exit_Netto,0)</f>
        <v>189737.16433602</v>
      </c>
      <c r="T22" s="92" t="n">
        <f aca="false">IF(B22&lt;=Haltedauer,L22+S22,0)</f>
        <v>186998.145978467</v>
      </c>
    </row>
    <row r="23" customFormat="false" ht="15" hidden="false" customHeight="false" outlineLevel="0" collapsed="false">
      <c r="B23" s="88" t="n">
        <v>13</v>
      </c>
      <c r="C23" s="70" t="n">
        <f aca="false">Miete_Monat*12*(1+Mietsteigerung)^(B23-1)</f>
        <v>14457.956458013</v>
      </c>
      <c r="D23" s="70" t="n">
        <f aca="false">-C23*Mietausfall</f>
        <v>-433.738693740391</v>
      </c>
      <c r="E23" s="70" t="n">
        <f aca="false">C23+D23</f>
        <v>14024.2177642726</v>
      </c>
      <c r="F23" s="70" t="n">
        <f aca="false">-(Hausgeld_nu+Ruecklage+Verwaltung)*(1+Kostensteigerung)^(B23-1)</f>
        <v>-3157.92206846074</v>
      </c>
      <c r="G23" s="70" t="n">
        <f aca="false">-Finanzierung!E32</f>
        <v>-7903.37764167768</v>
      </c>
      <c r="H23" s="70" t="n">
        <f aca="false">-Finanzierung!F32</f>
        <v>-6061.62235832232</v>
      </c>
      <c r="I23" s="70" t="n">
        <f aca="false">G23+H23</f>
        <v>-13965</v>
      </c>
      <c r="J23" s="89" t="n">
        <f aca="false">E23+F23+I23</f>
        <v>-3098.70430418811</v>
      </c>
      <c r="K23" s="70" t="n">
        <f aca="false">Steuern!J35</f>
        <v>352.763754399534</v>
      </c>
      <c r="L23" s="90" t="n">
        <f aca="false">J23+K23</f>
        <v>-2745.94054978857</v>
      </c>
      <c r="M23" s="70" t="n">
        <f aca="false">SUM(L$11:L23)</f>
        <v>-32048.2219509202</v>
      </c>
      <c r="N23" s="70" t="n">
        <f aca="false">Steuern!L35</f>
        <v>4900.4624</v>
      </c>
      <c r="O23" s="70" t="n">
        <f aca="false">Marktwert*(1+Wertsteigerung)^B23</f>
        <v>384201.169244778</v>
      </c>
      <c r="P23" s="70" t="n">
        <f aca="false">Finanzierung!H32</f>
        <v>169568.991901182</v>
      </c>
      <c r="Q23" s="89" t="n">
        <f aca="false">O23-P23</f>
        <v>214632.177343596</v>
      </c>
      <c r="R23" s="91" t="n">
        <f aca="false">IF(I23=0,"",(E23+F23)/-I23)</f>
        <v>0.77810925140078</v>
      </c>
      <c r="S23" s="70" t="n">
        <f aca="false">IF(B23=Haltedauer,Exit_Netto,0)</f>
        <v>0</v>
      </c>
      <c r="T23" s="92" t="n">
        <f aca="false">IF(B23&lt;=Haltedauer,L23+S23,0)</f>
        <v>0</v>
      </c>
    </row>
    <row r="24" customFormat="false" ht="15" hidden="false" customHeight="false" outlineLevel="0" collapsed="false">
      <c r="B24" s="88" t="n">
        <v>14</v>
      </c>
      <c r="C24" s="70" t="n">
        <f aca="false">Miete_Monat*12*(1+Mietsteigerung)^(B24-1)</f>
        <v>14747.1155871733</v>
      </c>
      <c r="D24" s="70" t="n">
        <f aca="false">-C24*Mietausfall</f>
        <v>-442.413467615198</v>
      </c>
      <c r="E24" s="70" t="n">
        <f aca="false">C24+D24</f>
        <v>14304.7021195581</v>
      </c>
      <c r="F24" s="70" t="n">
        <f aca="false">-(Hausgeld_nu+Ruecklage+Verwaltung)*(1+Kostensteigerung)^(B24-1)</f>
        <v>-3221.08050982995</v>
      </c>
      <c r="G24" s="70" t="n">
        <f aca="false">-Finanzierung!E33</f>
        <v>-7630.60463555318</v>
      </c>
      <c r="H24" s="70" t="n">
        <f aca="false">-Finanzierung!F33</f>
        <v>-6334.39536444682</v>
      </c>
      <c r="I24" s="70" t="n">
        <f aca="false">G24+H24</f>
        <v>-13965</v>
      </c>
      <c r="J24" s="89" t="n">
        <f aca="false">E24+F24+I24</f>
        <v>-2881.37839027187</v>
      </c>
      <c r="K24" s="70" t="n">
        <f aca="false">Steuern!J36</f>
        <v>125.485680024409</v>
      </c>
      <c r="L24" s="90" t="n">
        <f aca="false">J24+K24</f>
        <v>-2755.89271024746</v>
      </c>
      <c r="M24" s="70" t="n">
        <f aca="false">SUM(L$11:L24)</f>
        <v>-34804.1146611676</v>
      </c>
      <c r="N24" s="70" t="n">
        <f aca="false">Steuern!L36</f>
        <v>4900.4624</v>
      </c>
      <c r="O24" s="70" t="n">
        <f aca="false">Marktwert*(1+Wertsteigerung)^B24</f>
        <v>391885.192629673</v>
      </c>
      <c r="P24" s="70" t="n">
        <f aca="false">Finanzierung!H33</f>
        <v>163234.596536735</v>
      </c>
      <c r="Q24" s="89" t="n">
        <f aca="false">O24-P24</f>
        <v>228650.596092938</v>
      </c>
      <c r="R24" s="91" t="n">
        <f aca="false">IF(I24=0,"",(E24+F24)/-I24)</f>
        <v>0.793671436428796</v>
      </c>
      <c r="S24" s="70" t="n">
        <f aca="false">IF(B24=Haltedauer,Exit_Netto,0)</f>
        <v>0</v>
      </c>
      <c r="T24" s="92" t="n">
        <f aca="false">IF(B24&lt;=Haltedauer,L24+S24,0)</f>
        <v>0</v>
      </c>
    </row>
    <row r="25" customFormat="false" ht="15" hidden="false" customHeight="false" outlineLevel="0" collapsed="false">
      <c r="B25" s="88" t="n">
        <v>15</v>
      </c>
      <c r="C25" s="70" t="n">
        <f aca="false">Miete_Monat*12*(1+Mietsteigerung)^(B25-1)</f>
        <v>15042.0578989167</v>
      </c>
      <c r="D25" s="70" t="n">
        <f aca="false">-C25*Mietausfall</f>
        <v>-451.261736967502</v>
      </c>
      <c r="E25" s="70" t="n">
        <f aca="false">C25+D25</f>
        <v>14590.7961619492</v>
      </c>
      <c r="F25" s="70" t="n">
        <f aca="false">-(Hausgeld_nu+Ruecklage+Verwaltung)*(1+Kostensteigerung)^(B25-1)</f>
        <v>-3285.50212002655</v>
      </c>
      <c r="G25" s="70" t="n">
        <f aca="false">-Finanzierung!E34</f>
        <v>-7345.55684415307</v>
      </c>
      <c r="H25" s="70" t="n">
        <f aca="false">-Finanzierung!F34</f>
        <v>-6619.44315584693</v>
      </c>
      <c r="I25" s="70" t="n">
        <f aca="false">G25+H25</f>
        <v>-13965</v>
      </c>
      <c r="J25" s="89" t="n">
        <f aca="false">E25+F25+I25</f>
        <v>-2659.70595807731</v>
      </c>
      <c r="K25" s="70" t="n">
        <f aca="false">Steuern!J37</f>
        <v>-109.359598813562</v>
      </c>
      <c r="L25" s="90" t="n">
        <f aca="false">J25+K25</f>
        <v>-2769.06555689087</v>
      </c>
      <c r="M25" s="70" t="n">
        <f aca="false">SUM(L$11:L25)</f>
        <v>-37573.1802180585</v>
      </c>
      <c r="N25" s="70" t="n">
        <f aca="false">Steuern!L37</f>
        <v>4900.4624</v>
      </c>
      <c r="O25" s="70" t="n">
        <f aca="false">Marktwert*(1+Wertsteigerung)^B25</f>
        <v>399722.896482267</v>
      </c>
      <c r="P25" s="70" t="n">
        <f aca="false">Finanzierung!H34</f>
        <v>156615.153380888</v>
      </c>
      <c r="Q25" s="89" t="n">
        <f aca="false">O25-P25</f>
        <v>243107.743101379</v>
      </c>
      <c r="R25" s="91" t="n">
        <f aca="false">IF(I25=0,"",(E25+F25)/-I25)</f>
        <v>0.809544865157371</v>
      </c>
      <c r="S25" s="70" t="n">
        <f aca="false">IF(B25=Haltedauer,Exit_Netto,0)</f>
        <v>0</v>
      </c>
      <c r="T25" s="92" t="n">
        <f aca="false">IF(B25&lt;=Haltedauer,L25+S25,0)</f>
        <v>0</v>
      </c>
    </row>
    <row r="26" customFormat="false" ht="15" hidden="false" customHeight="false" outlineLevel="0" collapsed="false">
      <c r="B26" s="88" t="n">
        <v>16</v>
      </c>
      <c r="C26" s="70" t="n">
        <f aca="false">Miete_Monat*12*(1+Mietsteigerung)^(B26-1)</f>
        <v>15342.8990568951</v>
      </c>
      <c r="D26" s="70" t="n">
        <f aca="false">-C26*Mietausfall</f>
        <v>-460.286971706852</v>
      </c>
      <c r="E26" s="70" t="n">
        <f aca="false">C26+D26</f>
        <v>14882.6120851882</v>
      </c>
      <c r="F26" s="70" t="n">
        <f aca="false">-(Hausgeld_nu+Ruecklage+Verwaltung)*(1+Kostensteigerung)^(B26-1)</f>
        <v>-3351.21216242708</v>
      </c>
      <c r="G26" s="70" t="n">
        <f aca="false">-Finanzierung!E35</f>
        <v>-7047.68190213996</v>
      </c>
      <c r="H26" s="70" t="n">
        <f aca="false">-Finanzierung!F35</f>
        <v>-6917.31809786004</v>
      </c>
      <c r="I26" s="70" t="n">
        <f aca="false">G26+H26</f>
        <v>-13965</v>
      </c>
      <c r="J26" s="89" t="n">
        <f aca="false">E26+F26+I26</f>
        <v>-2433.60007723885</v>
      </c>
      <c r="K26" s="70" t="n">
        <f aca="false">Steuern!J38</f>
        <v>-352.059400137528</v>
      </c>
      <c r="L26" s="90" t="n">
        <f aca="false">J26+K26</f>
        <v>-2785.65947737638</v>
      </c>
      <c r="M26" s="70" t="n">
        <f aca="false">SUM(L$11:L26)</f>
        <v>-40358.8396954349</v>
      </c>
      <c r="N26" s="70" t="n">
        <f aca="false">Steuern!L38</f>
        <v>4900.4624</v>
      </c>
      <c r="O26" s="70" t="n">
        <f aca="false">Marktwert*(1+Wertsteigerung)^B26</f>
        <v>407717.354411912</v>
      </c>
      <c r="P26" s="70" t="n">
        <f aca="false">Finanzierung!H35</f>
        <v>149697.835283028</v>
      </c>
      <c r="Q26" s="89" t="n">
        <f aca="false">O26-P26</f>
        <v>258019.519128884</v>
      </c>
      <c r="R26" s="91" t="n">
        <f aca="false">IF(I26=0,"",(E26+F26)/-I26)</f>
        <v>0.825735762460519</v>
      </c>
      <c r="S26" s="70" t="n">
        <f aca="false">IF(B26=Haltedauer,Exit_Netto,0)</f>
        <v>0</v>
      </c>
      <c r="T26" s="92" t="n">
        <f aca="false">IF(B26&lt;=Haltedauer,L26+S26,0)</f>
        <v>0</v>
      </c>
    </row>
    <row r="27" customFormat="false" ht="15" hidden="false" customHeight="false" outlineLevel="0" collapsed="false">
      <c r="B27" s="88" t="n">
        <v>17</v>
      </c>
      <c r="C27" s="70" t="n">
        <f aca="false">Miete_Monat*12*(1+Mietsteigerung)^(B27-1)</f>
        <v>15649.757038033</v>
      </c>
      <c r="D27" s="70" t="n">
        <f aca="false">-C27*Mietausfall</f>
        <v>-469.492711140989</v>
      </c>
      <c r="E27" s="70" t="n">
        <f aca="false">C27+D27</f>
        <v>15180.264326892</v>
      </c>
      <c r="F27" s="70" t="n">
        <f aca="false">-(Hausgeld_nu+Ruecklage+Verwaltung)*(1+Kostensteigerung)^(B27-1)</f>
        <v>-3418.23640567563</v>
      </c>
      <c r="G27" s="70" t="n">
        <f aca="false">-Finanzierung!E36</f>
        <v>-6736.40258773626</v>
      </c>
      <c r="H27" s="70" t="n">
        <f aca="false">-Finanzierung!F36</f>
        <v>-7228.59741226374</v>
      </c>
      <c r="I27" s="70" t="n">
        <f aca="false">G27+H27</f>
        <v>-13965</v>
      </c>
      <c r="J27" s="89" t="n">
        <f aca="false">E27+F27+I27</f>
        <v>-2202.97207878363</v>
      </c>
      <c r="K27" s="70" t="n">
        <f aca="false">Steuern!J39</f>
        <v>-602.912907158123</v>
      </c>
      <c r="L27" s="90" t="n">
        <f aca="false">J27+K27</f>
        <v>-2805.88498594175</v>
      </c>
      <c r="M27" s="70" t="n">
        <f aca="false">SUM(L$11:L27)</f>
        <v>-43164.7246813766</v>
      </c>
      <c r="N27" s="70" t="n">
        <f aca="false">Steuern!L39</f>
        <v>4900.4624</v>
      </c>
      <c r="O27" s="70" t="n">
        <f aca="false">Marktwert*(1+Wertsteigerung)^B27</f>
        <v>415871.70150015</v>
      </c>
      <c r="P27" s="70" t="n">
        <f aca="false">Finanzierung!H36</f>
        <v>142469.237870764</v>
      </c>
      <c r="Q27" s="89" t="n">
        <f aca="false">O27-P27</f>
        <v>273402.463629386</v>
      </c>
      <c r="R27" s="91" t="n">
        <f aca="false">IF(I27=0,"",(E27+F27)/-I27)</f>
        <v>0.842250477709729</v>
      </c>
      <c r="S27" s="70" t="n">
        <f aca="false">IF(B27=Haltedauer,Exit_Netto,0)</f>
        <v>0</v>
      </c>
      <c r="T27" s="92" t="n">
        <f aca="false">IF(B27&lt;=Haltedauer,L27+S27,0)</f>
        <v>0</v>
      </c>
    </row>
    <row r="28" customFormat="false" ht="15" hidden="false" customHeight="false" outlineLevel="0" collapsed="false">
      <c r="B28" s="88" t="n">
        <v>18</v>
      </c>
      <c r="C28" s="70" t="n">
        <f aca="false">Miete_Monat*12*(1+Mietsteigerung)^(B28-1)</f>
        <v>15962.7521787936</v>
      </c>
      <c r="D28" s="70" t="n">
        <f aca="false">-C28*Mietausfall</f>
        <v>-478.882565363809</v>
      </c>
      <c r="E28" s="70" t="n">
        <f aca="false">C28+D28</f>
        <v>15483.8696134298</v>
      </c>
      <c r="F28" s="70" t="n">
        <f aca="false">-(Hausgeld_nu+Ruecklage+Verwaltung)*(1+Kostensteigerung)^(B28-1)</f>
        <v>-3486.60113378914</v>
      </c>
      <c r="G28" s="70" t="n">
        <f aca="false">-Finanzierung!E37</f>
        <v>-6411.11570418439</v>
      </c>
      <c r="H28" s="70" t="n">
        <f aca="false">-Finanzierung!F37</f>
        <v>-7553.88429581561</v>
      </c>
      <c r="I28" s="70" t="n">
        <f aca="false">G28+H28</f>
        <v>-13965</v>
      </c>
      <c r="J28" s="89" t="n">
        <f aca="false">E28+F28+I28</f>
        <v>-1967.7315203593</v>
      </c>
      <c r="K28" s="70" t="n">
        <f aca="false">Steuern!J40</f>
        <v>-862.231680924438</v>
      </c>
      <c r="L28" s="90" t="n">
        <f aca="false">J28+K28</f>
        <v>-2829.96320128374</v>
      </c>
      <c r="M28" s="70" t="n">
        <f aca="false">SUM(L$11:L28)</f>
        <v>-45994.6878826604</v>
      </c>
      <c r="N28" s="70" t="n">
        <f aca="false">Steuern!L40</f>
        <v>4900.4624</v>
      </c>
      <c r="O28" s="70" t="n">
        <f aca="false">Marktwert*(1+Wertsteigerung)^B28</f>
        <v>424189.135530153</v>
      </c>
      <c r="P28" s="70" t="n">
        <f aca="false">Finanzierung!H37</f>
        <v>134915.353574949</v>
      </c>
      <c r="Q28" s="89" t="n">
        <f aca="false">O28-P28</f>
        <v>289273.781955205</v>
      </c>
      <c r="R28" s="91" t="n">
        <f aca="false">IF(I28=0,"",(E28+F28)/-I28)</f>
        <v>0.859095487263924</v>
      </c>
      <c r="S28" s="70" t="n">
        <f aca="false">IF(B28=Haltedauer,Exit_Netto,0)</f>
        <v>0</v>
      </c>
      <c r="T28" s="92" t="n">
        <f aca="false">IF(B28&lt;=Haltedauer,L28+S28,0)</f>
        <v>0</v>
      </c>
    </row>
    <row r="29" customFormat="false" ht="15" hidden="false" customHeight="false" outlineLevel="0" collapsed="false">
      <c r="B29" s="88" t="n">
        <v>19</v>
      </c>
      <c r="C29" s="70" t="n">
        <f aca="false">Miete_Monat*12*(1+Mietsteigerung)^(B29-1)</f>
        <v>16282.0072223695</v>
      </c>
      <c r="D29" s="70" t="n">
        <f aca="false">-C29*Mietausfall</f>
        <v>-488.460216671086</v>
      </c>
      <c r="E29" s="70" t="n">
        <f aca="false">C29+D29</f>
        <v>15793.5470056984</v>
      </c>
      <c r="F29" s="70" t="n">
        <f aca="false">-(Hausgeld_nu+Ruecklage+Verwaltung)*(1+Kostensteigerung)^(B29-1)</f>
        <v>-3556.33315646492</v>
      </c>
      <c r="G29" s="70" t="n">
        <f aca="false">-Finanzierung!E38</f>
        <v>-6071.19091087269</v>
      </c>
      <c r="H29" s="70" t="n">
        <f aca="false">-Finanzierung!F38</f>
        <v>-7893.80908912731</v>
      </c>
      <c r="I29" s="70" t="n">
        <f aca="false">G29+H29</f>
        <v>-13965</v>
      </c>
      <c r="J29" s="89" t="n">
        <f aca="false">E29+F29+I29</f>
        <v>-1727.78615076649</v>
      </c>
      <c r="K29" s="70" t="n">
        <f aca="false">Steuern!J41</f>
        <v>-1130.34019561862</v>
      </c>
      <c r="L29" s="90" t="n">
        <f aca="false">J29+K29</f>
        <v>-2858.12634638511</v>
      </c>
      <c r="M29" s="70" t="n">
        <f aca="false">SUM(L$11:L29)</f>
        <v>-48852.8142290455</v>
      </c>
      <c r="N29" s="70" t="n">
        <f aca="false">Steuern!L41</f>
        <v>4900.4624</v>
      </c>
      <c r="O29" s="70" t="n">
        <f aca="false">Marktwert*(1+Wertsteigerung)^B29</f>
        <v>432672.918240756</v>
      </c>
      <c r="P29" s="70" t="n">
        <f aca="false">Finanzierung!H38</f>
        <v>127021.544485821</v>
      </c>
      <c r="Q29" s="89" t="n">
        <f aca="false">O29-P29</f>
        <v>305651.373754935</v>
      </c>
      <c r="R29" s="91" t="n">
        <f aca="false">IF(I29=0,"",(E29+F29)/-I29)</f>
        <v>0.876277397009203</v>
      </c>
      <c r="S29" s="70" t="n">
        <f aca="false">IF(B29=Haltedauer,Exit_Netto,0)</f>
        <v>0</v>
      </c>
      <c r="T29" s="92" t="n">
        <f aca="false">IF(B29&lt;=Haltedauer,L29+S29,0)</f>
        <v>0</v>
      </c>
    </row>
    <row r="30" customFormat="false" ht="15" hidden="false" customHeight="false" outlineLevel="0" collapsed="false">
      <c r="B30" s="88" t="n">
        <v>20</v>
      </c>
      <c r="C30" s="70" t="n">
        <f aca="false">Miete_Monat*12*(1+Mietsteigerung)^(B30-1)</f>
        <v>16607.6473668169</v>
      </c>
      <c r="D30" s="70" t="n">
        <f aca="false">-C30*Mietausfall</f>
        <v>-498.229421004507</v>
      </c>
      <c r="E30" s="70" t="n">
        <f aca="false">C30+D30</f>
        <v>16109.4179458124</v>
      </c>
      <c r="F30" s="70" t="n">
        <f aca="false">-(Hausgeld_nu+Ruecklage+Verwaltung)*(1+Kostensteigerung)^(B30-1)</f>
        <v>-3627.45981959422</v>
      </c>
      <c r="G30" s="70" t="n">
        <f aca="false">-Finanzierung!E39</f>
        <v>-5715.96950186196</v>
      </c>
      <c r="H30" s="70" t="n">
        <f aca="false">-Finanzierung!F39</f>
        <v>-8249.03049813804</v>
      </c>
      <c r="I30" s="70" t="n">
        <f aca="false">G30+H30</f>
        <v>-13965</v>
      </c>
      <c r="J30" s="89" t="n">
        <f aca="false">E30+F30+I30</f>
        <v>-1483.04187378182</v>
      </c>
      <c r="K30" s="70" t="n">
        <f aca="false">Steuern!J42</f>
        <v>-1407.5763975046</v>
      </c>
      <c r="L30" s="90" t="n">
        <f aca="false">J30+K30</f>
        <v>-2890.61827128642</v>
      </c>
      <c r="M30" s="70" t="n">
        <f aca="false">SUM(L$11:L30)</f>
        <v>-51743.4325003319</v>
      </c>
      <c r="N30" s="70" t="n">
        <f aca="false">Steuern!L42</f>
        <v>4900.4624</v>
      </c>
      <c r="O30" s="70" t="n">
        <f aca="false">Marktwert*(1+Wertsteigerung)^B30</f>
        <v>441326.376605571</v>
      </c>
      <c r="P30" s="70" t="n">
        <f aca="false">Finanzierung!H39</f>
        <v>118772.513987683</v>
      </c>
      <c r="Q30" s="89" t="n">
        <f aca="false">O30-P30</f>
        <v>322553.862617888</v>
      </c>
      <c r="R30" s="91" t="n">
        <f aca="false">IF(I30=0,"",(E30+F30)/-I30)</f>
        <v>0.893802944949386</v>
      </c>
      <c r="S30" s="70" t="n">
        <f aca="false">IF(B30=Haltedauer,Exit_Netto,0)</f>
        <v>0</v>
      </c>
      <c r="T30" s="92" t="n">
        <f aca="false">IF(B30&lt;=Haltedauer,L30+S30,0)</f>
        <v>0</v>
      </c>
    </row>
    <row r="31" customFormat="false" ht="15" hidden="false" customHeight="false" outlineLevel="0" collapsed="false">
      <c r="B31" s="88" t="n">
        <v>21</v>
      </c>
      <c r="C31" s="70" t="n">
        <f aca="false">Miete_Monat*12*(1+Mietsteigerung)^(B31-1)</f>
        <v>16939.8003141532</v>
      </c>
      <c r="D31" s="70" t="n">
        <f aca="false">-C31*Mietausfall</f>
        <v>-508.194009424597</v>
      </c>
      <c r="E31" s="70" t="n">
        <f aca="false">C31+D31</f>
        <v>16431.6063047286</v>
      </c>
      <c r="F31" s="70" t="n">
        <f aca="false">-(Hausgeld_nu+Ruecklage+Verwaltung)*(1+Kostensteigerung)^(B31-1)</f>
        <v>-3700.0090159861</v>
      </c>
      <c r="G31" s="70" t="n">
        <f aca="false">-Finanzierung!E40</f>
        <v>-5344.76312944574</v>
      </c>
      <c r="H31" s="70" t="n">
        <f aca="false">-Finanzierung!F40</f>
        <v>-8620.23687055425</v>
      </c>
      <c r="I31" s="70" t="n">
        <f aca="false">G31+H31</f>
        <v>-13965</v>
      </c>
      <c r="J31" s="89" t="n">
        <f aca="false">E31+F31+I31</f>
        <v>-1233.40271125745</v>
      </c>
      <c r="K31" s="70" t="n">
        <f aca="false">Steuern!J43</f>
        <v>-1694.29228858662</v>
      </c>
      <c r="L31" s="90" t="n">
        <f aca="false">J31+K31</f>
        <v>-2927.69499984407</v>
      </c>
      <c r="M31" s="70" t="n">
        <f aca="false">SUM(L$11:L31)</f>
        <v>-54671.127500176</v>
      </c>
      <c r="N31" s="70" t="n">
        <f aca="false">Steuern!L43</f>
        <v>4900.4624</v>
      </c>
      <c r="O31" s="70" t="n">
        <f aca="false">Marktwert*(1+Wertsteigerung)^B31</f>
        <v>450152.904137683</v>
      </c>
      <c r="P31" s="70" t="n">
        <f aca="false">Finanzierung!H40</f>
        <v>110152.277117129</v>
      </c>
      <c r="Q31" s="89" t="n">
        <f aca="false">O31-P31</f>
        <v>340000.627020554</v>
      </c>
      <c r="R31" s="91" t="n">
        <f aca="false">IF(I31=0,"",(E31+F31)/-I31)</f>
        <v>0.911679003848374</v>
      </c>
      <c r="S31" s="70" t="n">
        <f aca="false">IF(B31=Haltedauer,Exit_Netto,0)</f>
        <v>0</v>
      </c>
      <c r="T31" s="92" t="n">
        <f aca="false">IF(B31&lt;=Haltedauer,L31+S31,0)</f>
        <v>0</v>
      </c>
    </row>
    <row r="32" customFormat="false" ht="15" hidden="false" customHeight="false" outlineLevel="0" collapsed="false">
      <c r="B32" s="88" t="n">
        <v>22</v>
      </c>
      <c r="C32" s="70" t="n">
        <f aca="false">Miete_Monat*12*(1+Mietsteigerung)^(B32-1)</f>
        <v>17278.5963204363</v>
      </c>
      <c r="D32" s="70" t="n">
        <f aca="false">-C32*Mietausfall</f>
        <v>-518.357889613089</v>
      </c>
      <c r="E32" s="70" t="n">
        <f aca="false">C32+D32</f>
        <v>16760.2384308232</v>
      </c>
      <c r="F32" s="70" t="n">
        <f aca="false">-(Hausgeld_nu+Ruecklage+Verwaltung)*(1+Kostensteigerung)^(B32-1)</f>
        <v>-3774.00919630583</v>
      </c>
      <c r="G32" s="70" t="n">
        <f aca="false">-Finanzierung!E41</f>
        <v>-4956.8524702708</v>
      </c>
      <c r="H32" s="70" t="n">
        <f aca="false">-Finanzierung!F41</f>
        <v>-9008.1475297292</v>
      </c>
      <c r="I32" s="70" t="n">
        <f aca="false">G32+H32</f>
        <v>-13965</v>
      </c>
      <c r="J32" s="89" t="n">
        <f aca="false">E32+F32+I32</f>
        <v>-978.770765482601</v>
      </c>
      <c r="K32" s="70" t="n">
        <f aca="false">Steuern!J44</f>
        <v>-1990.85453608072</v>
      </c>
      <c r="L32" s="90" t="n">
        <f aca="false">J32+K32</f>
        <v>-2969.62530156332</v>
      </c>
      <c r="M32" s="70" t="n">
        <f aca="false">SUM(L$11:L32)</f>
        <v>-57640.7528017393</v>
      </c>
      <c r="N32" s="70" t="n">
        <f aca="false">Steuern!L44</f>
        <v>4900.4624</v>
      </c>
      <c r="O32" s="70" t="n">
        <f aca="false">Marktwert*(1+Wertsteigerung)^B32</f>
        <v>459155.962220437</v>
      </c>
      <c r="P32" s="70" t="n">
        <f aca="false">Finanzierung!H41</f>
        <v>101144.1295874</v>
      </c>
      <c r="Q32" s="89" t="n">
        <f aca="false">O32-P32</f>
        <v>358011.832633037</v>
      </c>
      <c r="R32" s="91" t="n">
        <f aca="false">IF(I32=0,"",(E32+F32)/-I32)</f>
        <v>0.929912583925342</v>
      </c>
      <c r="S32" s="70" t="n">
        <f aca="false">IF(B32=Haltedauer,Exit_Netto,0)</f>
        <v>0</v>
      </c>
      <c r="T32" s="92" t="n">
        <f aca="false">IF(B32&lt;=Haltedauer,L32+S32,0)</f>
        <v>0</v>
      </c>
    </row>
    <row r="33" customFormat="false" ht="15" hidden="false" customHeight="false" outlineLevel="0" collapsed="false">
      <c r="B33" s="88" t="n">
        <v>23</v>
      </c>
      <c r="C33" s="70" t="n">
        <f aca="false">Miete_Monat*12*(1+Mietsteigerung)^(B33-1)</f>
        <v>17624.168246845</v>
      </c>
      <c r="D33" s="70" t="n">
        <f aca="false">-C33*Mietausfall</f>
        <v>-528.725047405351</v>
      </c>
      <c r="E33" s="70" t="n">
        <f aca="false">C33+D33</f>
        <v>17095.4431994397</v>
      </c>
      <c r="F33" s="70" t="n">
        <f aca="false">-(Hausgeld_nu+Ruecklage+Verwaltung)*(1+Kostensteigerung)^(B33-1)</f>
        <v>-3849.48938023194</v>
      </c>
      <c r="G33" s="70" t="n">
        <f aca="false">-Finanzierung!E42</f>
        <v>-4551.48583143299</v>
      </c>
      <c r="H33" s="70" t="n">
        <f aca="false">-Finanzierung!F42</f>
        <v>-9413.51416856701</v>
      </c>
      <c r="I33" s="70" t="n">
        <f aca="false">G33+H33</f>
        <v>-13965</v>
      </c>
      <c r="J33" s="89" t="n">
        <f aca="false">E33+F33+I33</f>
        <v>-719.046180792253</v>
      </c>
      <c r="K33" s="70" t="n">
        <f aca="false">Steuern!J45</f>
        <v>-2297.64510885171</v>
      </c>
      <c r="L33" s="90" t="n">
        <f aca="false">J33+K33</f>
        <v>-3016.69128964396</v>
      </c>
      <c r="M33" s="70" t="n">
        <f aca="false">SUM(L$11:L33)</f>
        <v>-60657.4440913833</v>
      </c>
      <c r="N33" s="70" t="n">
        <f aca="false">Steuern!L45</f>
        <v>4900.4624</v>
      </c>
      <c r="O33" s="70" t="n">
        <f aca="false">Marktwert*(1+Wertsteigerung)^B33</f>
        <v>468339.081464845</v>
      </c>
      <c r="P33" s="70" t="n">
        <f aca="false">Finanzierung!H42</f>
        <v>91730.6154188328</v>
      </c>
      <c r="Q33" s="89" t="n">
        <f aca="false">O33-P33</f>
        <v>376608.466046013</v>
      </c>
      <c r="R33" s="91" t="n">
        <f aca="false">IF(I33=0,"",(E33+F33)/-I33)</f>
        <v>0.948510835603849</v>
      </c>
      <c r="S33" s="70" t="n">
        <f aca="false">IF(B33=Haltedauer,Exit_Netto,0)</f>
        <v>0</v>
      </c>
      <c r="T33" s="92" t="n">
        <f aca="false">IF(B33&lt;=Haltedauer,L33+S33,0)</f>
        <v>0</v>
      </c>
    </row>
    <row r="34" customFormat="false" ht="15" hidden="false" customHeight="false" outlineLevel="0" collapsed="false">
      <c r="B34" s="88" t="n">
        <v>24</v>
      </c>
      <c r="C34" s="70" t="n">
        <f aca="false">Miete_Monat*12*(1+Mietsteigerung)^(B34-1)</f>
        <v>17976.6516117819</v>
      </c>
      <c r="D34" s="70" t="n">
        <f aca="false">-C34*Mietausfall</f>
        <v>-539.299548353458</v>
      </c>
      <c r="E34" s="70" t="n">
        <f aca="false">C34+D34</f>
        <v>17437.3520634285</v>
      </c>
      <c r="F34" s="70" t="n">
        <f aca="false">-(Hausgeld_nu+Ruecklage+Verwaltung)*(1+Kostensteigerung)^(B34-1)</f>
        <v>-3926.47916783658</v>
      </c>
      <c r="G34" s="70" t="n">
        <f aca="false">-Finanzierung!E43</f>
        <v>-4127.87769384747</v>
      </c>
      <c r="H34" s="70" t="n">
        <f aca="false">-Finanzierung!F43</f>
        <v>-9837.12230615252</v>
      </c>
      <c r="I34" s="70" t="n">
        <f aca="false">G34+H34</f>
        <v>-13965</v>
      </c>
      <c r="J34" s="89" t="n">
        <f aca="false">E34+F34+I34</f>
        <v>-454.127104408099</v>
      </c>
      <c r="K34" s="70" t="n">
        <f aca="false">Steuern!J46</f>
        <v>-2615.06194201984</v>
      </c>
      <c r="L34" s="90" t="n">
        <f aca="false">J34+K34</f>
        <v>-3069.18904642794</v>
      </c>
      <c r="M34" s="70" t="n">
        <f aca="false">SUM(L$11:L34)</f>
        <v>-63726.6331378112</v>
      </c>
      <c r="N34" s="70" t="n">
        <f aca="false">Steuern!L46</f>
        <v>4900.4624</v>
      </c>
      <c r="O34" s="70" t="n">
        <f aca="false">Marktwert*(1+Wertsteigerung)^B34</f>
        <v>477705.863094142</v>
      </c>
      <c r="P34" s="70" t="n">
        <f aca="false">Finanzierung!H43</f>
        <v>81893.4931126802</v>
      </c>
      <c r="Q34" s="89" t="n">
        <f aca="false">O34-P34</f>
        <v>395812.369981462</v>
      </c>
      <c r="R34" s="91" t="n">
        <f aca="false">IF(I34=0,"",(E34+F34)/-I34)</f>
        <v>0.967481052315926</v>
      </c>
      <c r="S34" s="70" t="n">
        <f aca="false">IF(B34=Haltedauer,Exit_Netto,0)</f>
        <v>0</v>
      </c>
      <c r="T34" s="92" t="n">
        <f aca="false">IF(B34&lt;=Haltedauer,L34+S34,0)</f>
        <v>0</v>
      </c>
    </row>
    <row r="35" customFormat="false" ht="15" hidden="false" customHeight="false" outlineLevel="0" collapsed="false">
      <c r="B35" s="88" t="n">
        <v>25</v>
      </c>
      <c r="C35" s="70" t="n">
        <f aca="false">Miete_Monat*12*(1+Mietsteigerung)^(B35-1)</f>
        <v>18336.1846440176</v>
      </c>
      <c r="D35" s="70" t="n">
        <f aca="false">-C35*Mietausfall</f>
        <v>-550.085539320527</v>
      </c>
      <c r="E35" s="70" t="n">
        <f aca="false">C35+D35</f>
        <v>17786.0991046971</v>
      </c>
      <c r="F35" s="70" t="n">
        <f aca="false">-(Hausgeld_nu+Ruecklage+Verwaltung)*(1+Kostensteigerung)^(B35-1)</f>
        <v>-4005.00875119331</v>
      </c>
      <c r="G35" s="70" t="n">
        <f aca="false">-Finanzierung!E44</f>
        <v>-3685.20719007061</v>
      </c>
      <c r="H35" s="70" t="n">
        <f aca="false">-Finanzierung!F44</f>
        <v>-10279.7928099294</v>
      </c>
      <c r="I35" s="70" t="n">
        <f aca="false">G35+H35</f>
        <v>-13965</v>
      </c>
      <c r="J35" s="89" t="n">
        <f aca="false">E35+F35+I35</f>
        <v>-183.909646496259</v>
      </c>
      <c r="K35" s="70" t="n">
        <f aca="false">Steuern!J47</f>
        <v>-2943.51963099544</v>
      </c>
      <c r="L35" s="90" t="n">
        <f aca="false">J35+K35</f>
        <v>-3127.4292774917</v>
      </c>
      <c r="M35" s="70" t="n">
        <f aca="false">SUM(L$11:L35)</f>
        <v>-66854.0624153029</v>
      </c>
      <c r="N35" s="70" t="n">
        <f aca="false">Steuern!L47</f>
        <v>4900.4624</v>
      </c>
      <c r="O35" s="70" t="n">
        <f aca="false">Marktwert*(1+Wertsteigerung)^B35</f>
        <v>487259.980356025</v>
      </c>
      <c r="P35" s="70" t="n">
        <f aca="false">Finanzierung!H44</f>
        <v>71613.7003027508</v>
      </c>
      <c r="Q35" s="89" t="n">
        <f aca="false">O35-P35</f>
        <v>415646.280053274</v>
      </c>
      <c r="R35" s="91" t="n">
        <f aca="false">IF(I35=0,"",(E35+F35)/-I35)</f>
        <v>0.986830673362244</v>
      </c>
      <c r="S35" s="70" t="n">
        <f aca="false">IF(B35=Haltedauer,Exit_Netto,0)</f>
        <v>0</v>
      </c>
      <c r="T35" s="92" t="n">
        <f aca="false">IF(B35&lt;=Haltedauer,L35+S35,0)</f>
        <v>0</v>
      </c>
    </row>
    <row r="36" customFormat="false" ht="15" hidden="false" customHeight="false" outlineLevel="0" collapsed="false">
      <c r="B36" s="88" t="n">
        <v>26</v>
      </c>
      <c r="C36" s="70" t="n">
        <f aca="false">Miete_Monat*12*(1+Mietsteigerung)^(B36-1)</f>
        <v>18702.9083368979</v>
      </c>
      <c r="D36" s="70" t="n">
        <f aca="false">-C36*Mietausfall</f>
        <v>-561.087250106938</v>
      </c>
      <c r="E36" s="70" t="n">
        <f aca="false">C36+D36</f>
        <v>18141.821086791</v>
      </c>
      <c r="F36" s="70" t="n">
        <f aca="false">-(Hausgeld_nu+Ruecklage+Verwaltung)*(1+Kostensteigerung)^(B36-1)</f>
        <v>-4085.10892621718</v>
      </c>
      <c r="G36" s="70" t="n">
        <f aca="false">-Finanzierung!E45</f>
        <v>-3222.61651362379</v>
      </c>
      <c r="H36" s="70" t="n">
        <f aca="false">-Finanzierung!F45</f>
        <v>-10742.3834863762</v>
      </c>
      <c r="I36" s="70" t="n">
        <f aca="false">G36+H36</f>
        <v>-13965</v>
      </c>
      <c r="J36" s="89" t="n">
        <f aca="false">E36+F36+I36</f>
        <v>91.7121605738139</v>
      </c>
      <c r="K36" s="70" t="n">
        <f aca="false">Steuern!J48</f>
        <v>-3283.45015625615</v>
      </c>
      <c r="L36" s="90" t="n">
        <f aca="false">J36+K36</f>
        <v>-3191.73799568233</v>
      </c>
      <c r="M36" s="70" t="n">
        <f aca="false">SUM(L$11:L36)</f>
        <v>-70045.8004109852</v>
      </c>
      <c r="N36" s="70" t="n">
        <f aca="false">Steuern!L48</f>
        <v>4900.4624</v>
      </c>
      <c r="O36" s="70" t="n">
        <f aca="false">Marktwert*(1+Wertsteigerung)^B36</f>
        <v>497005.179963145</v>
      </c>
      <c r="P36" s="70" t="n">
        <f aca="false">Finanzierung!H45</f>
        <v>60871.3168163746</v>
      </c>
      <c r="Q36" s="89" t="n">
        <f aca="false">O36-P36</f>
        <v>436133.863146771</v>
      </c>
      <c r="R36" s="91" t="n">
        <f aca="false">IF(I36=0,"",(E36+F36)/-I36)</f>
        <v>1.00656728682949</v>
      </c>
      <c r="S36" s="70" t="n">
        <f aca="false">IF(B36=Haltedauer,Exit_Netto,0)</f>
        <v>0</v>
      </c>
      <c r="T36" s="92" t="n">
        <f aca="false">IF(B36&lt;=Haltedauer,L36+S36,0)</f>
        <v>0</v>
      </c>
    </row>
    <row r="37" customFormat="false" ht="15" hidden="false" customHeight="false" outlineLevel="0" collapsed="false">
      <c r="B37" s="88" t="n">
        <v>27</v>
      </c>
      <c r="C37" s="70" t="n">
        <f aca="false">Miete_Monat*12*(1+Mietsteigerung)^(B37-1)</f>
        <v>19076.9665036359</v>
      </c>
      <c r="D37" s="70" t="n">
        <f aca="false">-C37*Mietausfall</f>
        <v>-572.308995109077</v>
      </c>
      <c r="E37" s="70" t="n">
        <f aca="false">C37+D37</f>
        <v>18504.6575085268</v>
      </c>
      <c r="F37" s="70" t="n">
        <f aca="false">-(Hausgeld_nu+Ruecklage+Verwaltung)*(1+Kostensteigerung)^(B37-1)</f>
        <v>-4166.81110474152</v>
      </c>
      <c r="G37" s="70" t="n">
        <f aca="false">-Finanzierung!E46</f>
        <v>-2739.20925673686</v>
      </c>
      <c r="H37" s="70" t="n">
        <f aca="false">-Finanzierung!F46</f>
        <v>-11225.7907432631</v>
      </c>
      <c r="I37" s="70" t="n">
        <f aca="false">G37+H37</f>
        <v>-13965</v>
      </c>
      <c r="J37" s="89" t="n">
        <f aca="false">E37+F37+I37</f>
        <v>372.846403785288</v>
      </c>
      <c r="K37" s="70" t="n">
        <f aca="false">Steuern!J49</f>
        <v>-3635.3036402404</v>
      </c>
      <c r="L37" s="90" t="n">
        <f aca="false">J37+K37</f>
        <v>-3262.45723645511</v>
      </c>
      <c r="M37" s="70" t="n">
        <f aca="false">SUM(L$11:L37)</f>
        <v>-73308.2576474404</v>
      </c>
      <c r="N37" s="70" t="n">
        <f aca="false">Steuern!L49</f>
        <v>4900.4624</v>
      </c>
      <c r="O37" s="70" t="n">
        <f aca="false">Marktwert*(1+Wertsteigerung)^B37</f>
        <v>506945.283562408</v>
      </c>
      <c r="P37" s="70" t="n">
        <f aca="false">Finanzierung!H46</f>
        <v>49645.5260731115</v>
      </c>
      <c r="Q37" s="89" t="n">
        <f aca="false">O37-P37</f>
        <v>457299.757489297</v>
      </c>
      <c r="R37" s="91" t="n">
        <f aca="false">IF(I37=0,"",(E37+F37)/-I37)</f>
        <v>1.02669863256608</v>
      </c>
      <c r="S37" s="70" t="n">
        <f aca="false">IF(B37=Haltedauer,Exit_Netto,0)</f>
        <v>0</v>
      </c>
      <c r="T37" s="92" t="n">
        <f aca="false">IF(B37&lt;=Haltedauer,L37+S37,0)</f>
        <v>0</v>
      </c>
    </row>
    <row r="38" customFormat="false" ht="15" hidden="false" customHeight="false" outlineLevel="0" collapsed="false">
      <c r="B38" s="88" t="n">
        <v>28</v>
      </c>
      <c r="C38" s="70" t="n">
        <f aca="false">Miete_Monat*12*(1+Mietsteigerung)^(B38-1)</f>
        <v>19458.5058337086</v>
      </c>
      <c r="D38" s="70" t="n">
        <f aca="false">-C38*Mietausfall</f>
        <v>-583.755175011258</v>
      </c>
      <c r="E38" s="70" t="n">
        <f aca="false">C38+D38</f>
        <v>18874.7506586973</v>
      </c>
      <c r="F38" s="70" t="n">
        <f aca="false">-(Hausgeld_nu+Ruecklage+Verwaltung)*(1+Kostensteigerung)^(B38-1)</f>
        <v>-4250.14732683635</v>
      </c>
      <c r="G38" s="70" t="n">
        <f aca="false">-Finanzierung!E47</f>
        <v>-2234.04867329002</v>
      </c>
      <c r="H38" s="70" t="n">
        <f aca="false">-Finanzierung!F47</f>
        <v>-11730.95132671</v>
      </c>
      <c r="I38" s="70" t="n">
        <f aca="false">G38+H38</f>
        <v>-13965</v>
      </c>
      <c r="J38" s="89" t="n">
        <f aca="false">E38+F38+I38</f>
        <v>659.603331860995</v>
      </c>
      <c r="K38" s="70" t="n">
        <f aca="false">Steuern!J50</f>
        <v>-3999.54913779251</v>
      </c>
      <c r="L38" s="90" t="n">
        <f aca="false">J38+K38</f>
        <v>-3339.94580593151</v>
      </c>
      <c r="M38" s="70" t="n">
        <f aca="false">SUM(L$11:L38)</f>
        <v>-76648.2034533719</v>
      </c>
      <c r="N38" s="70" t="n">
        <f aca="false">Steuern!L50</f>
        <v>4900.4624</v>
      </c>
      <c r="O38" s="70" t="n">
        <f aca="false">Marktwert*(1+Wertsteigerung)^B38</f>
        <v>517084.189233657</v>
      </c>
      <c r="P38" s="70" t="n">
        <f aca="false">Finanzierung!H47</f>
        <v>37914.5747464015</v>
      </c>
      <c r="Q38" s="89" t="n">
        <f aca="false">O38-P38</f>
        <v>479169.614487255</v>
      </c>
      <c r="R38" s="91" t="n">
        <f aca="false">IF(I38=0,"",(E38+F38)/-I38)</f>
        <v>1.0472326052174</v>
      </c>
      <c r="S38" s="70" t="n">
        <f aca="false">IF(B38=Haltedauer,Exit_Netto,0)</f>
        <v>0</v>
      </c>
      <c r="T38" s="92" t="n">
        <f aca="false">IF(B38&lt;=Haltedauer,L38+S38,0)</f>
        <v>0</v>
      </c>
    </row>
    <row r="39" customFormat="false" ht="15" hidden="false" customHeight="false" outlineLevel="0" collapsed="false">
      <c r="B39" s="88" t="n">
        <v>29</v>
      </c>
      <c r="C39" s="70" t="n">
        <f aca="false">Miete_Monat*12*(1+Mietsteigerung)^(B39-1)</f>
        <v>19847.6759503828</v>
      </c>
      <c r="D39" s="70" t="n">
        <f aca="false">-C39*Mietausfall</f>
        <v>-595.430278511483</v>
      </c>
      <c r="E39" s="70" t="n">
        <f aca="false">C39+D39</f>
        <v>19252.2456718713</v>
      </c>
      <c r="F39" s="70" t="n">
        <f aca="false">-(Hausgeld_nu+Ruecklage+Verwaltung)*(1+Kostensteigerung)^(B39-1)</f>
        <v>-4335.15027337308</v>
      </c>
      <c r="G39" s="70" t="n">
        <f aca="false">-Finanzierung!E48</f>
        <v>-1706.15586358807</v>
      </c>
      <c r="H39" s="70" t="n">
        <f aca="false">-Finanzierung!F48</f>
        <v>-12258.8441364119</v>
      </c>
      <c r="I39" s="70" t="n">
        <f aca="false">G39+H39</f>
        <v>-13965</v>
      </c>
      <c r="J39" s="89" t="n">
        <f aca="false">E39+F39+I39</f>
        <v>952.095398498215</v>
      </c>
      <c r="K39" s="70" t="n">
        <f aca="false">Steuern!J51</f>
        <v>-4376.67546165879</v>
      </c>
      <c r="L39" s="90" t="n">
        <f aca="false">J39+K39</f>
        <v>-3424.58006316057</v>
      </c>
      <c r="M39" s="70" t="n">
        <f aca="false">SUM(L$11:L39)</f>
        <v>-80072.7835165324</v>
      </c>
      <c r="N39" s="70" t="n">
        <f aca="false">Steuern!L51</f>
        <v>4900.4624</v>
      </c>
      <c r="O39" s="70" t="n">
        <f aca="false">Marktwert*(1+Wertsteigerung)^B39</f>
        <v>527425.87301833</v>
      </c>
      <c r="P39" s="70" t="n">
        <f aca="false">Finanzierung!H48</f>
        <v>25655.7306099896</v>
      </c>
      <c r="Q39" s="89" t="n">
        <f aca="false">O39-P39</f>
        <v>501770.14240834</v>
      </c>
      <c r="R39" s="91" t="n">
        <f aca="false">IF(I39=0,"",(E39+F39)/-I39)</f>
        <v>1.06817725732175</v>
      </c>
      <c r="S39" s="70" t="n">
        <f aca="false">IF(B39=Haltedauer,Exit_Netto,0)</f>
        <v>0</v>
      </c>
      <c r="T39" s="92" t="n">
        <f aca="false">IF(B39&lt;=Haltedauer,L39+S39,0)</f>
        <v>0</v>
      </c>
    </row>
    <row r="40" customFormat="false" ht="15" hidden="false" customHeight="false" outlineLevel="0" collapsed="false">
      <c r="B40" s="88" t="n">
        <v>30</v>
      </c>
      <c r="C40" s="70" t="n">
        <f aca="false">Miete_Monat*12*(1+Mietsteigerung)^(B40-1)</f>
        <v>20244.6294693904</v>
      </c>
      <c r="D40" s="70" t="n">
        <f aca="false">-C40*Mietausfall</f>
        <v>-607.338884081713</v>
      </c>
      <c r="E40" s="70" t="n">
        <f aca="false">C40+D40</f>
        <v>19637.2905853087</v>
      </c>
      <c r="F40" s="70" t="n">
        <f aca="false">-(Hausgeld_nu+Ruecklage+Verwaltung)*(1+Kostensteigerung)^(B40-1)</f>
        <v>-4421.85327884054</v>
      </c>
      <c r="G40" s="70" t="n">
        <f aca="false">-Finanzierung!E49</f>
        <v>-1154.50787744953</v>
      </c>
      <c r="H40" s="70" t="n">
        <f aca="false">-Finanzierung!F49</f>
        <v>-12810.4921225505</v>
      </c>
      <c r="I40" s="70" t="n">
        <f aca="false">G40+H40</f>
        <v>-13965</v>
      </c>
      <c r="J40" s="89" t="n">
        <f aca="false">E40+F40+I40</f>
        <v>1250.43730646818</v>
      </c>
      <c r="K40" s="70" t="n">
        <f aca="false">Steuern!J52</f>
        <v>-4767.19204460187</v>
      </c>
      <c r="L40" s="90" t="n">
        <f aca="false">J40+K40</f>
        <v>-3516.75473813368</v>
      </c>
      <c r="M40" s="70" t="n">
        <f aca="false">SUM(L$11:L40)</f>
        <v>-83589.5382546661</v>
      </c>
      <c r="N40" s="70" t="n">
        <f aca="false">Steuern!L52</f>
        <v>4900.4624</v>
      </c>
      <c r="O40" s="70" t="n">
        <f aca="false">Marktwert*(1+Wertsteigerung)^B40</f>
        <v>537974.390478696</v>
      </c>
      <c r="P40" s="70" t="n">
        <f aca="false">Finanzierung!H49</f>
        <v>12845.2384874391</v>
      </c>
      <c r="Q40" s="89" t="n">
        <f aca="false">O40-P40</f>
        <v>525129.151991257</v>
      </c>
      <c r="R40" s="91" t="n">
        <f aca="false">IF(I40=0,"",(E40+F40)/-I40)</f>
        <v>1.08954080246818</v>
      </c>
      <c r="S40" s="70" t="n">
        <f aca="false">IF(B40=Haltedauer,Exit_Netto,0)</f>
        <v>0</v>
      </c>
      <c r="T40" s="92" t="n">
        <f aca="false">IF(B40&lt;=Haltedauer,L40+S40,0)</f>
        <v>0</v>
      </c>
    </row>
    <row r="41" customFormat="false" ht="15" hidden="false" customHeight="false" outlineLevel="0" collapsed="false">
      <c r="B41" s="66" t="s">
        <v>213</v>
      </c>
    </row>
    <row r="43" customFormat="false" ht="21" hidden="false" customHeight="true" outlineLevel="0" collapsed="false">
      <c r="B43" s="11" t="s">
        <v>214</v>
      </c>
      <c r="C43" s="12"/>
      <c r="D43" s="12"/>
      <c r="E43" s="12"/>
      <c r="F43" s="12"/>
      <c r="G43" s="23" t="s">
        <v>215</v>
      </c>
      <c r="I43" s="11" t="s">
        <v>216</v>
      </c>
      <c r="J43" s="12"/>
      <c r="K43" s="12"/>
      <c r="L43" s="12"/>
      <c r="M43" s="12"/>
      <c r="N43" s="12"/>
    </row>
    <row r="44" customFormat="false" ht="15" hidden="false" customHeight="false" outlineLevel="0" collapsed="false">
      <c r="B44" s="59" t="s">
        <v>217</v>
      </c>
      <c r="C44" s="59"/>
      <c r="D44" s="59"/>
      <c r="E44" s="59"/>
      <c r="F44" s="93" t="n">
        <f aca="false">Haltedauer</f>
        <v>12</v>
      </c>
      <c r="G44" s="15"/>
      <c r="I44" s="59" t="s">
        <v>218</v>
      </c>
      <c r="J44" s="59"/>
      <c r="K44" s="59"/>
      <c r="L44" s="59"/>
      <c r="M44" s="59"/>
      <c r="N44" s="20" t="n">
        <f aca="false">Miete_Monat*12/Kaufpreis</f>
        <v>0.04</v>
      </c>
    </row>
    <row r="45" customFormat="false" ht="15" hidden="false" customHeight="false" outlineLevel="0" collapsed="false">
      <c r="B45" s="59" t="s">
        <v>219</v>
      </c>
      <c r="C45" s="59"/>
      <c r="D45" s="59"/>
      <c r="E45" s="59"/>
      <c r="F45" s="94" t="n">
        <f aca="false">INDEX(O11:O40,Haltedauer)</f>
        <v>376667.812985076</v>
      </c>
      <c r="G45" s="15"/>
      <c r="I45" s="59" t="s">
        <v>220</v>
      </c>
      <c r="J45" s="59"/>
      <c r="K45" s="59"/>
      <c r="L45" s="59"/>
      <c r="M45" s="59"/>
      <c r="N45" s="20" t="n">
        <f aca="false">(E11+F11)/Gesamtinvestition</f>
        <v>0.0260445718437143</v>
      </c>
    </row>
    <row r="46" customFormat="false" ht="15" hidden="false" customHeight="false" outlineLevel="0" collapsed="false">
      <c r="B46" s="59" t="s">
        <v>221</v>
      </c>
      <c r="C46" s="59"/>
      <c r="D46" s="59"/>
      <c r="E46" s="59"/>
      <c r="F46" s="94" t="n">
        <f aca="false">-F45*Verkaufskosten</f>
        <v>-11300.0343895523</v>
      </c>
      <c r="G46" s="15"/>
      <c r="I46" s="59" t="s">
        <v>222</v>
      </c>
      <c r="J46" s="59"/>
      <c r="K46" s="59"/>
      <c r="L46" s="59"/>
      <c r="M46" s="59"/>
      <c r="N46" s="19" t="n">
        <f aca="false">R11</f>
        <v>0.613533834586466</v>
      </c>
    </row>
    <row r="47" customFormat="false" ht="15" hidden="false" customHeight="false" outlineLevel="0" collapsed="false">
      <c r="B47" s="59" t="s">
        <v>223</v>
      </c>
      <c r="C47" s="59"/>
      <c r="D47" s="59"/>
      <c r="E47" s="59"/>
      <c r="F47" s="94" t="n">
        <f aca="false">-INDEX(P11:P40,Haltedauer)</f>
        <v>-175630.614259504</v>
      </c>
      <c r="G47" s="15"/>
      <c r="I47" s="59" t="s">
        <v>224</v>
      </c>
      <c r="J47" s="59"/>
      <c r="K47" s="59"/>
      <c r="L47" s="59"/>
      <c r="M47" s="59"/>
      <c r="N47" s="17" t="n">
        <f aca="false">L11/12</f>
        <v>273.68542712</v>
      </c>
    </row>
    <row r="48" customFormat="false" ht="15" hidden="false" customHeight="false" outlineLevel="0" collapsed="false">
      <c r="B48" s="59" t="s">
        <v>225</v>
      </c>
      <c r="C48" s="59"/>
      <c r="D48" s="59"/>
      <c r="E48" s="59"/>
      <c r="F48" s="94" t="n">
        <f aca="false">AK_Immobilie+Inventar_AK+IF(Regel15_ok=1,0,Renovierung)-SUMPRODUCT((B11:B40&lt;=Haltedauer)*N11:N40)</f>
        <v>247473.3512</v>
      </c>
      <c r="G48" s="15"/>
      <c r="I48" s="59" t="s">
        <v>226</v>
      </c>
      <c r="J48" s="59"/>
      <c r="K48" s="59"/>
      <c r="L48" s="59"/>
      <c r="M48" s="59"/>
      <c r="N48" s="17" t="n">
        <f aca="false">L12/12</f>
        <v>-251.90244338</v>
      </c>
    </row>
    <row r="49" customFormat="false" ht="15" hidden="false" customHeight="false" outlineLevel="0" collapsed="false">
      <c r="B49" s="59" t="s">
        <v>227</v>
      </c>
      <c r="C49" s="59"/>
      <c r="D49" s="59"/>
      <c r="E49" s="59"/>
      <c r="F49" s="94" t="n">
        <f aca="false">F45+F46-F48</f>
        <v>117894.427395524</v>
      </c>
      <c r="G49" s="15"/>
      <c r="I49" s="59" t="s">
        <v>228</v>
      </c>
      <c r="J49" s="59"/>
      <c r="K49" s="59"/>
      <c r="L49" s="59"/>
      <c r="M49" s="59"/>
      <c r="N49" s="20" t="n">
        <f aca="false">(L11-H11+O11-O10)/Eigenkapital</f>
        <v>0.168196596888817</v>
      </c>
    </row>
    <row r="50" customFormat="false" ht="15" hidden="false" customHeight="false" outlineLevel="0" collapsed="false">
      <c r="B50" s="59" t="s">
        <v>229</v>
      </c>
      <c r="C50" s="59"/>
      <c r="D50" s="59"/>
      <c r="E50" s="59"/>
      <c r="F50" s="94" t="n">
        <f aca="false">-IF(Haltedauer&lt;=10,MAX(0,F49)*Steuersatz_eff,0)</f>
        <v>-0</v>
      </c>
      <c r="G50" s="15"/>
      <c r="I50" s="59" t="s">
        <v>27</v>
      </c>
      <c r="J50" s="59"/>
      <c r="K50" s="59"/>
      <c r="L50" s="59"/>
      <c r="M50" s="59"/>
      <c r="N50" s="20" t="n">
        <f aca="false">IRR(T10:T40,0.05)</f>
        <v>0.0512168057115766</v>
      </c>
    </row>
    <row r="51" customFormat="false" ht="15" hidden="false" customHeight="false" outlineLevel="0" collapsed="false">
      <c r="B51" s="72" t="s">
        <v>211</v>
      </c>
      <c r="C51" s="72"/>
      <c r="D51" s="72"/>
      <c r="E51" s="72"/>
      <c r="F51" s="95" t="n">
        <f aca="false">F45+F46+F47+F50</f>
        <v>189737.16433602</v>
      </c>
      <c r="G51" s="96"/>
      <c r="I51" s="59" t="s">
        <v>230</v>
      </c>
      <c r="J51" s="59"/>
      <c r="K51" s="59"/>
      <c r="L51" s="59"/>
      <c r="M51" s="59"/>
      <c r="N51" s="97" t="n">
        <f aca="false">SUMIF(T10:T40,"&gt;0")/-SUMIF(T10:T40,"&lt;0")</f>
        <v>1.67175406232888</v>
      </c>
    </row>
    <row r="52" customFormat="false" ht="15" hidden="false" customHeight="false" outlineLevel="0" collapsed="false">
      <c r="B52" s="66" t="s">
        <v>231</v>
      </c>
    </row>
    <row r="54" customFormat="false" ht="21" hidden="false" customHeight="true" outlineLevel="0" collapsed="false">
      <c r="B54" s="11" t="s">
        <v>232</v>
      </c>
      <c r="C54" s="12"/>
      <c r="D54" s="12"/>
      <c r="E54" s="12"/>
      <c r="F54" s="12"/>
      <c r="G54" s="23" t="s">
        <v>233</v>
      </c>
    </row>
    <row r="55" customFormat="false" ht="15" hidden="false" customHeight="false" outlineLevel="0" collapsed="false">
      <c r="B55" s="59" t="s">
        <v>234</v>
      </c>
      <c r="C55" s="70" t="n">
        <f aca="false">E11/12</f>
        <v>921.5</v>
      </c>
    </row>
    <row r="56" customFormat="false" ht="15" hidden="false" customHeight="false" outlineLevel="0" collapsed="false">
      <c r="B56" s="59" t="s">
        <v>235</v>
      </c>
      <c r="C56" s="70" t="n">
        <f aca="false">F11/12</f>
        <v>-207.5</v>
      </c>
    </row>
    <row r="57" customFormat="false" ht="15" hidden="false" customHeight="false" outlineLevel="0" collapsed="false">
      <c r="B57" s="59" t="s">
        <v>207</v>
      </c>
      <c r="C57" s="70" t="n">
        <f aca="false">G11/12</f>
        <v>-755.416666666667</v>
      </c>
    </row>
    <row r="58" customFormat="false" ht="15" hidden="false" customHeight="false" outlineLevel="0" collapsed="false">
      <c r="B58" s="59" t="s">
        <v>208</v>
      </c>
      <c r="C58" s="70" t="n">
        <f aca="false">H11/12</f>
        <v>-408.333333333333</v>
      </c>
    </row>
    <row r="59" customFormat="false" ht="15" hidden="false" customHeight="false" outlineLevel="0" collapsed="false">
      <c r="B59" s="59" t="s">
        <v>236</v>
      </c>
      <c r="C59" s="70" t="n">
        <f aca="false">J11/12</f>
        <v>-449.75</v>
      </c>
    </row>
    <row r="60" customFormat="false" ht="15" hidden="false" customHeight="false" outlineLevel="0" collapsed="false">
      <c r="B60" s="59" t="s">
        <v>237</v>
      </c>
      <c r="C60" s="70" t="n">
        <f aca="false">K11/12</f>
        <v>723.43542712</v>
      </c>
    </row>
    <row r="61" customFormat="false" ht="15" hidden="false" customHeight="false" outlineLevel="0" collapsed="false">
      <c r="B61" s="59" t="s">
        <v>238</v>
      </c>
      <c r="C61" s="70" t="n">
        <f aca="false">L11/12</f>
        <v>273.68542712</v>
      </c>
    </row>
    <row r="63" customFormat="false" ht="18" hidden="false" customHeight="true" outlineLevel="0" collapsed="false">
      <c r="B63" s="41" t="s">
        <v>65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3" t="s">
        <v>66</v>
      </c>
    </row>
  </sheetData>
  <mergeCells count="18">
    <mergeCell ref="H2:M2"/>
    <mergeCell ref="B3:G4"/>
    <mergeCell ref="B44:E44"/>
    <mergeCell ref="I44:M44"/>
    <mergeCell ref="B45:E45"/>
    <mergeCell ref="I45:M45"/>
    <mergeCell ref="B46:E46"/>
    <mergeCell ref="I46:M46"/>
    <mergeCell ref="B47:E47"/>
    <mergeCell ref="I47:M47"/>
    <mergeCell ref="B48:E48"/>
    <mergeCell ref="I48:M48"/>
    <mergeCell ref="B49:E49"/>
    <mergeCell ref="I49:M49"/>
    <mergeCell ref="B50:E50"/>
    <mergeCell ref="I50:M50"/>
    <mergeCell ref="B51:E51"/>
    <mergeCell ref="I51:M51"/>
  </mergeCells>
  <conditionalFormatting sqref="B11:T40">
    <cfRule type="expression" priority="2" aboveAverage="0" equalAverage="0" bottom="0" percent="0" rank="0" text="" dxfId="7">
      <formula>$B11=Haltedauer</formula>
    </cfRule>
  </conditionalFormatting>
  <conditionalFormatting sqref="R11:R40">
    <cfRule type="expression" priority="3" aboveAverage="0" equalAverage="0" bottom="0" percent="0" rank="0" text="" dxfId="8">
      <formula>AND(ISNUMBER(R11),R11&lt;Ziel_DSCR)</formula>
    </cfRule>
  </conditionalFormatting>
  <conditionalFormatting sqref="J11:J40">
    <cfRule type="cellIs" priority="4" operator="lessThan" aboveAverage="0" equalAverage="0" bottom="0" percent="0" rank="0" text="" dxfId="8">
      <formula>0</formula>
    </cfRule>
  </conditionalFormatting>
  <conditionalFormatting sqref="L11:L40">
    <cfRule type="cellIs" priority="5" operator="lessThan" aboveAverage="0" equalAverage="0" bottom="0" percent="0" rank="0" text="" dxfId="0">
      <formula>0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C9E"/>
    <pageSetUpPr fitToPage="true"/>
  </sheetPr>
  <dimension ref="B1:M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14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9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239</v>
      </c>
      <c r="C8" s="12"/>
      <c r="D8" s="12"/>
      <c r="E8" s="12"/>
      <c r="F8" s="23" t="s">
        <v>240</v>
      </c>
      <c r="I8" s="11" t="s">
        <v>241</v>
      </c>
      <c r="J8" s="12"/>
      <c r="K8" s="12"/>
      <c r="L8" s="12"/>
      <c r="M8" s="12"/>
    </row>
    <row r="9" customFormat="false" ht="15" hidden="false" customHeight="false" outlineLevel="0" collapsed="false">
      <c r="B9" s="59" t="s">
        <v>24</v>
      </c>
      <c r="C9" s="59"/>
      <c r="D9" s="59"/>
      <c r="E9" s="94" t="n">
        <f aca="false">Kaufpreis</f>
        <v>285000</v>
      </c>
      <c r="F9" s="98" t="n">
        <f aca="false">E9/Kaufpreis</f>
        <v>1</v>
      </c>
      <c r="I9" s="59" t="s">
        <v>154</v>
      </c>
      <c r="J9" s="59"/>
      <c r="K9" s="59"/>
      <c r="L9" s="59"/>
      <c r="M9" s="94" t="n">
        <f aca="false">Darlehen</f>
        <v>245000</v>
      </c>
    </row>
    <row r="10" customFormat="false" ht="15" hidden="false" customHeight="false" outlineLevel="0" collapsed="false">
      <c r="B10" s="59" t="s">
        <v>242</v>
      </c>
      <c r="C10" s="59"/>
      <c r="D10" s="59"/>
      <c r="E10" s="94" t="n">
        <f aca="false">(Kaufpreis-Inventar)*GrESt_Satz</f>
        <v>13850</v>
      </c>
      <c r="F10" s="98" t="n">
        <f aca="false">E10/Kaufpreis</f>
        <v>0.0485964912280702</v>
      </c>
      <c r="I10" s="71" t="s">
        <v>29</v>
      </c>
      <c r="J10" s="71"/>
      <c r="K10" s="71"/>
      <c r="L10" s="71"/>
      <c r="M10" s="99" t="n">
        <f aca="false">Gesamtinvestition-Darlehen</f>
        <v>83974.5</v>
      </c>
    </row>
    <row r="11" customFormat="false" ht="15" hidden="false" customHeight="false" outlineLevel="0" collapsed="false">
      <c r="B11" s="59" t="s">
        <v>144</v>
      </c>
      <c r="C11" s="59"/>
      <c r="D11" s="59"/>
      <c r="E11" s="94" t="n">
        <f aca="false">Kaufpreis*Notar_Satz</f>
        <v>4275</v>
      </c>
      <c r="F11" s="98" t="n">
        <f aca="false">E11/Kaufpreis</f>
        <v>0.015</v>
      </c>
      <c r="I11" s="59" t="s">
        <v>243</v>
      </c>
      <c r="J11" s="59"/>
      <c r="K11" s="59"/>
      <c r="L11" s="59"/>
      <c r="M11" s="100" t="n">
        <f aca="false">Eigenkapital/Gesamtinvestition</f>
        <v>0.25526142603758</v>
      </c>
    </row>
    <row r="12" customFormat="false" ht="15" hidden="false" customHeight="false" outlineLevel="0" collapsed="false">
      <c r="B12" s="59" t="s">
        <v>146</v>
      </c>
      <c r="C12" s="59"/>
      <c r="D12" s="59"/>
      <c r="E12" s="94" t="n">
        <f aca="false">Kaufpreis*Grundbuch_Satz</f>
        <v>1425</v>
      </c>
      <c r="F12" s="98" t="n">
        <f aca="false">E12/Kaufpreis</f>
        <v>0.005</v>
      </c>
      <c r="I12" s="59" t="s">
        <v>244</v>
      </c>
      <c r="J12" s="59"/>
      <c r="K12" s="59"/>
      <c r="L12" s="59"/>
      <c r="M12" s="100" t="n">
        <f aca="false">Darlehen/Marktwert</f>
        <v>0.824915824915825</v>
      </c>
    </row>
    <row r="13" customFormat="false" ht="15" hidden="false" customHeight="false" outlineLevel="0" collapsed="false">
      <c r="B13" s="59" t="s">
        <v>245</v>
      </c>
      <c r="C13" s="59"/>
      <c r="D13" s="59"/>
      <c r="E13" s="94" t="n">
        <f aca="false">Kaufpreis*Makler_Satz</f>
        <v>10174.5</v>
      </c>
      <c r="F13" s="98" t="n">
        <f aca="false">E13/Kaufpreis</f>
        <v>0.0357</v>
      </c>
      <c r="I13" s="59" t="s">
        <v>246</v>
      </c>
      <c r="J13" s="59"/>
      <c r="K13" s="59"/>
      <c r="L13" s="59"/>
      <c r="M13" s="94" t="n">
        <f aca="false">Darlehen*(Zins+Tilgung)</f>
        <v>13965</v>
      </c>
    </row>
    <row r="14" customFormat="false" ht="15" hidden="false" customHeight="false" outlineLevel="0" collapsed="false">
      <c r="B14" s="71" t="s">
        <v>247</v>
      </c>
      <c r="C14" s="71"/>
      <c r="D14" s="71"/>
      <c r="E14" s="99" t="n">
        <f aca="false">SUM(E10:E13)</f>
        <v>29724.5</v>
      </c>
      <c r="F14" s="101" t="n">
        <f aca="false">E14/Kaufpreis</f>
        <v>0.10429649122807</v>
      </c>
      <c r="I14" s="59" t="s">
        <v>248</v>
      </c>
      <c r="J14" s="59"/>
      <c r="K14" s="59"/>
      <c r="L14" s="59"/>
      <c r="M14" s="94" t="n">
        <f aca="false">Annuitaet/12</f>
        <v>1163.75</v>
      </c>
    </row>
    <row r="15" customFormat="false" ht="15" hidden="false" customHeight="false" outlineLevel="0" collapsed="false">
      <c r="B15" s="59" t="s">
        <v>249</v>
      </c>
      <c r="C15" s="59"/>
      <c r="D15" s="59"/>
      <c r="E15" s="94" t="n">
        <f aca="false">Renovierung</f>
        <v>14250</v>
      </c>
      <c r="F15" s="98" t="n">
        <f aca="false">E15/Kaufpreis</f>
        <v>0.05</v>
      </c>
      <c r="I15" s="59" t="s">
        <v>250</v>
      </c>
      <c r="J15" s="59"/>
      <c r="K15" s="59"/>
      <c r="L15" s="59"/>
      <c r="M15" s="94" t="n">
        <f aca="false">INDEX($H$20:$H$49,Zinsbindung)</f>
        <v>186982.018964313</v>
      </c>
    </row>
    <row r="16" customFormat="false" ht="15" hidden="false" customHeight="false" outlineLevel="0" collapsed="false">
      <c r="B16" s="72" t="s">
        <v>26</v>
      </c>
      <c r="C16" s="72"/>
      <c r="D16" s="72"/>
      <c r="E16" s="95" t="n">
        <f aca="false">E9+E14+E15</f>
        <v>328974.5</v>
      </c>
      <c r="F16" s="102" t="n">
        <f aca="false">E16/Kaufpreis</f>
        <v>1.15429649122807</v>
      </c>
      <c r="I16" s="59" t="s">
        <v>251</v>
      </c>
      <c r="J16" s="59"/>
      <c r="K16" s="59"/>
      <c r="L16" s="59"/>
      <c r="M16" s="103" t="n">
        <f aca="false">Kaufpreis/(Miete_Monat*12)</f>
        <v>25</v>
      </c>
    </row>
    <row r="18" customFormat="false" ht="21" hidden="false" customHeight="true" outlineLevel="0" collapsed="false">
      <c r="B18" s="11" t="s">
        <v>252</v>
      </c>
      <c r="C18" s="12"/>
      <c r="D18" s="12"/>
      <c r="E18" s="12"/>
      <c r="F18" s="12"/>
      <c r="G18" s="12"/>
      <c r="H18" s="12"/>
      <c r="I18" s="23" t="s">
        <v>253</v>
      </c>
    </row>
    <row r="19" customFormat="false" ht="27.75" hidden="false" customHeight="true" outlineLevel="0" collapsed="false">
      <c r="B19" s="82" t="s">
        <v>101</v>
      </c>
      <c r="C19" s="83" t="s">
        <v>254</v>
      </c>
      <c r="D19" s="83" t="s">
        <v>255</v>
      </c>
      <c r="E19" s="83" t="s">
        <v>207</v>
      </c>
      <c r="F19" s="83" t="s">
        <v>208</v>
      </c>
      <c r="G19" s="83" t="s">
        <v>104</v>
      </c>
      <c r="H19" s="83" t="s">
        <v>256</v>
      </c>
      <c r="I19" s="104" t="s">
        <v>257</v>
      </c>
    </row>
    <row r="20" customFormat="false" ht="15" hidden="false" customHeight="false" outlineLevel="0" collapsed="false">
      <c r="B20" s="88" t="n">
        <v>1</v>
      </c>
      <c r="C20" s="105" t="n">
        <f aca="false">IF(B20&lt;=Zinsbindung,Zins,Anschlusszins)</f>
        <v>0.037</v>
      </c>
      <c r="D20" s="70" t="n">
        <f aca="false">Darlehen</f>
        <v>245000</v>
      </c>
      <c r="E20" s="70" t="n">
        <f aca="false">D20*C20</f>
        <v>9065</v>
      </c>
      <c r="F20" s="70" t="n">
        <f aca="false">MAX(0,MIN(Annuitaet-E20,D20))</f>
        <v>4900</v>
      </c>
      <c r="G20" s="92" t="n">
        <f aca="false">E20+F20</f>
        <v>13965</v>
      </c>
      <c r="H20" s="70" t="n">
        <f aca="false">D20-F20</f>
        <v>240100</v>
      </c>
      <c r="I20" s="75" t="str">
        <f aca="false">IF(B20&lt;=Zinsbindung,"Zinsbindung","Anschluss")</f>
        <v>Zinsbindung</v>
      </c>
    </row>
    <row r="21" customFormat="false" ht="15" hidden="false" customHeight="false" outlineLevel="0" collapsed="false">
      <c r="B21" s="88" t="n">
        <v>2</v>
      </c>
      <c r="C21" s="105" t="n">
        <f aca="false">IF(B21&lt;=Zinsbindung,Zins,Anschlusszins)</f>
        <v>0.037</v>
      </c>
      <c r="D21" s="70" t="n">
        <f aca="false">H20</f>
        <v>240100</v>
      </c>
      <c r="E21" s="70" t="n">
        <f aca="false">D21*C21</f>
        <v>8883.7</v>
      </c>
      <c r="F21" s="70" t="n">
        <f aca="false">MAX(0,MIN(Annuitaet-E21,D21))</f>
        <v>5081.3</v>
      </c>
      <c r="G21" s="92" t="n">
        <f aca="false">E21+F21</f>
        <v>13965</v>
      </c>
      <c r="H21" s="70" t="n">
        <f aca="false">D21-F21</f>
        <v>235018.7</v>
      </c>
      <c r="I21" s="75" t="str">
        <f aca="false">IF(B21&lt;=Zinsbindung,"Zinsbindung","Anschluss")</f>
        <v>Zinsbindung</v>
      </c>
    </row>
    <row r="22" customFormat="false" ht="15" hidden="false" customHeight="false" outlineLevel="0" collapsed="false">
      <c r="B22" s="88" t="n">
        <v>3</v>
      </c>
      <c r="C22" s="105" t="n">
        <f aca="false">IF(B22&lt;=Zinsbindung,Zins,Anschlusszins)</f>
        <v>0.037</v>
      </c>
      <c r="D22" s="70" t="n">
        <f aca="false">H21</f>
        <v>235018.7</v>
      </c>
      <c r="E22" s="70" t="n">
        <f aca="false">D22*C22</f>
        <v>8695.6919</v>
      </c>
      <c r="F22" s="70" t="n">
        <f aca="false">MAX(0,MIN(Annuitaet-E22,D22))</f>
        <v>5269.3081</v>
      </c>
      <c r="G22" s="92" t="n">
        <f aca="false">E22+F22</f>
        <v>13965</v>
      </c>
      <c r="H22" s="70" t="n">
        <f aca="false">D22-F22</f>
        <v>229749.3919</v>
      </c>
      <c r="I22" s="75" t="str">
        <f aca="false">IF(B22&lt;=Zinsbindung,"Zinsbindung","Anschluss")</f>
        <v>Zinsbindung</v>
      </c>
    </row>
    <row r="23" customFormat="false" ht="15" hidden="false" customHeight="false" outlineLevel="0" collapsed="false">
      <c r="B23" s="88" t="n">
        <v>4</v>
      </c>
      <c r="C23" s="105" t="n">
        <f aca="false">IF(B23&lt;=Zinsbindung,Zins,Anschlusszins)</f>
        <v>0.037</v>
      </c>
      <c r="D23" s="70" t="n">
        <f aca="false">H22</f>
        <v>229749.3919</v>
      </c>
      <c r="E23" s="70" t="n">
        <f aca="false">D23*C23</f>
        <v>8500.7275003</v>
      </c>
      <c r="F23" s="70" t="n">
        <f aca="false">MAX(0,MIN(Annuitaet-E23,D23))</f>
        <v>5464.2724997</v>
      </c>
      <c r="G23" s="92" t="n">
        <f aca="false">E23+F23</f>
        <v>13965</v>
      </c>
      <c r="H23" s="70" t="n">
        <f aca="false">D23-F23</f>
        <v>224285.1194003</v>
      </c>
      <c r="I23" s="75" t="str">
        <f aca="false">IF(B23&lt;=Zinsbindung,"Zinsbindung","Anschluss")</f>
        <v>Zinsbindung</v>
      </c>
    </row>
    <row r="24" customFormat="false" ht="15" hidden="false" customHeight="false" outlineLevel="0" collapsed="false">
      <c r="B24" s="88" t="n">
        <v>5</v>
      </c>
      <c r="C24" s="105" t="n">
        <f aca="false">IF(B24&lt;=Zinsbindung,Zins,Anschlusszins)</f>
        <v>0.037</v>
      </c>
      <c r="D24" s="70" t="n">
        <f aca="false">H23</f>
        <v>224285.1194003</v>
      </c>
      <c r="E24" s="70" t="n">
        <f aca="false">D24*C24</f>
        <v>8298.5494178111</v>
      </c>
      <c r="F24" s="70" t="n">
        <f aca="false">MAX(0,MIN(Annuitaet-E24,D24))</f>
        <v>5666.4505821889</v>
      </c>
      <c r="G24" s="92" t="n">
        <f aca="false">E24+F24</f>
        <v>13965</v>
      </c>
      <c r="H24" s="70" t="n">
        <f aca="false">D24-F24</f>
        <v>218618.668818111</v>
      </c>
      <c r="I24" s="75" t="str">
        <f aca="false">IF(B24&lt;=Zinsbindung,"Zinsbindung","Anschluss")</f>
        <v>Zinsbindung</v>
      </c>
    </row>
    <row r="25" customFormat="false" ht="15" hidden="false" customHeight="false" outlineLevel="0" collapsed="false">
      <c r="B25" s="88" t="n">
        <v>6</v>
      </c>
      <c r="C25" s="105" t="n">
        <f aca="false">IF(B25&lt;=Zinsbindung,Zins,Anschlusszins)</f>
        <v>0.037</v>
      </c>
      <c r="D25" s="70" t="n">
        <f aca="false">H24</f>
        <v>218618.668818111</v>
      </c>
      <c r="E25" s="70" t="n">
        <f aca="false">D25*C25</f>
        <v>8088.89074627011</v>
      </c>
      <c r="F25" s="70" t="n">
        <f aca="false">MAX(0,MIN(Annuitaet-E25,D25))</f>
        <v>5876.10925372989</v>
      </c>
      <c r="G25" s="92" t="n">
        <f aca="false">E25+F25</f>
        <v>13965</v>
      </c>
      <c r="H25" s="70" t="n">
        <f aca="false">D25-F25</f>
        <v>212742.559564381</v>
      </c>
      <c r="I25" s="75" t="str">
        <f aca="false">IF(B25&lt;=Zinsbindung,"Zinsbindung","Anschluss")</f>
        <v>Zinsbindung</v>
      </c>
    </row>
    <row r="26" customFormat="false" ht="15" hidden="false" customHeight="false" outlineLevel="0" collapsed="false">
      <c r="B26" s="88" t="n">
        <v>7</v>
      </c>
      <c r="C26" s="105" t="n">
        <f aca="false">IF(B26&lt;=Zinsbindung,Zins,Anschlusszins)</f>
        <v>0.037</v>
      </c>
      <c r="D26" s="70" t="n">
        <f aca="false">H25</f>
        <v>212742.559564381</v>
      </c>
      <c r="E26" s="70" t="n">
        <f aca="false">D26*C26</f>
        <v>7871.47470388211</v>
      </c>
      <c r="F26" s="70" t="n">
        <f aca="false">MAX(0,MIN(Annuitaet-E26,D26))</f>
        <v>6093.52529611789</v>
      </c>
      <c r="G26" s="92" t="n">
        <f aca="false">E26+F26</f>
        <v>13965</v>
      </c>
      <c r="H26" s="70" t="n">
        <f aca="false">D26-F26</f>
        <v>206649.034268263</v>
      </c>
      <c r="I26" s="75" t="str">
        <f aca="false">IF(B26&lt;=Zinsbindung,"Zinsbindung","Anschluss")</f>
        <v>Zinsbindung</v>
      </c>
    </row>
    <row r="27" customFormat="false" ht="15" hidden="false" customHeight="false" outlineLevel="0" collapsed="false">
      <c r="B27" s="88" t="n">
        <v>8</v>
      </c>
      <c r="C27" s="105" t="n">
        <f aca="false">IF(B27&lt;=Zinsbindung,Zins,Anschlusszins)</f>
        <v>0.037</v>
      </c>
      <c r="D27" s="70" t="n">
        <f aca="false">H26</f>
        <v>206649.034268263</v>
      </c>
      <c r="E27" s="70" t="n">
        <f aca="false">D27*C27</f>
        <v>7646.01426792574</v>
      </c>
      <c r="F27" s="70" t="n">
        <f aca="false">MAX(0,MIN(Annuitaet-E27,D27))</f>
        <v>6318.98573207426</v>
      </c>
      <c r="G27" s="92" t="n">
        <f aca="false">E27+F27</f>
        <v>13965</v>
      </c>
      <c r="H27" s="70" t="n">
        <f aca="false">D27-F27</f>
        <v>200330.048536189</v>
      </c>
      <c r="I27" s="75" t="str">
        <f aca="false">IF(B27&lt;=Zinsbindung,"Zinsbindung","Anschluss")</f>
        <v>Zinsbindung</v>
      </c>
    </row>
    <row r="28" customFormat="false" ht="15" hidden="false" customHeight="false" outlineLevel="0" collapsed="false">
      <c r="B28" s="88" t="n">
        <v>9</v>
      </c>
      <c r="C28" s="105" t="n">
        <f aca="false">IF(B28&lt;=Zinsbindung,Zins,Anschlusszins)</f>
        <v>0.037</v>
      </c>
      <c r="D28" s="70" t="n">
        <f aca="false">H27</f>
        <v>200330.048536189</v>
      </c>
      <c r="E28" s="70" t="n">
        <f aca="false">D28*C28</f>
        <v>7412.211795839</v>
      </c>
      <c r="F28" s="70" t="n">
        <f aca="false">MAX(0,MIN(Annuitaet-E28,D28))</f>
        <v>6552.788204161</v>
      </c>
      <c r="G28" s="92" t="n">
        <f aca="false">E28+F28</f>
        <v>13965</v>
      </c>
      <c r="H28" s="70" t="n">
        <f aca="false">D28-F28</f>
        <v>193777.260332028</v>
      </c>
      <c r="I28" s="75" t="str">
        <f aca="false">IF(B28&lt;=Zinsbindung,"Zinsbindung","Anschluss")</f>
        <v>Zinsbindung</v>
      </c>
    </row>
    <row r="29" customFormat="false" ht="15" hidden="false" customHeight="false" outlineLevel="0" collapsed="false">
      <c r="B29" s="88" t="n">
        <v>10</v>
      </c>
      <c r="C29" s="105" t="n">
        <f aca="false">IF(B29&lt;=Zinsbindung,Zins,Anschlusszins)</f>
        <v>0.037</v>
      </c>
      <c r="D29" s="70" t="n">
        <f aca="false">H28</f>
        <v>193777.260332028</v>
      </c>
      <c r="E29" s="70" t="n">
        <f aca="false">D29*C29</f>
        <v>7169.75863228504</v>
      </c>
      <c r="F29" s="70" t="n">
        <f aca="false">MAX(0,MIN(Annuitaet-E29,D29))</f>
        <v>6795.24136771496</v>
      </c>
      <c r="G29" s="92" t="n">
        <f aca="false">E29+F29</f>
        <v>13965</v>
      </c>
      <c r="H29" s="70" t="n">
        <f aca="false">D29-F29</f>
        <v>186982.018964313</v>
      </c>
      <c r="I29" s="75" t="str">
        <f aca="false">IF(B29&lt;=Zinsbindung,"Zinsbindung","Anschluss")</f>
        <v>Zinsbindung</v>
      </c>
    </row>
    <row r="30" customFormat="false" ht="15" hidden="false" customHeight="false" outlineLevel="0" collapsed="false">
      <c r="B30" s="88" t="n">
        <v>11</v>
      </c>
      <c r="C30" s="105" t="n">
        <f aca="false">IF(B30&lt;=Zinsbindung,Zins,Anschlusszins)</f>
        <v>0.045</v>
      </c>
      <c r="D30" s="70" t="n">
        <f aca="false">H29</f>
        <v>186982.018964313</v>
      </c>
      <c r="E30" s="70" t="n">
        <f aca="false">D30*C30</f>
        <v>8414.19085339409</v>
      </c>
      <c r="F30" s="70" t="n">
        <f aca="false">MAX(0,MIN(Annuitaet-E30,D30))</f>
        <v>5550.80914660591</v>
      </c>
      <c r="G30" s="92" t="n">
        <f aca="false">E30+F30</f>
        <v>13965</v>
      </c>
      <c r="H30" s="70" t="n">
        <f aca="false">D30-F30</f>
        <v>181431.209817707</v>
      </c>
      <c r="I30" s="75" t="str">
        <f aca="false">IF(B30&lt;=Zinsbindung,"Zinsbindung","Anschluss")</f>
        <v>Anschluss</v>
      </c>
    </row>
    <row r="31" customFormat="false" ht="15" hidden="false" customHeight="false" outlineLevel="0" collapsed="false">
      <c r="B31" s="88" t="n">
        <v>12</v>
      </c>
      <c r="C31" s="105" t="n">
        <f aca="false">IF(B31&lt;=Zinsbindung,Zins,Anschlusszins)</f>
        <v>0.045</v>
      </c>
      <c r="D31" s="70" t="n">
        <f aca="false">H30</f>
        <v>181431.209817707</v>
      </c>
      <c r="E31" s="70" t="n">
        <f aca="false">D31*C31</f>
        <v>8164.40444179682</v>
      </c>
      <c r="F31" s="70" t="n">
        <f aca="false">MAX(0,MIN(Annuitaet-E31,D31))</f>
        <v>5800.59555820318</v>
      </c>
      <c r="G31" s="92" t="n">
        <f aca="false">E31+F31</f>
        <v>13965</v>
      </c>
      <c r="H31" s="70" t="n">
        <f aca="false">D31-F31</f>
        <v>175630.614259504</v>
      </c>
      <c r="I31" s="75" t="str">
        <f aca="false">IF(B31&lt;=Zinsbindung,"Zinsbindung","Anschluss")</f>
        <v>Anschluss</v>
      </c>
    </row>
    <row r="32" customFormat="false" ht="15" hidden="false" customHeight="false" outlineLevel="0" collapsed="false">
      <c r="B32" s="88" t="n">
        <v>13</v>
      </c>
      <c r="C32" s="105" t="n">
        <f aca="false">IF(B32&lt;=Zinsbindung,Zins,Anschlusszins)</f>
        <v>0.045</v>
      </c>
      <c r="D32" s="70" t="n">
        <f aca="false">H31</f>
        <v>175630.614259504</v>
      </c>
      <c r="E32" s="70" t="n">
        <f aca="false">D32*C32</f>
        <v>7903.37764167768</v>
      </c>
      <c r="F32" s="70" t="n">
        <f aca="false">MAX(0,MIN(Annuitaet-E32,D32))</f>
        <v>6061.62235832232</v>
      </c>
      <c r="G32" s="92" t="n">
        <f aca="false">E32+F32</f>
        <v>13965</v>
      </c>
      <c r="H32" s="70" t="n">
        <f aca="false">D32-F32</f>
        <v>169568.991901182</v>
      </c>
      <c r="I32" s="75" t="str">
        <f aca="false">IF(B32&lt;=Zinsbindung,"Zinsbindung","Anschluss")</f>
        <v>Anschluss</v>
      </c>
    </row>
    <row r="33" customFormat="false" ht="15" hidden="false" customHeight="false" outlineLevel="0" collapsed="false">
      <c r="B33" s="88" t="n">
        <v>14</v>
      </c>
      <c r="C33" s="105" t="n">
        <f aca="false">IF(B33&lt;=Zinsbindung,Zins,Anschlusszins)</f>
        <v>0.045</v>
      </c>
      <c r="D33" s="70" t="n">
        <f aca="false">H32</f>
        <v>169568.991901182</v>
      </c>
      <c r="E33" s="70" t="n">
        <f aca="false">D33*C33</f>
        <v>7630.60463555318</v>
      </c>
      <c r="F33" s="70" t="n">
        <f aca="false">MAX(0,MIN(Annuitaet-E33,D33))</f>
        <v>6334.39536444682</v>
      </c>
      <c r="G33" s="92" t="n">
        <f aca="false">E33+F33</f>
        <v>13965</v>
      </c>
      <c r="H33" s="70" t="n">
        <f aca="false">D33-F33</f>
        <v>163234.596536735</v>
      </c>
      <c r="I33" s="75" t="str">
        <f aca="false">IF(B33&lt;=Zinsbindung,"Zinsbindung","Anschluss")</f>
        <v>Anschluss</v>
      </c>
    </row>
    <row r="34" customFormat="false" ht="15" hidden="false" customHeight="false" outlineLevel="0" collapsed="false">
      <c r="B34" s="88" t="n">
        <v>15</v>
      </c>
      <c r="C34" s="105" t="n">
        <f aca="false">IF(B34&lt;=Zinsbindung,Zins,Anschlusszins)</f>
        <v>0.045</v>
      </c>
      <c r="D34" s="70" t="n">
        <f aca="false">H33</f>
        <v>163234.596536735</v>
      </c>
      <c r="E34" s="70" t="n">
        <f aca="false">D34*C34</f>
        <v>7345.55684415307</v>
      </c>
      <c r="F34" s="70" t="n">
        <f aca="false">MAX(0,MIN(Annuitaet-E34,D34))</f>
        <v>6619.44315584693</v>
      </c>
      <c r="G34" s="92" t="n">
        <f aca="false">E34+F34</f>
        <v>13965</v>
      </c>
      <c r="H34" s="70" t="n">
        <f aca="false">D34-F34</f>
        <v>156615.153380888</v>
      </c>
      <c r="I34" s="75" t="str">
        <f aca="false">IF(B34&lt;=Zinsbindung,"Zinsbindung","Anschluss")</f>
        <v>Anschluss</v>
      </c>
    </row>
    <row r="35" customFormat="false" ht="15" hidden="false" customHeight="false" outlineLevel="0" collapsed="false">
      <c r="B35" s="88" t="n">
        <v>16</v>
      </c>
      <c r="C35" s="105" t="n">
        <f aca="false">IF(B35&lt;=Zinsbindung,Zins,Anschlusszins)</f>
        <v>0.045</v>
      </c>
      <c r="D35" s="70" t="n">
        <f aca="false">H34</f>
        <v>156615.153380888</v>
      </c>
      <c r="E35" s="70" t="n">
        <f aca="false">D35*C35</f>
        <v>7047.68190213996</v>
      </c>
      <c r="F35" s="70" t="n">
        <f aca="false">MAX(0,MIN(Annuitaet-E35,D35))</f>
        <v>6917.31809786004</v>
      </c>
      <c r="G35" s="92" t="n">
        <f aca="false">E35+F35</f>
        <v>13965</v>
      </c>
      <c r="H35" s="70" t="n">
        <f aca="false">D35-F35</f>
        <v>149697.835283028</v>
      </c>
      <c r="I35" s="75" t="str">
        <f aca="false">IF(B35&lt;=Zinsbindung,"Zinsbindung","Anschluss")</f>
        <v>Anschluss</v>
      </c>
    </row>
    <row r="36" customFormat="false" ht="15" hidden="false" customHeight="false" outlineLevel="0" collapsed="false">
      <c r="B36" s="88" t="n">
        <v>17</v>
      </c>
      <c r="C36" s="105" t="n">
        <f aca="false">IF(B36&lt;=Zinsbindung,Zins,Anschlusszins)</f>
        <v>0.045</v>
      </c>
      <c r="D36" s="70" t="n">
        <f aca="false">H35</f>
        <v>149697.835283028</v>
      </c>
      <c r="E36" s="70" t="n">
        <f aca="false">D36*C36</f>
        <v>6736.40258773626</v>
      </c>
      <c r="F36" s="70" t="n">
        <f aca="false">MAX(0,MIN(Annuitaet-E36,D36))</f>
        <v>7228.59741226374</v>
      </c>
      <c r="G36" s="92" t="n">
        <f aca="false">E36+F36</f>
        <v>13965</v>
      </c>
      <c r="H36" s="70" t="n">
        <f aca="false">D36-F36</f>
        <v>142469.237870764</v>
      </c>
      <c r="I36" s="75" t="str">
        <f aca="false">IF(B36&lt;=Zinsbindung,"Zinsbindung","Anschluss")</f>
        <v>Anschluss</v>
      </c>
    </row>
    <row r="37" customFormat="false" ht="15" hidden="false" customHeight="false" outlineLevel="0" collapsed="false">
      <c r="B37" s="88" t="n">
        <v>18</v>
      </c>
      <c r="C37" s="105" t="n">
        <f aca="false">IF(B37&lt;=Zinsbindung,Zins,Anschlusszins)</f>
        <v>0.045</v>
      </c>
      <c r="D37" s="70" t="n">
        <f aca="false">H36</f>
        <v>142469.237870764</v>
      </c>
      <c r="E37" s="70" t="n">
        <f aca="false">D37*C37</f>
        <v>6411.11570418439</v>
      </c>
      <c r="F37" s="70" t="n">
        <f aca="false">MAX(0,MIN(Annuitaet-E37,D37))</f>
        <v>7553.88429581561</v>
      </c>
      <c r="G37" s="92" t="n">
        <f aca="false">E37+F37</f>
        <v>13965</v>
      </c>
      <c r="H37" s="70" t="n">
        <f aca="false">D37-F37</f>
        <v>134915.353574949</v>
      </c>
      <c r="I37" s="75" t="str">
        <f aca="false">IF(B37&lt;=Zinsbindung,"Zinsbindung","Anschluss")</f>
        <v>Anschluss</v>
      </c>
    </row>
    <row r="38" customFormat="false" ht="15" hidden="false" customHeight="false" outlineLevel="0" collapsed="false">
      <c r="B38" s="88" t="n">
        <v>19</v>
      </c>
      <c r="C38" s="105" t="n">
        <f aca="false">IF(B38&lt;=Zinsbindung,Zins,Anschlusszins)</f>
        <v>0.045</v>
      </c>
      <c r="D38" s="70" t="n">
        <f aca="false">H37</f>
        <v>134915.353574949</v>
      </c>
      <c r="E38" s="70" t="n">
        <f aca="false">D38*C38</f>
        <v>6071.19091087269</v>
      </c>
      <c r="F38" s="70" t="n">
        <f aca="false">MAX(0,MIN(Annuitaet-E38,D38))</f>
        <v>7893.80908912731</v>
      </c>
      <c r="G38" s="92" t="n">
        <f aca="false">E38+F38</f>
        <v>13965</v>
      </c>
      <c r="H38" s="70" t="n">
        <f aca="false">D38-F38</f>
        <v>127021.544485821</v>
      </c>
      <c r="I38" s="75" t="str">
        <f aca="false">IF(B38&lt;=Zinsbindung,"Zinsbindung","Anschluss")</f>
        <v>Anschluss</v>
      </c>
    </row>
    <row r="39" customFormat="false" ht="15" hidden="false" customHeight="false" outlineLevel="0" collapsed="false">
      <c r="B39" s="88" t="n">
        <v>20</v>
      </c>
      <c r="C39" s="105" t="n">
        <f aca="false">IF(B39&lt;=Zinsbindung,Zins,Anschlusszins)</f>
        <v>0.045</v>
      </c>
      <c r="D39" s="70" t="n">
        <f aca="false">H38</f>
        <v>127021.544485821</v>
      </c>
      <c r="E39" s="70" t="n">
        <f aca="false">D39*C39</f>
        <v>5715.96950186196</v>
      </c>
      <c r="F39" s="70" t="n">
        <f aca="false">MAX(0,MIN(Annuitaet-E39,D39))</f>
        <v>8249.03049813804</v>
      </c>
      <c r="G39" s="92" t="n">
        <f aca="false">E39+F39</f>
        <v>13965</v>
      </c>
      <c r="H39" s="70" t="n">
        <f aca="false">D39-F39</f>
        <v>118772.513987683</v>
      </c>
      <c r="I39" s="75" t="str">
        <f aca="false">IF(B39&lt;=Zinsbindung,"Zinsbindung","Anschluss")</f>
        <v>Anschluss</v>
      </c>
    </row>
    <row r="40" customFormat="false" ht="15" hidden="false" customHeight="false" outlineLevel="0" collapsed="false">
      <c r="B40" s="88" t="n">
        <v>21</v>
      </c>
      <c r="C40" s="105" t="n">
        <f aca="false">IF(B40&lt;=Zinsbindung,Zins,Anschlusszins)</f>
        <v>0.045</v>
      </c>
      <c r="D40" s="70" t="n">
        <f aca="false">H39</f>
        <v>118772.513987683</v>
      </c>
      <c r="E40" s="70" t="n">
        <f aca="false">D40*C40</f>
        <v>5344.76312944574</v>
      </c>
      <c r="F40" s="70" t="n">
        <f aca="false">MAX(0,MIN(Annuitaet-E40,D40))</f>
        <v>8620.23687055425</v>
      </c>
      <c r="G40" s="92" t="n">
        <f aca="false">E40+F40</f>
        <v>13965</v>
      </c>
      <c r="H40" s="70" t="n">
        <f aca="false">D40-F40</f>
        <v>110152.277117129</v>
      </c>
      <c r="I40" s="75" t="str">
        <f aca="false">IF(B40&lt;=Zinsbindung,"Zinsbindung","Anschluss")</f>
        <v>Anschluss</v>
      </c>
    </row>
    <row r="41" customFormat="false" ht="15" hidden="false" customHeight="false" outlineLevel="0" collapsed="false">
      <c r="B41" s="88" t="n">
        <v>22</v>
      </c>
      <c r="C41" s="105" t="n">
        <f aca="false">IF(B41&lt;=Zinsbindung,Zins,Anschlusszins)</f>
        <v>0.045</v>
      </c>
      <c r="D41" s="70" t="n">
        <f aca="false">H40</f>
        <v>110152.277117129</v>
      </c>
      <c r="E41" s="70" t="n">
        <f aca="false">D41*C41</f>
        <v>4956.8524702708</v>
      </c>
      <c r="F41" s="70" t="n">
        <f aca="false">MAX(0,MIN(Annuitaet-E41,D41))</f>
        <v>9008.1475297292</v>
      </c>
      <c r="G41" s="92" t="n">
        <f aca="false">E41+F41</f>
        <v>13965</v>
      </c>
      <c r="H41" s="70" t="n">
        <f aca="false">D41-F41</f>
        <v>101144.1295874</v>
      </c>
      <c r="I41" s="75" t="str">
        <f aca="false">IF(B41&lt;=Zinsbindung,"Zinsbindung","Anschluss")</f>
        <v>Anschluss</v>
      </c>
    </row>
    <row r="42" customFormat="false" ht="15" hidden="false" customHeight="false" outlineLevel="0" collapsed="false">
      <c r="B42" s="88" t="n">
        <v>23</v>
      </c>
      <c r="C42" s="105" t="n">
        <f aca="false">IF(B42&lt;=Zinsbindung,Zins,Anschlusszins)</f>
        <v>0.045</v>
      </c>
      <c r="D42" s="70" t="n">
        <f aca="false">H41</f>
        <v>101144.1295874</v>
      </c>
      <c r="E42" s="70" t="n">
        <f aca="false">D42*C42</f>
        <v>4551.48583143299</v>
      </c>
      <c r="F42" s="70" t="n">
        <f aca="false">MAX(0,MIN(Annuitaet-E42,D42))</f>
        <v>9413.51416856701</v>
      </c>
      <c r="G42" s="92" t="n">
        <f aca="false">E42+F42</f>
        <v>13965</v>
      </c>
      <c r="H42" s="70" t="n">
        <f aca="false">D42-F42</f>
        <v>91730.6154188328</v>
      </c>
      <c r="I42" s="75" t="str">
        <f aca="false">IF(B42&lt;=Zinsbindung,"Zinsbindung","Anschluss")</f>
        <v>Anschluss</v>
      </c>
    </row>
    <row r="43" customFormat="false" ht="15" hidden="false" customHeight="false" outlineLevel="0" collapsed="false">
      <c r="B43" s="88" t="n">
        <v>24</v>
      </c>
      <c r="C43" s="105" t="n">
        <f aca="false">IF(B43&lt;=Zinsbindung,Zins,Anschlusszins)</f>
        <v>0.045</v>
      </c>
      <c r="D43" s="70" t="n">
        <f aca="false">H42</f>
        <v>91730.6154188328</v>
      </c>
      <c r="E43" s="70" t="n">
        <f aca="false">D43*C43</f>
        <v>4127.87769384747</v>
      </c>
      <c r="F43" s="70" t="n">
        <f aca="false">MAX(0,MIN(Annuitaet-E43,D43))</f>
        <v>9837.12230615252</v>
      </c>
      <c r="G43" s="92" t="n">
        <f aca="false">E43+F43</f>
        <v>13965</v>
      </c>
      <c r="H43" s="70" t="n">
        <f aca="false">D43-F43</f>
        <v>81893.4931126802</v>
      </c>
      <c r="I43" s="75" t="str">
        <f aca="false">IF(B43&lt;=Zinsbindung,"Zinsbindung","Anschluss")</f>
        <v>Anschluss</v>
      </c>
    </row>
    <row r="44" customFormat="false" ht="15" hidden="false" customHeight="false" outlineLevel="0" collapsed="false">
      <c r="B44" s="88" t="n">
        <v>25</v>
      </c>
      <c r="C44" s="105" t="n">
        <f aca="false">IF(B44&lt;=Zinsbindung,Zins,Anschlusszins)</f>
        <v>0.045</v>
      </c>
      <c r="D44" s="70" t="n">
        <f aca="false">H43</f>
        <v>81893.4931126802</v>
      </c>
      <c r="E44" s="70" t="n">
        <f aca="false">D44*C44</f>
        <v>3685.20719007061</v>
      </c>
      <c r="F44" s="70" t="n">
        <f aca="false">MAX(0,MIN(Annuitaet-E44,D44))</f>
        <v>10279.7928099294</v>
      </c>
      <c r="G44" s="92" t="n">
        <f aca="false">E44+F44</f>
        <v>13965</v>
      </c>
      <c r="H44" s="70" t="n">
        <f aca="false">D44-F44</f>
        <v>71613.7003027508</v>
      </c>
      <c r="I44" s="75" t="str">
        <f aca="false">IF(B44&lt;=Zinsbindung,"Zinsbindung","Anschluss")</f>
        <v>Anschluss</v>
      </c>
    </row>
    <row r="45" customFormat="false" ht="15" hidden="false" customHeight="false" outlineLevel="0" collapsed="false">
      <c r="B45" s="88" t="n">
        <v>26</v>
      </c>
      <c r="C45" s="105" t="n">
        <f aca="false">IF(B45&lt;=Zinsbindung,Zins,Anschlusszins)</f>
        <v>0.045</v>
      </c>
      <c r="D45" s="70" t="n">
        <f aca="false">H44</f>
        <v>71613.7003027508</v>
      </c>
      <c r="E45" s="70" t="n">
        <f aca="false">D45*C45</f>
        <v>3222.61651362379</v>
      </c>
      <c r="F45" s="70" t="n">
        <f aca="false">MAX(0,MIN(Annuitaet-E45,D45))</f>
        <v>10742.3834863762</v>
      </c>
      <c r="G45" s="92" t="n">
        <f aca="false">E45+F45</f>
        <v>13965</v>
      </c>
      <c r="H45" s="70" t="n">
        <f aca="false">D45-F45</f>
        <v>60871.3168163746</v>
      </c>
      <c r="I45" s="75" t="str">
        <f aca="false">IF(B45&lt;=Zinsbindung,"Zinsbindung","Anschluss")</f>
        <v>Anschluss</v>
      </c>
    </row>
    <row r="46" customFormat="false" ht="15" hidden="false" customHeight="false" outlineLevel="0" collapsed="false">
      <c r="B46" s="88" t="n">
        <v>27</v>
      </c>
      <c r="C46" s="105" t="n">
        <f aca="false">IF(B46&lt;=Zinsbindung,Zins,Anschlusszins)</f>
        <v>0.045</v>
      </c>
      <c r="D46" s="70" t="n">
        <f aca="false">H45</f>
        <v>60871.3168163746</v>
      </c>
      <c r="E46" s="70" t="n">
        <f aca="false">D46*C46</f>
        <v>2739.20925673686</v>
      </c>
      <c r="F46" s="70" t="n">
        <f aca="false">MAX(0,MIN(Annuitaet-E46,D46))</f>
        <v>11225.7907432631</v>
      </c>
      <c r="G46" s="92" t="n">
        <f aca="false">E46+F46</f>
        <v>13965</v>
      </c>
      <c r="H46" s="70" t="n">
        <f aca="false">D46-F46</f>
        <v>49645.5260731115</v>
      </c>
      <c r="I46" s="75" t="str">
        <f aca="false">IF(B46&lt;=Zinsbindung,"Zinsbindung","Anschluss")</f>
        <v>Anschluss</v>
      </c>
    </row>
    <row r="47" customFormat="false" ht="15" hidden="false" customHeight="false" outlineLevel="0" collapsed="false">
      <c r="B47" s="88" t="n">
        <v>28</v>
      </c>
      <c r="C47" s="105" t="n">
        <f aca="false">IF(B47&lt;=Zinsbindung,Zins,Anschlusszins)</f>
        <v>0.045</v>
      </c>
      <c r="D47" s="70" t="n">
        <f aca="false">H46</f>
        <v>49645.5260731115</v>
      </c>
      <c r="E47" s="70" t="n">
        <f aca="false">D47*C47</f>
        <v>2234.04867329002</v>
      </c>
      <c r="F47" s="70" t="n">
        <f aca="false">MAX(0,MIN(Annuitaet-E47,D47))</f>
        <v>11730.95132671</v>
      </c>
      <c r="G47" s="92" t="n">
        <f aca="false">E47+F47</f>
        <v>13965</v>
      </c>
      <c r="H47" s="70" t="n">
        <f aca="false">D47-F47</f>
        <v>37914.5747464015</v>
      </c>
      <c r="I47" s="75" t="str">
        <f aca="false">IF(B47&lt;=Zinsbindung,"Zinsbindung","Anschluss")</f>
        <v>Anschluss</v>
      </c>
    </row>
    <row r="48" customFormat="false" ht="15" hidden="false" customHeight="false" outlineLevel="0" collapsed="false">
      <c r="B48" s="88" t="n">
        <v>29</v>
      </c>
      <c r="C48" s="105" t="n">
        <f aca="false">IF(B48&lt;=Zinsbindung,Zins,Anschlusszins)</f>
        <v>0.045</v>
      </c>
      <c r="D48" s="70" t="n">
        <f aca="false">H47</f>
        <v>37914.5747464015</v>
      </c>
      <c r="E48" s="70" t="n">
        <f aca="false">D48*C48</f>
        <v>1706.15586358807</v>
      </c>
      <c r="F48" s="70" t="n">
        <f aca="false">MAX(0,MIN(Annuitaet-E48,D48))</f>
        <v>12258.8441364119</v>
      </c>
      <c r="G48" s="92" t="n">
        <f aca="false">E48+F48</f>
        <v>13965</v>
      </c>
      <c r="H48" s="70" t="n">
        <f aca="false">D48-F48</f>
        <v>25655.7306099896</v>
      </c>
      <c r="I48" s="75" t="str">
        <f aca="false">IF(B48&lt;=Zinsbindung,"Zinsbindung","Anschluss")</f>
        <v>Anschluss</v>
      </c>
    </row>
    <row r="49" customFormat="false" ht="15" hidden="false" customHeight="false" outlineLevel="0" collapsed="false">
      <c r="B49" s="88" t="n">
        <v>30</v>
      </c>
      <c r="C49" s="105" t="n">
        <f aca="false">IF(B49&lt;=Zinsbindung,Zins,Anschlusszins)</f>
        <v>0.045</v>
      </c>
      <c r="D49" s="70" t="n">
        <f aca="false">H48</f>
        <v>25655.7306099896</v>
      </c>
      <c r="E49" s="70" t="n">
        <f aca="false">D49*C49</f>
        <v>1154.50787744953</v>
      </c>
      <c r="F49" s="70" t="n">
        <f aca="false">MAX(0,MIN(Annuitaet-E49,D49))</f>
        <v>12810.4921225505</v>
      </c>
      <c r="G49" s="92" t="n">
        <f aca="false">E49+F49</f>
        <v>13965</v>
      </c>
      <c r="H49" s="70" t="n">
        <f aca="false">D49-F49</f>
        <v>12845.2384874391</v>
      </c>
      <c r="I49" s="75" t="str">
        <f aca="false">IF(B49&lt;=Zinsbindung,"Zinsbindung","Anschluss")</f>
        <v>Anschluss</v>
      </c>
    </row>
    <row r="51" customFormat="false" ht="15" hidden="false" customHeight="false" outlineLevel="0" collapsed="false">
      <c r="B51" s="66" t="s">
        <v>258</v>
      </c>
    </row>
    <row r="53" customFormat="false" ht="18" hidden="false" customHeight="true" outlineLevel="0" collapsed="false">
      <c r="B53" s="41" t="s">
        <v>65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3" t="s">
        <v>66</v>
      </c>
    </row>
  </sheetData>
  <mergeCells count="18">
    <mergeCell ref="H2:M2"/>
    <mergeCell ref="B3:G4"/>
    <mergeCell ref="B9:D9"/>
    <mergeCell ref="I9:L9"/>
    <mergeCell ref="B10:D10"/>
    <mergeCell ref="I10:L10"/>
    <mergeCell ref="B11:D11"/>
    <mergeCell ref="I11:L11"/>
    <mergeCell ref="B12:D12"/>
    <mergeCell ref="I12:L12"/>
    <mergeCell ref="B13:D13"/>
    <mergeCell ref="I13:L13"/>
    <mergeCell ref="B14:D14"/>
    <mergeCell ref="I14:L14"/>
    <mergeCell ref="B15:D15"/>
    <mergeCell ref="I15:L15"/>
    <mergeCell ref="B16:D16"/>
    <mergeCell ref="I16:L16"/>
  </mergeCells>
  <conditionalFormatting sqref="B20:I49">
    <cfRule type="expression" priority="2" aboveAverage="0" equalAverage="0" bottom="0" percent="0" rank="0" text="" dxfId="9">
      <formula>$B20=Zinsbindung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C9E"/>
    <pageSetUpPr fitToPage="true"/>
  </sheetPr>
  <dimension ref="B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2" topLeftCell="A23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15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9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259</v>
      </c>
      <c r="C8" s="12"/>
      <c r="D8" s="12"/>
      <c r="E8" s="12"/>
      <c r="F8" s="12"/>
      <c r="G8" s="23" t="s">
        <v>137</v>
      </c>
      <c r="I8" s="11" t="s">
        <v>260</v>
      </c>
      <c r="J8" s="12"/>
      <c r="K8" s="12"/>
      <c r="L8" s="12"/>
      <c r="M8" s="23" t="s">
        <v>261</v>
      </c>
    </row>
    <row r="9" customFormat="false" ht="15" hidden="false" customHeight="false" outlineLevel="0" collapsed="false">
      <c r="B9" s="59" t="s">
        <v>262</v>
      </c>
      <c r="C9" s="59"/>
      <c r="D9" s="59"/>
      <c r="E9" s="94" t="n">
        <f aca="false">Kaufpreis-Inventar</f>
        <v>277000</v>
      </c>
      <c r="F9" s="15"/>
      <c r="G9" s="15"/>
      <c r="I9" s="59" t="s">
        <v>263</v>
      </c>
      <c r="J9" s="59"/>
      <c r="K9" s="59"/>
      <c r="L9" s="59"/>
      <c r="M9" s="94" t="n">
        <f aca="false">Gebaeude_AK</f>
        <v>245023.12</v>
      </c>
    </row>
    <row r="10" customFormat="false" ht="15" hidden="false" customHeight="false" outlineLevel="0" collapsed="false">
      <c r="B10" s="59" t="s">
        <v>141</v>
      </c>
      <c r="C10" s="59"/>
      <c r="D10" s="59"/>
      <c r="E10" s="94" t="n">
        <f aca="false">Finanzierung!E10</f>
        <v>13850</v>
      </c>
      <c r="F10" s="15"/>
      <c r="G10" s="15"/>
      <c r="I10" s="59" t="s">
        <v>264</v>
      </c>
      <c r="J10" s="59"/>
      <c r="K10" s="59"/>
      <c r="L10" s="59"/>
      <c r="M10" s="94" t="n">
        <f aca="false">Gebaeude_AK*0.15</f>
        <v>36753.468</v>
      </c>
    </row>
    <row r="11" customFormat="false" ht="15" hidden="false" customHeight="false" outlineLevel="0" collapsed="false">
      <c r="B11" s="59" t="s">
        <v>265</v>
      </c>
      <c r="C11" s="59"/>
      <c r="D11" s="59"/>
      <c r="E11" s="94" t="n">
        <f aca="false">SUM(Finanzierung!E11:E13)*(Kaufpreis-Inventar)/Kaufpreis</f>
        <v>15428.9</v>
      </c>
      <c r="F11" s="15"/>
      <c r="G11" s="15"/>
      <c r="I11" s="59" t="s">
        <v>266</v>
      </c>
      <c r="J11" s="59"/>
      <c r="K11" s="59"/>
      <c r="L11" s="59"/>
      <c r="M11" s="94" t="n">
        <f aca="false">Renovierung</f>
        <v>14250</v>
      </c>
    </row>
    <row r="12" customFormat="false" ht="15" hidden="false" customHeight="false" outlineLevel="0" collapsed="false">
      <c r="B12" s="71" t="s">
        <v>267</v>
      </c>
      <c r="C12" s="71"/>
      <c r="D12" s="71"/>
      <c r="E12" s="99" t="n">
        <f aca="false">SUM(E9:E11)</f>
        <v>306278.9</v>
      </c>
      <c r="F12" s="106"/>
      <c r="G12" s="106"/>
      <c r="I12" s="59" t="s">
        <v>268</v>
      </c>
      <c r="J12" s="59"/>
      <c r="K12" s="59"/>
      <c r="L12" s="59"/>
      <c r="M12" s="107" t="n">
        <f aca="false">IF(Renovierung&lt;=Grenze15,1,0)</f>
        <v>1</v>
      </c>
    </row>
    <row r="13" customFormat="false" ht="15" hidden="false" customHeight="false" outlineLevel="0" collapsed="false">
      <c r="B13" s="59" t="s">
        <v>269</v>
      </c>
      <c r="C13" s="59"/>
      <c r="D13" s="59"/>
      <c r="E13" s="94" t="n">
        <f aca="false">AK_Immobilie*(1-Gebaeudeanteil)</f>
        <v>61255.78</v>
      </c>
      <c r="F13" s="15"/>
      <c r="G13" s="15"/>
      <c r="I13" s="108" t="str">
        <f aca="false">IF(Regel15_ok=1,"Sofort abziehbarer Erhaltungsaufwand (ggf. verteilt nach § 82b EStDV).","Anschaffungsnahe Herstellungskosten – nur über die Gebäude-AfA absetzbar.")</f>
        <v>Sofort abziehbarer Erhaltungsaufwand (ggf. verteilt nach § 82b EStDV).</v>
      </c>
      <c r="J13" s="108"/>
      <c r="K13" s="108"/>
      <c r="L13" s="108"/>
      <c r="M13" s="108"/>
    </row>
    <row r="14" customFormat="false" ht="15" hidden="false" customHeight="false" outlineLevel="0" collapsed="false">
      <c r="B14" s="59" t="s">
        <v>270</v>
      </c>
      <c r="C14" s="59"/>
      <c r="D14" s="59"/>
      <c r="E14" s="94" t="n">
        <f aca="false">AK_Immobilie*Gebaeudeanteil</f>
        <v>245023.12</v>
      </c>
      <c r="F14" s="15"/>
      <c r="G14" s="15"/>
      <c r="I14" s="108"/>
      <c r="J14" s="108"/>
      <c r="K14" s="108"/>
      <c r="L14" s="108"/>
      <c r="M14" s="108"/>
    </row>
    <row r="15" customFormat="false" ht="21" hidden="false" customHeight="true" outlineLevel="0" collapsed="false">
      <c r="B15" s="59" t="s">
        <v>271</v>
      </c>
      <c r="C15" s="59"/>
      <c r="D15" s="59"/>
      <c r="E15" s="94" t="n">
        <f aca="false">IF(Regel15_ok=1,0,Renovierung)</f>
        <v>0</v>
      </c>
      <c r="F15" s="15"/>
      <c r="G15" s="15"/>
      <c r="I15" s="11" t="s">
        <v>272</v>
      </c>
      <c r="J15" s="12"/>
      <c r="K15" s="12"/>
      <c r="L15" s="12"/>
      <c r="M15" s="12"/>
    </row>
    <row r="16" customFormat="false" ht="15" hidden="false" customHeight="false" outlineLevel="0" collapsed="false">
      <c r="B16" s="71" t="s">
        <v>273</v>
      </c>
      <c r="C16" s="71"/>
      <c r="D16" s="71"/>
      <c r="E16" s="99" t="n">
        <f aca="false">Gebaeude_AK+E15</f>
        <v>245023.12</v>
      </c>
      <c r="F16" s="106"/>
      <c r="G16" s="106"/>
      <c r="I16" s="59" t="s">
        <v>189</v>
      </c>
      <c r="J16" s="59"/>
      <c r="K16" s="59"/>
      <c r="L16" s="59"/>
      <c r="M16" s="100" t="n">
        <f aca="false">Grenzsteuersatz</f>
        <v>0.42</v>
      </c>
    </row>
    <row r="17" customFormat="false" ht="15" hidden="false" customHeight="false" outlineLevel="0" collapsed="false">
      <c r="B17" s="72" t="s">
        <v>274</v>
      </c>
      <c r="C17" s="72"/>
      <c r="D17" s="72"/>
      <c r="E17" s="95" t="n">
        <f aca="false">AfA_Basis*AfA_Satz</f>
        <v>4900.4624</v>
      </c>
      <c r="F17" s="96"/>
      <c r="G17" s="96"/>
      <c r="I17" s="59" t="s">
        <v>275</v>
      </c>
      <c r="J17" s="59"/>
      <c r="K17" s="59"/>
      <c r="L17" s="59"/>
      <c r="M17" s="100" t="n">
        <f aca="false">Soli</f>
        <v>0.055</v>
      </c>
    </row>
    <row r="18" customFormat="false" ht="15" hidden="false" customHeight="false" outlineLevel="0" collapsed="false">
      <c r="B18" s="59" t="s">
        <v>276</v>
      </c>
      <c r="C18" s="59"/>
      <c r="D18" s="59"/>
      <c r="E18" s="94" t="n">
        <f aca="false">Inventar+SUM(Finanzierung!E11:E13)*Inventar/Kaufpreis</f>
        <v>8445.6</v>
      </c>
      <c r="F18" s="15"/>
      <c r="G18" s="15"/>
      <c r="I18" s="59" t="s">
        <v>277</v>
      </c>
      <c r="J18" s="59"/>
      <c r="K18" s="59"/>
      <c r="L18" s="59"/>
      <c r="M18" s="100" t="n">
        <f aca="false">KiSt</f>
        <v>0</v>
      </c>
    </row>
    <row r="19" customFormat="false" ht="15" hidden="false" customHeight="false" outlineLevel="0" collapsed="false">
      <c r="B19" s="72" t="s">
        <v>278</v>
      </c>
      <c r="C19" s="72"/>
      <c r="D19" s="72"/>
      <c r="E19" s="95" t="n">
        <f aca="false">Inventar_AK/ND_Inventar</f>
        <v>844.56</v>
      </c>
      <c r="F19" s="96"/>
      <c r="G19" s="96"/>
      <c r="I19" s="72" t="s">
        <v>279</v>
      </c>
      <c r="J19" s="72"/>
      <c r="K19" s="72"/>
      <c r="L19" s="72"/>
      <c r="M19" s="109" t="n">
        <f aca="false">Grenzsteuersatz*(1+Soli+KiSt)</f>
        <v>0.4431</v>
      </c>
    </row>
    <row r="21" customFormat="false" ht="21" hidden="false" customHeight="true" outlineLevel="0" collapsed="false">
      <c r="B21" s="11" t="s">
        <v>280</v>
      </c>
      <c r="C21" s="12"/>
      <c r="D21" s="12"/>
      <c r="E21" s="12"/>
      <c r="F21" s="12"/>
      <c r="G21" s="12"/>
      <c r="H21" s="12"/>
      <c r="I21" s="12"/>
      <c r="J21" s="12"/>
      <c r="K21" s="12"/>
      <c r="L21" s="23" t="s">
        <v>281</v>
      </c>
    </row>
    <row r="22" customFormat="false" ht="30" hidden="false" customHeight="true" outlineLevel="0" collapsed="false">
      <c r="B22" s="82" t="s">
        <v>101</v>
      </c>
      <c r="C22" s="83" t="s">
        <v>282</v>
      </c>
      <c r="D22" s="83" t="s">
        <v>283</v>
      </c>
      <c r="E22" s="83" t="s">
        <v>284</v>
      </c>
      <c r="F22" s="83" t="s">
        <v>285</v>
      </c>
      <c r="G22" s="83" t="s">
        <v>286</v>
      </c>
      <c r="H22" s="83" t="s">
        <v>287</v>
      </c>
      <c r="I22" s="83" t="s">
        <v>288</v>
      </c>
      <c r="J22" s="83" t="s">
        <v>106</v>
      </c>
      <c r="K22" s="83" t="s">
        <v>289</v>
      </c>
      <c r="L22" s="83" t="s">
        <v>290</v>
      </c>
    </row>
    <row r="23" customFormat="false" ht="15" hidden="false" customHeight="false" outlineLevel="0" collapsed="false">
      <c r="B23" s="88" t="n">
        <v>1</v>
      </c>
      <c r="C23" s="70" t="n">
        <f aca="false">Projektion!E11</f>
        <v>11058</v>
      </c>
      <c r="D23" s="70" t="n">
        <f aca="false">-(Hausgeld_nu+Verwaltung)*(1+Kostensteigerung)^(B23-1)</f>
        <v>-1590</v>
      </c>
      <c r="E23" s="70" t="n">
        <f aca="false">-Finanzierung!E20</f>
        <v>-9065</v>
      </c>
      <c r="F23" s="70" t="n">
        <f aca="false">-MIN(AfA_Gebaeude,AfA_Basis+SUM(F$22:F22))</f>
        <v>-4900.4624</v>
      </c>
      <c r="G23" s="70" t="n">
        <f aca="false">-IF(B23&lt;=ND_Inventar,AfA_Inventar,0)</f>
        <v>-844.56</v>
      </c>
      <c r="H23" s="70" t="n">
        <f aca="false">-IF(AND(Regel15_ok=1,B23&lt;=Erhaltung_Jahre),Renovierung/Erhaltung_Jahre,0)</f>
        <v>-14250</v>
      </c>
      <c r="I23" s="92" t="n">
        <f aca="false">SUM(C23:H23)</f>
        <v>-19592.0224</v>
      </c>
      <c r="J23" s="110" t="n">
        <f aca="false">-I23*Steuersatz_eff</f>
        <v>8681.22512544</v>
      </c>
      <c r="K23" s="70" t="n">
        <f aca="false">AfA_Basis+SUM(F$23:F23)</f>
        <v>240122.6576</v>
      </c>
      <c r="L23" s="70" t="n">
        <f aca="false">-(F23+G23)</f>
        <v>5745.0224</v>
      </c>
    </row>
    <row r="24" customFormat="false" ht="15" hidden="false" customHeight="false" outlineLevel="0" collapsed="false">
      <c r="B24" s="88" t="n">
        <v>2</v>
      </c>
      <c r="C24" s="70" t="n">
        <f aca="false">Projektion!E12</f>
        <v>11279.16</v>
      </c>
      <c r="D24" s="70" t="n">
        <f aca="false">-(Hausgeld_nu+Verwaltung)*(1+Kostensteigerung)^(B24-1)</f>
        <v>-1621.8</v>
      </c>
      <c r="E24" s="70" t="n">
        <f aca="false">-Finanzierung!E21</f>
        <v>-8883.7</v>
      </c>
      <c r="F24" s="70" t="n">
        <f aca="false">-MIN(AfA_Gebaeude,AfA_Basis+SUM(F$22:F23))</f>
        <v>-4900.4624</v>
      </c>
      <c r="G24" s="70" t="n">
        <f aca="false">-IF(B24&lt;=ND_Inventar,AfA_Inventar,0)</f>
        <v>-844.56</v>
      </c>
      <c r="H24" s="70" t="n">
        <f aca="false">-IF(AND(Regel15_ok=1,B24&lt;=Erhaltung_Jahre),Renovierung/Erhaltung_Jahre,0)</f>
        <v>-0</v>
      </c>
      <c r="I24" s="92" t="n">
        <f aca="false">SUM(C24:H24)</f>
        <v>-4971.3624</v>
      </c>
      <c r="J24" s="110" t="n">
        <f aca="false">-I24*Steuersatz_eff</f>
        <v>2202.81067944</v>
      </c>
      <c r="K24" s="70" t="n">
        <f aca="false">AfA_Basis+SUM(F$23:F24)</f>
        <v>235222.1952</v>
      </c>
      <c r="L24" s="70" t="n">
        <f aca="false">-(F24+G24)</f>
        <v>5745.0224</v>
      </c>
    </row>
    <row r="25" customFormat="false" ht="15" hidden="false" customHeight="false" outlineLevel="0" collapsed="false">
      <c r="B25" s="88" t="n">
        <v>3</v>
      </c>
      <c r="C25" s="70" t="n">
        <f aca="false">Projektion!E13</f>
        <v>11504.7432</v>
      </c>
      <c r="D25" s="70" t="n">
        <f aca="false">-(Hausgeld_nu+Verwaltung)*(1+Kostensteigerung)^(B25-1)</f>
        <v>-1654.236</v>
      </c>
      <c r="E25" s="70" t="n">
        <f aca="false">-Finanzierung!E22</f>
        <v>-8695.6919</v>
      </c>
      <c r="F25" s="70" t="n">
        <f aca="false">-MIN(AfA_Gebaeude,AfA_Basis+SUM(F$22:F24))</f>
        <v>-4900.4624</v>
      </c>
      <c r="G25" s="70" t="n">
        <f aca="false">-IF(B25&lt;=ND_Inventar,AfA_Inventar,0)</f>
        <v>-844.56</v>
      </c>
      <c r="H25" s="70" t="n">
        <f aca="false">-IF(AND(Regel15_ok=1,B25&lt;=Erhaltung_Jahre),Renovierung/Erhaltung_Jahre,0)</f>
        <v>-0</v>
      </c>
      <c r="I25" s="92" t="n">
        <f aca="false">SUM(C25:H25)</f>
        <v>-4590.2071</v>
      </c>
      <c r="J25" s="110" t="n">
        <f aca="false">-I25*Steuersatz_eff</f>
        <v>2033.92076601</v>
      </c>
      <c r="K25" s="70" t="n">
        <f aca="false">AfA_Basis+SUM(F$23:F25)</f>
        <v>230321.7328</v>
      </c>
      <c r="L25" s="70" t="n">
        <f aca="false">-(F25+G25)</f>
        <v>5745.0224</v>
      </c>
    </row>
    <row r="26" customFormat="false" ht="15" hidden="false" customHeight="false" outlineLevel="0" collapsed="false">
      <c r="B26" s="88" t="n">
        <v>4</v>
      </c>
      <c r="C26" s="70" t="n">
        <f aca="false">Projektion!E14</f>
        <v>11734.838064</v>
      </c>
      <c r="D26" s="70" t="n">
        <f aca="false">-(Hausgeld_nu+Verwaltung)*(1+Kostensteigerung)^(B26-1)</f>
        <v>-1687.32072</v>
      </c>
      <c r="E26" s="70" t="n">
        <f aca="false">-Finanzierung!E23</f>
        <v>-8500.7275003</v>
      </c>
      <c r="F26" s="70" t="n">
        <f aca="false">-MIN(AfA_Gebaeude,AfA_Basis+SUM(F$22:F25))</f>
        <v>-4900.4624</v>
      </c>
      <c r="G26" s="70" t="n">
        <f aca="false">-IF(B26&lt;=ND_Inventar,AfA_Inventar,0)</f>
        <v>-844.56</v>
      </c>
      <c r="H26" s="70" t="n">
        <f aca="false">-IF(AND(Regel15_ok=1,B26&lt;=Erhaltung_Jahre),Renovierung/Erhaltung_Jahre,0)</f>
        <v>-0</v>
      </c>
      <c r="I26" s="92" t="n">
        <f aca="false">SUM(C26:H26)</f>
        <v>-4198.2325563</v>
      </c>
      <c r="J26" s="110" t="n">
        <f aca="false">-I26*Steuersatz_eff</f>
        <v>1860.23684569653</v>
      </c>
      <c r="K26" s="70" t="n">
        <f aca="false">AfA_Basis+SUM(F$23:F26)</f>
        <v>225421.2704</v>
      </c>
      <c r="L26" s="70" t="n">
        <f aca="false">-(F26+G26)</f>
        <v>5745.0224</v>
      </c>
    </row>
    <row r="27" customFormat="false" ht="15" hidden="false" customHeight="false" outlineLevel="0" collapsed="false">
      <c r="B27" s="88" t="n">
        <v>5</v>
      </c>
      <c r="C27" s="70" t="n">
        <f aca="false">Projektion!E15</f>
        <v>11969.53482528</v>
      </c>
      <c r="D27" s="70" t="n">
        <f aca="false">-(Hausgeld_nu+Verwaltung)*(1+Kostensteigerung)^(B27-1)</f>
        <v>-1721.0671344</v>
      </c>
      <c r="E27" s="70" t="n">
        <f aca="false">-Finanzierung!E24</f>
        <v>-8298.5494178111</v>
      </c>
      <c r="F27" s="70" t="n">
        <f aca="false">-MIN(AfA_Gebaeude,AfA_Basis+SUM(F$22:F26))</f>
        <v>-4900.4624</v>
      </c>
      <c r="G27" s="70" t="n">
        <f aca="false">-IF(B27&lt;=ND_Inventar,AfA_Inventar,0)</f>
        <v>-844.56</v>
      </c>
      <c r="H27" s="70" t="n">
        <f aca="false">-IF(AND(Regel15_ok=1,B27&lt;=Erhaltung_Jahre),Renovierung/Erhaltung_Jahre,0)</f>
        <v>-0</v>
      </c>
      <c r="I27" s="92" t="n">
        <f aca="false">SUM(C27:H27)</f>
        <v>-3795.1041269311</v>
      </c>
      <c r="J27" s="110" t="n">
        <f aca="false">-I27*Steuersatz_eff</f>
        <v>1681.61063864317</v>
      </c>
      <c r="K27" s="70" t="n">
        <f aca="false">AfA_Basis+SUM(F$23:F27)</f>
        <v>220520.808</v>
      </c>
      <c r="L27" s="70" t="n">
        <f aca="false">-(F27+G27)</f>
        <v>5745.0224</v>
      </c>
    </row>
    <row r="28" customFormat="false" ht="15" hidden="false" customHeight="false" outlineLevel="0" collapsed="false">
      <c r="B28" s="88" t="n">
        <v>6</v>
      </c>
      <c r="C28" s="70" t="n">
        <f aca="false">Projektion!E16</f>
        <v>12208.9255217856</v>
      </c>
      <c r="D28" s="70" t="n">
        <f aca="false">-(Hausgeld_nu+Verwaltung)*(1+Kostensteigerung)^(B28-1)</f>
        <v>-1755.488477088</v>
      </c>
      <c r="E28" s="70" t="n">
        <f aca="false">-Finanzierung!E25</f>
        <v>-8088.89074627011</v>
      </c>
      <c r="F28" s="70" t="n">
        <f aca="false">-MIN(AfA_Gebaeude,AfA_Basis+SUM(F$22:F27))</f>
        <v>-4900.4624</v>
      </c>
      <c r="G28" s="70" t="n">
        <f aca="false">-IF(B28&lt;=ND_Inventar,AfA_Inventar,0)</f>
        <v>-844.56</v>
      </c>
      <c r="H28" s="70" t="n">
        <f aca="false">-IF(AND(Regel15_ok=1,B28&lt;=Erhaltung_Jahre),Renovierung/Erhaltung_Jahre,0)</f>
        <v>-0</v>
      </c>
      <c r="I28" s="92" t="n">
        <f aca="false">SUM(C28:H28)</f>
        <v>-3380.47610157251</v>
      </c>
      <c r="J28" s="110" t="n">
        <f aca="false">-I28*Steuersatz_eff</f>
        <v>1497.88896060678</v>
      </c>
      <c r="K28" s="70" t="n">
        <f aca="false">AfA_Basis+SUM(F$23:F28)</f>
        <v>215620.3456</v>
      </c>
      <c r="L28" s="70" t="n">
        <f aca="false">-(F28+G28)</f>
        <v>5745.0224</v>
      </c>
    </row>
    <row r="29" customFormat="false" ht="15" hidden="false" customHeight="false" outlineLevel="0" collapsed="false">
      <c r="B29" s="88" t="n">
        <v>7</v>
      </c>
      <c r="C29" s="70" t="n">
        <f aca="false">Projektion!E17</f>
        <v>12453.1040322213</v>
      </c>
      <c r="D29" s="70" t="n">
        <f aca="false">-(Hausgeld_nu+Verwaltung)*(1+Kostensteigerung)^(B29-1)</f>
        <v>-1790.59824662976</v>
      </c>
      <c r="E29" s="70" t="n">
        <f aca="false">-Finanzierung!E26</f>
        <v>-7871.47470388211</v>
      </c>
      <c r="F29" s="70" t="n">
        <f aca="false">-MIN(AfA_Gebaeude,AfA_Basis+SUM(F$22:F28))</f>
        <v>-4900.4624</v>
      </c>
      <c r="G29" s="70" t="n">
        <f aca="false">-IF(B29&lt;=ND_Inventar,AfA_Inventar,0)</f>
        <v>-844.56</v>
      </c>
      <c r="H29" s="70" t="n">
        <f aca="false">-IF(AND(Regel15_ok=1,B29&lt;=Erhaltung_Jahre),Renovierung/Erhaltung_Jahre,0)</f>
        <v>-0</v>
      </c>
      <c r="I29" s="92" t="n">
        <f aca="false">SUM(C29:H29)</f>
        <v>-2953.99131829055</v>
      </c>
      <c r="J29" s="110" t="n">
        <f aca="false">-I29*Steuersatz_eff</f>
        <v>1308.91355313454</v>
      </c>
      <c r="K29" s="70" t="n">
        <f aca="false">AfA_Basis+SUM(F$23:F29)</f>
        <v>210719.8832</v>
      </c>
      <c r="L29" s="70" t="n">
        <f aca="false">-(F29+G29)</f>
        <v>5745.0224</v>
      </c>
    </row>
    <row r="30" customFormat="false" ht="15" hidden="false" customHeight="false" outlineLevel="0" collapsed="false">
      <c r="B30" s="88" t="n">
        <v>8</v>
      </c>
      <c r="C30" s="70" t="n">
        <f aca="false">Projektion!E18</f>
        <v>12702.1661128657</v>
      </c>
      <c r="D30" s="70" t="n">
        <f aca="false">-(Hausgeld_nu+Verwaltung)*(1+Kostensteigerung)^(B30-1)</f>
        <v>-1826.41021156236</v>
      </c>
      <c r="E30" s="70" t="n">
        <f aca="false">-Finanzierung!E27</f>
        <v>-7646.01426792574</v>
      </c>
      <c r="F30" s="70" t="n">
        <f aca="false">-MIN(AfA_Gebaeude,AfA_Basis+SUM(F$22:F29))</f>
        <v>-4900.4624</v>
      </c>
      <c r="G30" s="70" t="n">
        <f aca="false">-IF(B30&lt;=ND_Inventar,AfA_Inventar,0)</f>
        <v>-844.56</v>
      </c>
      <c r="H30" s="70" t="n">
        <f aca="false">-IF(AND(Regel15_ok=1,B30&lt;=Erhaltung_Jahre),Renovierung/Erhaltung_Jahre,0)</f>
        <v>-0</v>
      </c>
      <c r="I30" s="92" t="n">
        <f aca="false">SUM(C30:H30)</f>
        <v>-2515.28076662236</v>
      </c>
      <c r="J30" s="110" t="n">
        <f aca="false">-I30*Steuersatz_eff</f>
        <v>1114.52090769037</v>
      </c>
      <c r="K30" s="70" t="n">
        <f aca="false">AfA_Basis+SUM(F$23:F30)</f>
        <v>205819.4208</v>
      </c>
      <c r="L30" s="70" t="n">
        <f aca="false">-(F30+G30)</f>
        <v>5745.0224</v>
      </c>
    </row>
    <row r="31" customFormat="false" ht="15" hidden="false" customHeight="false" outlineLevel="0" collapsed="false">
      <c r="B31" s="88" t="n">
        <v>9</v>
      </c>
      <c r="C31" s="70" t="n">
        <f aca="false">Projektion!E19</f>
        <v>12956.2094351231</v>
      </c>
      <c r="D31" s="70" t="n">
        <f aca="false">-(Hausgeld_nu+Verwaltung)*(1+Kostensteigerung)^(B31-1)</f>
        <v>-1862.9384157936</v>
      </c>
      <c r="E31" s="70" t="n">
        <f aca="false">-Finanzierung!E28</f>
        <v>-7412.211795839</v>
      </c>
      <c r="F31" s="70" t="n">
        <f aca="false">-MIN(AfA_Gebaeude,AfA_Basis+SUM(F$22:F30))</f>
        <v>-4900.4624</v>
      </c>
      <c r="G31" s="70" t="n">
        <f aca="false">-IF(B31&lt;=ND_Inventar,AfA_Inventar,0)</f>
        <v>-844.56</v>
      </c>
      <c r="H31" s="70" t="n">
        <f aca="false">-IF(AND(Regel15_ok=1,B31&lt;=Erhaltung_Jahre),Renovierung/Erhaltung_Jahre,0)</f>
        <v>-0</v>
      </c>
      <c r="I31" s="92" t="n">
        <f aca="false">SUM(C31:H31)</f>
        <v>-2063.96317650954</v>
      </c>
      <c r="J31" s="110" t="n">
        <f aca="false">-I31*Steuersatz_eff</f>
        <v>914.542083511379</v>
      </c>
      <c r="K31" s="70" t="n">
        <f aca="false">AfA_Basis+SUM(F$23:F31)</f>
        <v>200918.9584</v>
      </c>
      <c r="L31" s="70" t="n">
        <f aca="false">-(F31+G31)</f>
        <v>5745.0224</v>
      </c>
    </row>
    <row r="32" customFormat="false" ht="15" hidden="false" customHeight="false" outlineLevel="0" collapsed="false">
      <c r="B32" s="88" t="n">
        <v>10</v>
      </c>
      <c r="C32" s="70" t="n">
        <f aca="false">Projektion!E20</f>
        <v>13215.3336238255</v>
      </c>
      <c r="D32" s="70" t="n">
        <f aca="false">-(Hausgeld_nu+Verwaltung)*(1+Kostensteigerung)^(B32-1)</f>
        <v>-1900.19718410947</v>
      </c>
      <c r="E32" s="70" t="n">
        <f aca="false">-Finanzierung!E29</f>
        <v>-7169.75863228504</v>
      </c>
      <c r="F32" s="70" t="n">
        <f aca="false">-MIN(AfA_Gebaeude,AfA_Basis+SUM(F$22:F31))</f>
        <v>-4900.4624</v>
      </c>
      <c r="G32" s="70" t="n">
        <f aca="false">-IF(B32&lt;=ND_Inventar,AfA_Inventar,0)</f>
        <v>-844.56</v>
      </c>
      <c r="H32" s="70" t="n">
        <f aca="false">-IF(AND(Regel15_ok=1,B32&lt;=Erhaltung_Jahre),Renovierung/Erhaltung_Jahre,0)</f>
        <v>-0</v>
      </c>
      <c r="I32" s="92" t="n">
        <f aca="false">SUM(C32:H32)</f>
        <v>-1599.644592569</v>
      </c>
      <c r="J32" s="110" t="n">
        <f aca="false">-I32*Steuersatz_eff</f>
        <v>708.802518967322</v>
      </c>
      <c r="K32" s="70" t="n">
        <f aca="false">AfA_Basis+SUM(F$23:F32)</f>
        <v>196018.496</v>
      </c>
      <c r="L32" s="70" t="n">
        <f aca="false">-(F32+G32)</f>
        <v>5745.0224</v>
      </c>
    </row>
    <row r="33" customFormat="false" ht="15" hidden="false" customHeight="false" outlineLevel="0" collapsed="false">
      <c r="B33" s="88" t="n">
        <v>11</v>
      </c>
      <c r="C33" s="70" t="n">
        <f aca="false">Projektion!E21</f>
        <v>13479.640296302</v>
      </c>
      <c r="D33" s="70" t="n">
        <f aca="false">-(Hausgeld_nu+Verwaltung)*(1+Kostensteigerung)^(B33-1)</f>
        <v>-1938.20112779166</v>
      </c>
      <c r="E33" s="70" t="n">
        <f aca="false">-Finanzierung!E30</f>
        <v>-8414.19085339409</v>
      </c>
      <c r="F33" s="70" t="n">
        <f aca="false">-MIN(AfA_Gebaeude,AfA_Basis+SUM(F$22:F32))</f>
        <v>-4900.4624</v>
      </c>
      <c r="G33" s="70" t="n">
        <f aca="false">-IF(B33&lt;=ND_Inventar,AfA_Inventar,0)</f>
        <v>-0</v>
      </c>
      <c r="H33" s="70" t="n">
        <f aca="false">-IF(AND(Regel15_ok=1,B33&lt;=Erhaltung_Jahre),Renovierung/Erhaltung_Jahre,0)</f>
        <v>-0</v>
      </c>
      <c r="I33" s="92" t="n">
        <f aca="false">SUM(C33:H33)</f>
        <v>-1773.21408488373</v>
      </c>
      <c r="J33" s="110" t="n">
        <f aca="false">-I33*Steuersatz_eff</f>
        <v>785.711161011979</v>
      </c>
      <c r="K33" s="70" t="n">
        <f aca="false">AfA_Basis+SUM(F$23:F33)</f>
        <v>191118.0336</v>
      </c>
      <c r="L33" s="70" t="n">
        <f aca="false">-(F33+G33)</f>
        <v>4900.4624</v>
      </c>
    </row>
    <row r="34" customFormat="false" ht="15" hidden="false" customHeight="false" outlineLevel="0" collapsed="false">
      <c r="B34" s="88" t="n">
        <v>12</v>
      </c>
      <c r="C34" s="70" t="n">
        <f aca="false">Projektion!E22</f>
        <v>13749.2331022281</v>
      </c>
      <c r="D34" s="70" t="n">
        <f aca="false">-(Hausgeld_nu+Verwaltung)*(1+Kostensteigerung)^(B34-1)</f>
        <v>-1976.9651503475</v>
      </c>
      <c r="E34" s="70" t="n">
        <f aca="false">-Finanzierung!E31</f>
        <v>-8164.40444179682</v>
      </c>
      <c r="F34" s="70" t="n">
        <f aca="false">-MIN(AfA_Gebaeude,AfA_Basis+SUM(F$22:F33))</f>
        <v>-4900.4624</v>
      </c>
      <c r="G34" s="70" t="n">
        <f aca="false">-IF(B34&lt;=ND_Inventar,AfA_Inventar,0)</f>
        <v>-0</v>
      </c>
      <c r="H34" s="70" t="n">
        <f aca="false">-IF(AND(Regel15_ok=1,B34&lt;=Erhaltung_Jahre),Renovierung/Erhaltung_Jahre,0)</f>
        <v>-0</v>
      </c>
      <c r="I34" s="92" t="n">
        <f aca="false">SUM(C34:H34)</f>
        <v>-1292.59888991625</v>
      </c>
      <c r="J34" s="110" t="n">
        <f aca="false">-I34*Steuersatz_eff</f>
        <v>572.750568121892</v>
      </c>
      <c r="K34" s="70" t="n">
        <f aca="false">AfA_Basis+SUM(F$23:F34)</f>
        <v>186217.5712</v>
      </c>
      <c r="L34" s="70" t="n">
        <f aca="false">-(F34+G34)</f>
        <v>4900.4624</v>
      </c>
    </row>
    <row r="35" customFormat="false" ht="15" hidden="false" customHeight="false" outlineLevel="0" collapsed="false">
      <c r="B35" s="88" t="n">
        <v>13</v>
      </c>
      <c r="C35" s="70" t="n">
        <f aca="false">Projektion!E23</f>
        <v>14024.2177642726</v>
      </c>
      <c r="D35" s="70" t="n">
        <f aca="false">-(Hausgeld_nu+Verwaltung)*(1+Kostensteigerung)^(B35-1)</f>
        <v>-2016.50445335445</v>
      </c>
      <c r="E35" s="70" t="n">
        <f aca="false">-Finanzierung!E32</f>
        <v>-7903.37764167768</v>
      </c>
      <c r="F35" s="70" t="n">
        <f aca="false">-MIN(AfA_Gebaeude,AfA_Basis+SUM(F$22:F34))</f>
        <v>-4900.4624</v>
      </c>
      <c r="G35" s="70" t="n">
        <f aca="false">-IF(B35&lt;=ND_Inventar,AfA_Inventar,0)</f>
        <v>-0</v>
      </c>
      <c r="H35" s="70" t="n">
        <f aca="false">-IF(AND(Regel15_ok=1,B35&lt;=Erhaltung_Jahre),Renovierung/Erhaltung_Jahre,0)</f>
        <v>-0</v>
      </c>
      <c r="I35" s="92" t="n">
        <f aca="false">SUM(C35:H35)</f>
        <v>-796.126730759499</v>
      </c>
      <c r="J35" s="110" t="n">
        <f aca="false">-I35*Steuersatz_eff</f>
        <v>352.763754399534</v>
      </c>
      <c r="K35" s="70" t="n">
        <f aca="false">AfA_Basis+SUM(F$23:F35)</f>
        <v>181317.1088</v>
      </c>
      <c r="L35" s="70" t="n">
        <f aca="false">-(F35+G35)</f>
        <v>4900.4624</v>
      </c>
    </row>
    <row r="36" customFormat="false" ht="15" hidden="false" customHeight="false" outlineLevel="0" collapsed="false">
      <c r="B36" s="88" t="n">
        <v>14</v>
      </c>
      <c r="C36" s="70" t="n">
        <f aca="false">Projektion!E24</f>
        <v>14304.7021195581</v>
      </c>
      <c r="D36" s="70" t="n">
        <f aca="false">-(Hausgeld_nu+Verwaltung)*(1+Kostensteigerung)^(B36-1)</f>
        <v>-2056.83454242154</v>
      </c>
      <c r="E36" s="70" t="n">
        <f aca="false">-Finanzierung!E33</f>
        <v>-7630.60463555318</v>
      </c>
      <c r="F36" s="70" t="n">
        <f aca="false">-MIN(AfA_Gebaeude,AfA_Basis+SUM(F$22:F35))</f>
        <v>-4900.4624</v>
      </c>
      <c r="G36" s="70" t="n">
        <f aca="false">-IF(B36&lt;=ND_Inventar,AfA_Inventar,0)</f>
        <v>-0</v>
      </c>
      <c r="H36" s="70" t="n">
        <f aca="false">-IF(AND(Regel15_ok=1,B36&lt;=Erhaltung_Jahre),Renovierung/Erhaltung_Jahre,0)</f>
        <v>-0</v>
      </c>
      <c r="I36" s="92" t="n">
        <f aca="false">SUM(C36:H36)</f>
        <v>-283.199458416631</v>
      </c>
      <c r="J36" s="110" t="n">
        <f aca="false">-I36*Steuersatz_eff</f>
        <v>125.485680024409</v>
      </c>
      <c r="K36" s="70" t="n">
        <f aca="false">AfA_Basis+SUM(F$23:F36)</f>
        <v>176416.6464</v>
      </c>
      <c r="L36" s="70" t="n">
        <f aca="false">-(F36+G36)</f>
        <v>4900.4624</v>
      </c>
    </row>
    <row r="37" customFormat="false" ht="15" hidden="false" customHeight="false" outlineLevel="0" collapsed="false">
      <c r="B37" s="88" t="n">
        <v>15</v>
      </c>
      <c r="C37" s="70" t="n">
        <f aca="false">Projektion!E25</f>
        <v>14590.7961619492</v>
      </c>
      <c r="D37" s="70" t="n">
        <f aca="false">-(Hausgeld_nu+Verwaltung)*(1+Kostensteigerung)^(B37-1)</f>
        <v>-2097.97123326997</v>
      </c>
      <c r="E37" s="70" t="n">
        <f aca="false">-Finanzierung!E34</f>
        <v>-7345.55684415307</v>
      </c>
      <c r="F37" s="70" t="n">
        <f aca="false">-MIN(AfA_Gebaeude,AfA_Basis+SUM(F$22:F36))</f>
        <v>-4900.4624</v>
      </c>
      <c r="G37" s="70" t="n">
        <f aca="false">-IF(B37&lt;=ND_Inventar,AfA_Inventar,0)</f>
        <v>-0</v>
      </c>
      <c r="H37" s="70" t="n">
        <f aca="false">-IF(AND(Regel15_ok=1,B37&lt;=Erhaltung_Jahre),Renovierung/Erhaltung_Jahre,0)</f>
        <v>-0</v>
      </c>
      <c r="I37" s="92" t="n">
        <f aca="false">SUM(C37:H37)</f>
        <v>246.805684526205</v>
      </c>
      <c r="J37" s="110" t="n">
        <f aca="false">-I37*Steuersatz_eff</f>
        <v>-109.359598813562</v>
      </c>
      <c r="K37" s="70" t="n">
        <f aca="false">AfA_Basis+SUM(F$23:F37)</f>
        <v>171516.184</v>
      </c>
      <c r="L37" s="70" t="n">
        <f aca="false">-(F37+G37)</f>
        <v>4900.4624</v>
      </c>
    </row>
    <row r="38" customFormat="false" ht="15" hidden="false" customHeight="false" outlineLevel="0" collapsed="false">
      <c r="B38" s="88" t="n">
        <v>16</v>
      </c>
      <c r="C38" s="70" t="n">
        <f aca="false">Projektion!E26</f>
        <v>14882.6120851882</v>
      </c>
      <c r="D38" s="70" t="n">
        <f aca="false">-(Hausgeld_nu+Verwaltung)*(1+Kostensteigerung)^(B38-1)</f>
        <v>-2139.93065793537</v>
      </c>
      <c r="E38" s="70" t="n">
        <f aca="false">-Finanzierung!E35</f>
        <v>-7047.68190213996</v>
      </c>
      <c r="F38" s="70" t="n">
        <f aca="false">-MIN(AfA_Gebaeude,AfA_Basis+SUM(F$22:F37))</f>
        <v>-4900.4624</v>
      </c>
      <c r="G38" s="70" t="n">
        <f aca="false">-IF(B38&lt;=ND_Inventar,AfA_Inventar,0)</f>
        <v>-0</v>
      </c>
      <c r="H38" s="70" t="n">
        <f aca="false">-IF(AND(Regel15_ok=1,B38&lt;=Erhaltung_Jahre),Renovierung/Erhaltung_Jahre,0)</f>
        <v>-0</v>
      </c>
      <c r="I38" s="92" t="n">
        <f aca="false">SUM(C38:H38)</f>
        <v>794.537125112905</v>
      </c>
      <c r="J38" s="110" t="n">
        <f aca="false">-I38*Steuersatz_eff</f>
        <v>-352.059400137528</v>
      </c>
      <c r="K38" s="70" t="n">
        <f aca="false">AfA_Basis+SUM(F$23:F38)</f>
        <v>166615.7216</v>
      </c>
      <c r="L38" s="70" t="n">
        <f aca="false">-(F38+G38)</f>
        <v>4900.4624</v>
      </c>
    </row>
    <row r="39" customFormat="false" ht="15" hidden="false" customHeight="false" outlineLevel="0" collapsed="false">
      <c r="B39" s="88" t="n">
        <v>17</v>
      </c>
      <c r="C39" s="70" t="n">
        <f aca="false">Projektion!E27</f>
        <v>15180.264326892</v>
      </c>
      <c r="D39" s="70" t="n">
        <f aca="false">-(Hausgeld_nu+Verwaltung)*(1+Kostensteigerung)^(B39-1)</f>
        <v>-2182.72927109407</v>
      </c>
      <c r="E39" s="70" t="n">
        <f aca="false">-Finanzierung!E36</f>
        <v>-6736.40258773626</v>
      </c>
      <c r="F39" s="70" t="n">
        <f aca="false">-MIN(AfA_Gebaeude,AfA_Basis+SUM(F$22:F38))</f>
        <v>-4900.4624</v>
      </c>
      <c r="G39" s="70" t="n">
        <f aca="false">-IF(B39&lt;=ND_Inventar,AfA_Inventar,0)</f>
        <v>-0</v>
      </c>
      <c r="H39" s="70" t="n">
        <f aca="false">-IF(AND(Regel15_ok=1,B39&lt;=Erhaltung_Jahre),Renovierung/Erhaltung_Jahre,0)</f>
        <v>-0</v>
      </c>
      <c r="I39" s="92" t="n">
        <f aca="false">SUM(C39:H39)</f>
        <v>1360.67006806166</v>
      </c>
      <c r="J39" s="110" t="n">
        <f aca="false">-I39*Steuersatz_eff</f>
        <v>-602.912907158123</v>
      </c>
      <c r="K39" s="70" t="n">
        <f aca="false">AfA_Basis+SUM(F$23:F39)</f>
        <v>161715.2592</v>
      </c>
      <c r="L39" s="70" t="n">
        <f aca="false">-(F39+G39)</f>
        <v>4900.4624</v>
      </c>
    </row>
    <row r="40" customFormat="false" ht="15" hidden="false" customHeight="false" outlineLevel="0" collapsed="false">
      <c r="B40" s="88" t="n">
        <v>18</v>
      </c>
      <c r="C40" s="70" t="n">
        <f aca="false">Projektion!E28</f>
        <v>15483.8696134298</v>
      </c>
      <c r="D40" s="70" t="n">
        <f aca="false">-(Hausgeld_nu+Verwaltung)*(1+Kostensteigerung)^(B40-1)</f>
        <v>-2226.38385651596</v>
      </c>
      <c r="E40" s="70" t="n">
        <f aca="false">-Finanzierung!E37</f>
        <v>-6411.11570418439</v>
      </c>
      <c r="F40" s="70" t="n">
        <f aca="false">-MIN(AfA_Gebaeude,AfA_Basis+SUM(F$22:F39))</f>
        <v>-4900.4624</v>
      </c>
      <c r="G40" s="70" t="n">
        <f aca="false">-IF(B40&lt;=ND_Inventar,AfA_Inventar,0)</f>
        <v>-0</v>
      </c>
      <c r="H40" s="70" t="n">
        <f aca="false">-IF(AND(Regel15_ok=1,B40&lt;=Erhaltung_Jahre),Renovierung/Erhaltung_Jahre,0)</f>
        <v>-0</v>
      </c>
      <c r="I40" s="92" t="n">
        <f aca="false">SUM(C40:H40)</f>
        <v>1945.90765272949</v>
      </c>
      <c r="J40" s="110" t="n">
        <f aca="false">-I40*Steuersatz_eff</f>
        <v>-862.231680924438</v>
      </c>
      <c r="K40" s="70" t="n">
        <f aca="false">AfA_Basis+SUM(F$23:F40)</f>
        <v>156814.7968</v>
      </c>
      <c r="L40" s="70" t="n">
        <f aca="false">-(F40+G40)</f>
        <v>4900.4624</v>
      </c>
    </row>
    <row r="41" customFormat="false" ht="15" hidden="false" customHeight="false" outlineLevel="0" collapsed="false">
      <c r="B41" s="88" t="n">
        <v>19</v>
      </c>
      <c r="C41" s="70" t="n">
        <f aca="false">Projektion!E29</f>
        <v>15793.5470056984</v>
      </c>
      <c r="D41" s="70" t="n">
        <f aca="false">-(Hausgeld_nu+Verwaltung)*(1+Kostensteigerung)^(B41-1)</f>
        <v>-2270.91153364627</v>
      </c>
      <c r="E41" s="70" t="n">
        <f aca="false">-Finanzierung!E38</f>
        <v>-6071.19091087269</v>
      </c>
      <c r="F41" s="70" t="n">
        <f aca="false">-MIN(AfA_Gebaeude,AfA_Basis+SUM(F$22:F40))</f>
        <v>-4900.4624</v>
      </c>
      <c r="G41" s="70" t="n">
        <f aca="false">-IF(B41&lt;=ND_Inventar,AfA_Inventar,0)</f>
        <v>-0</v>
      </c>
      <c r="H41" s="70" t="n">
        <f aca="false">-IF(AND(Regel15_ok=1,B41&lt;=Erhaltung_Jahre),Renovierung/Erhaltung_Jahre,0)</f>
        <v>-0</v>
      </c>
      <c r="I41" s="92" t="n">
        <f aca="false">SUM(C41:H41)</f>
        <v>2550.98216117947</v>
      </c>
      <c r="J41" s="110" t="n">
        <f aca="false">-I41*Steuersatz_eff</f>
        <v>-1130.34019561862</v>
      </c>
      <c r="K41" s="70" t="n">
        <f aca="false">AfA_Basis+SUM(F$23:F41)</f>
        <v>151914.3344</v>
      </c>
      <c r="L41" s="70" t="n">
        <f aca="false">-(F41+G41)</f>
        <v>4900.4624</v>
      </c>
    </row>
    <row r="42" customFormat="false" ht="15" hidden="false" customHeight="false" outlineLevel="0" collapsed="false">
      <c r="B42" s="88" t="n">
        <v>20</v>
      </c>
      <c r="C42" s="70" t="n">
        <f aca="false">Projektion!E30</f>
        <v>16109.4179458124</v>
      </c>
      <c r="D42" s="70" t="n">
        <f aca="false">-(Hausgeld_nu+Verwaltung)*(1+Kostensteigerung)^(B42-1)</f>
        <v>-2316.3297643192</v>
      </c>
      <c r="E42" s="70" t="n">
        <f aca="false">-Finanzierung!E39</f>
        <v>-5715.96950186196</v>
      </c>
      <c r="F42" s="70" t="n">
        <f aca="false">-MIN(AfA_Gebaeude,AfA_Basis+SUM(F$22:F41))</f>
        <v>-4900.4624</v>
      </c>
      <c r="G42" s="70" t="n">
        <f aca="false">-IF(B42&lt;=ND_Inventar,AfA_Inventar,0)</f>
        <v>-0</v>
      </c>
      <c r="H42" s="70" t="n">
        <f aca="false">-IF(AND(Regel15_ok=1,B42&lt;=Erhaltung_Jahre),Renovierung/Erhaltung_Jahre,0)</f>
        <v>-0</v>
      </c>
      <c r="I42" s="92" t="n">
        <f aca="false">SUM(C42:H42)</f>
        <v>3176.65627963124</v>
      </c>
      <c r="J42" s="110" t="n">
        <f aca="false">-I42*Steuersatz_eff</f>
        <v>-1407.5763975046</v>
      </c>
      <c r="K42" s="70" t="n">
        <f aca="false">AfA_Basis+SUM(F$23:F42)</f>
        <v>147013.872</v>
      </c>
      <c r="L42" s="70" t="n">
        <f aca="false">-(F42+G42)</f>
        <v>4900.4624</v>
      </c>
    </row>
    <row r="43" customFormat="false" ht="15" hidden="false" customHeight="false" outlineLevel="0" collapsed="false">
      <c r="B43" s="88" t="n">
        <v>21</v>
      </c>
      <c r="C43" s="70" t="n">
        <f aca="false">Projektion!E31</f>
        <v>16431.6063047286</v>
      </c>
      <c r="D43" s="70" t="n">
        <f aca="false">-(Hausgeld_nu+Verwaltung)*(1+Kostensteigerung)^(B43-1)</f>
        <v>-2362.65635960558</v>
      </c>
      <c r="E43" s="70" t="n">
        <f aca="false">-Finanzierung!E40</f>
        <v>-5344.76312944574</v>
      </c>
      <c r="F43" s="70" t="n">
        <f aca="false">-MIN(AfA_Gebaeude,AfA_Basis+SUM(F$22:F42))</f>
        <v>-4900.4624</v>
      </c>
      <c r="G43" s="70" t="n">
        <f aca="false">-IF(B43&lt;=ND_Inventar,AfA_Inventar,0)</f>
        <v>-0</v>
      </c>
      <c r="H43" s="70" t="n">
        <f aca="false">-IF(AND(Regel15_ok=1,B43&lt;=Erhaltung_Jahre),Renovierung/Erhaltung_Jahre,0)</f>
        <v>-0</v>
      </c>
      <c r="I43" s="92" t="n">
        <f aca="false">SUM(C43:H43)</f>
        <v>3823.72441567732</v>
      </c>
      <c r="J43" s="110" t="n">
        <f aca="false">-I43*Steuersatz_eff</f>
        <v>-1694.29228858662</v>
      </c>
      <c r="K43" s="70" t="n">
        <f aca="false">AfA_Basis+SUM(F$23:F43)</f>
        <v>142113.4096</v>
      </c>
      <c r="L43" s="70" t="n">
        <f aca="false">-(F43+G43)</f>
        <v>4900.4624</v>
      </c>
    </row>
    <row r="44" customFormat="false" ht="15" hidden="false" customHeight="false" outlineLevel="0" collapsed="false">
      <c r="B44" s="88" t="n">
        <v>22</v>
      </c>
      <c r="C44" s="70" t="n">
        <f aca="false">Projektion!E32</f>
        <v>16760.2384308232</v>
      </c>
      <c r="D44" s="70" t="n">
        <f aca="false">-(Hausgeld_nu+Verwaltung)*(1+Kostensteigerung)^(B44-1)</f>
        <v>-2409.9094867977</v>
      </c>
      <c r="E44" s="70" t="n">
        <f aca="false">-Finanzierung!E41</f>
        <v>-4956.8524702708</v>
      </c>
      <c r="F44" s="70" t="n">
        <f aca="false">-MIN(AfA_Gebaeude,AfA_Basis+SUM(F$22:F43))</f>
        <v>-4900.4624</v>
      </c>
      <c r="G44" s="70" t="n">
        <f aca="false">-IF(B44&lt;=ND_Inventar,AfA_Inventar,0)</f>
        <v>-0</v>
      </c>
      <c r="H44" s="70" t="n">
        <f aca="false">-IF(AND(Regel15_ok=1,B44&lt;=Erhaltung_Jahre),Renovierung/Erhaltung_Jahre,0)</f>
        <v>-0</v>
      </c>
      <c r="I44" s="92" t="n">
        <f aca="false">SUM(C44:H44)</f>
        <v>4493.01407375472</v>
      </c>
      <c r="J44" s="110" t="n">
        <f aca="false">-I44*Steuersatz_eff</f>
        <v>-1990.85453608072</v>
      </c>
      <c r="K44" s="70" t="n">
        <f aca="false">AfA_Basis+SUM(F$23:F44)</f>
        <v>137212.9472</v>
      </c>
      <c r="L44" s="70" t="n">
        <f aca="false">-(F44+G44)</f>
        <v>4900.4624</v>
      </c>
    </row>
    <row r="45" customFormat="false" ht="15" hidden="false" customHeight="false" outlineLevel="0" collapsed="false">
      <c r="B45" s="88" t="n">
        <v>23</v>
      </c>
      <c r="C45" s="70" t="n">
        <f aca="false">Projektion!E33</f>
        <v>17095.4431994397</v>
      </c>
      <c r="D45" s="70" t="n">
        <f aca="false">-(Hausgeld_nu+Verwaltung)*(1+Kostensteigerung)^(B45-1)</f>
        <v>-2458.10767653365</v>
      </c>
      <c r="E45" s="70" t="n">
        <f aca="false">-Finanzierung!E42</f>
        <v>-4551.48583143299</v>
      </c>
      <c r="F45" s="70" t="n">
        <f aca="false">-MIN(AfA_Gebaeude,AfA_Basis+SUM(F$22:F44))</f>
        <v>-4900.4624</v>
      </c>
      <c r="G45" s="70" t="n">
        <f aca="false">-IF(B45&lt;=ND_Inventar,AfA_Inventar,0)</f>
        <v>-0</v>
      </c>
      <c r="H45" s="70" t="n">
        <f aca="false">-IF(AND(Regel15_ok=1,B45&lt;=Erhaltung_Jahre),Renovierung/Erhaltung_Jahre,0)</f>
        <v>-0</v>
      </c>
      <c r="I45" s="92" t="n">
        <f aca="false">SUM(C45:H45)</f>
        <v>5185.38729147305</v>
      </c>
      <c r="J45" s="110" t="n">
        <f aca="false">-I45*Steuersatz_eff</f>
        <v>-2297.64510885171</v>
      </c>
      <c r="K45" s="70" t="n">
        <f aca="false">AfA_Basis+SUM(F$23:F45)</f>
        <v>132312.4848</v>
      </c>
      <c r="L45" s="70" t="n">
        <f aca="false">-(F45+G45)</f>
        <v>4900.4624</v>
      </c>
    </row>
    <row r="46" customFormat="false" ht="15" hidden="false" customHeight="false" outlineLevel="0" collapsed="false">
      <c r="B46" s="88" t="n">
        <v>24</v>
      </c>
      <c r="C46" s="70" t="n">
        <f aca="false">Projektion!E34</f>
        <v>17437.3520634285</v>
      </c>
      <c r="D46" s="70" t="n">
        <f aca="false">-(Hausgeld_nu+Verwaltung)*(1+Kostensteigerung)^(B46-1)</f>
        <v>-2507.26983006432</v>
      </c>
      <c r="E46" s="70" t="n">
        <f aca="false">-Finanzierung!E43</f>
        <v>-4127.87769384747</v>
      </c>
      <c r="F46" s="70" t="n">
        <f aca="false">-MIN(AfA_Gebaeude,AfA_Basis+SUM(F$22:F45))</f>
        <v>-4900.4624</v>
      </c>
      <c r="G46" s="70" t="n">
        <f aca="false">-IF(B46&lt;=ND_Inventar,AfA_Inventar,0)</f>
        <v>-0</v>
      </c>
      <c r="H46" s="70" t="n">
        <f aca="false">-IF(AND(Regel15_ok=1,B46&lt;=Erhaltung_Jahre),Renovierung/Erhaltung_Jahre,0)</f>
        <v>-0</v>
      </c>
      <c r="I46" s="92" t="n">
        <f aca="false">SUM(C46:H46)</f>
        <v>5901.74213951668</v>
      </c>
      <c r="J46" s="110" t="n">
        <f aca="false">-I46*Steuersatz_eff</f>
        <v>-2615.06194201984</v>
      </c>
      <c r="K46" s="70" t="n">
        <f aca="false">AfA_Basis+SUM(F$23:F46)</f>
        <v>127412.0224</v>
      </c>
      <c r="L46" s="70" t="n">
        <f aca="false">-(F46+G46)</f>
        <v>4900.4624</v>
      </c>
    </row>
    <row r="47" customFormat="false" ht="15" hidden="false" customHeight="false" outlineLevel="0" collapsed="false">
      <c r="B47" s="88" t="n">
        <v>25</v>
      </c>
      <c r="C47" s="70" t="n">
        <f aca="false">Projektion!E35</f>
        <v>17786.0991046971</v>
      </c>
      <c r="D47" s="70" t="n">
        <f aca="false">-(Hausgeld_nu+Verwaltung)*(1+Kostensteigerung)^(B47-1)</f>
        <v>-2557.41522666561</v>
      </c>
      <c r="E47" s="70" t="n">
        <f aca="false">-Finanzierung!E44</f>
        <v>-3685.20719007061</v>
      </c>
      <c r="F47" s="70" t="n">
        <f aca="false">-MIN(AfA_Gebaeude,AfA_Basis+SUM(F$22:F46))</f>
        <v>-4900.4624</v>
      </c>
      <c r="G47" s="70" t="n">
        <f aca="false">-IF(B47&lt;=ND_Inventar,AfA_Inventar,0)</f>
        <v>-0</v>
      </c>
      <c r="H47" s="70" t="n">
        <f aca="false">-IF(AND(Regel15_ok=1,B47&lt;=Erhaltung_Jahre),Renovierung/Erhaltung_Jahre,0)</f>
        <v>-0</v>
      </c>
      <c r="I47" s="92" t="n">
        <f aca="false">SUM(C47:H47)</f>
        <v>6643.01428796083</v>
      </c>
      <c r="J47" s="110" t="n">
        <f aca="false">-I47*Steuersatz_eff</f>
        <v>-2943.51963099544</v>
      </c>
      <c r="K47" s="70" t="n">
        <f aca="false">AfA_Basis+SUM(F$23:F47)</f>
        <v>122511.56</v>
      </c>
      <c r="L47" s="70" t="n">
        <f aca="false">-(F47+G47)</f>
        <v>4900.4624</v>
      </c>
    </row>
    <row r="48" customFormat="false" ht="15" hidden="false" customHeight="false" outlineLevel="0" collapsed="false">
      <c r="B48" s="88" t="n">
        <v>26</v>
      </c>
      <c r="C48" s="70" t="n">
        <f aca="false">Projektion!E36</f>
        <v>18141.821086791</v>
      </c>
      <c r="D48" s="70" t="n">
        <f aca="false">-(Hausgeld_nu+Verwaltung)*(1+Kostensteigerung)^(B48-1)</f>
        <v>-2608.56353119892</v>
      </c>
      <c r="E48" s="70" t="n">
        <f aca="false">-Finanzierung!E45</f>
        <v>-3222.61651362379</v>
      </c>
      <c r="F48" s="70" t="n">
        <f aca="false">-MIN(AfA_Gebaeude,AfA_Basis+SUM(F$22:F47))</f>
        <v>-4900.4624</v>
      </c>
      <c r="G48" s="70" t="n">
        <f aca="false">-IF(B48&lt;=ND_Inventar,AfA_Inventar,0)</f>
        <v>-0</v>
      </c>
      <c r="H48" s="70" t="n">
        <f aca="false">-IF(AND(Regel15_ok=1,B48&lt;=Erhaltung_Jahre),Renovierung/Erhaltung_Jahre,0)</f>
        <v>-0</v>
      </c>
      <c r="I48" s="92" t="n">
        <f aca="false">SUM(C48:H48)</f>
        <v>7410.17864196828</v>
      </c>
      <c r="J48" s="110" t="n">
        <f aca="false">-I48*Steuersatz_eff</f>
        <v>-3283.45015625615</v>
      </c>
      <c r="K48" s="70" t="n">
        <f aca="false">AfA_Basis+SUM(F$23:F48)</f>
        <v>117611.0976</v>
      </c>
      <c r="L48" s="70" t="n">
        <f aca="false">-(F48+G48)</f>
        <v>4900.4624</v>
      </c>
    </row>
    <row r="49" customFormat="false" ht="15" hidden="false" customHeight="false" outlineLevel="0" collapsed="false">
      <c r="B49" s="88" t="n">
        <v>27</v>
      </c>
      <c r="C49" s="70" t="n">
        <f aca="false">Projektion!E37</f>
        <v>18504.6575085268</v>
      </c>
      <c r="D49" s="70" t="n">
        <f aca="false">-(Hausgeld_nu+Verwaltung)*(1+Kostensteigerung)^(B49-1)</f>
        <v>-2660.7348018229</v>
      </c>
      <c r="E49" s="70" t="n">
        <f aca="false">-Finanzierung!E46</f>
        <v>-2739.20925673686</v>
      </c>
      <c r="F49" s="70" t="n">
        <f aca="false">-MIN(AfA_Gebaeude,AfA_Basis+SUM(F$22:F48))</f>
        <v>-4900.4624</v>
      </c>
      <c r="G49" s="70" t="n">
        <f aca="false">-IF(B49&lt;=ND_Inventar,AfA_Inventar,0)</f>
        <v>-0</v>
      </c>
      <c r="H49" s="70" t="n">
        <f aca="false">-IF(AND(Regel15_ok=1,B49&lt;=Erhaltung_Jahre),Renovierung/Erhaltung_Jahre,0)</f>
        <v>-0</v>
      </c>
      <c r="I49" s="92" t="n">
        <f aca="false">SUM(C49:H49)</f>
        <v>8204.25104996705</v>
      </c>
      <c r="J49" s="110" t="n">
        <f aca="false">-I49*Steuersatz_eff</f>
        <v>-3635.3036402404</v>
      </c>
      <c r="K49" s="70" t="n">
        <f aca="false">AfA_Basis+SUM(F$23:F49)</f>
        <v>112710.6352</v>
      </c>
      <c r="L49" s="70" t="n">
        <f aca="false">-(F49+G49)</f>
        <v>4900.4624</v>
      </c>
    </row>
    <row r="50" customFormat="false" ht="15" hidden="false" customHeight="false" outlineLevel="0" collapsed="false">
      <c r="B50" s="88" t="n">
        <v>28</v>
      </c>
      <c r="C50" s="70" t="n">
        <f aca="false">Projektion!E38</f>
        <v>18874.7506586973</v>
      </c>
      <c r="D50" s="70" t="n">
        <f aca="false">-(Hausgeld_nu+Verwaltung)*(1+Kostensteigerung)^(B50-1)</f>
        <v>-2713.94949785936</v>
      </c>
      <c r="E50" s="70" t="n">
        <f aca="false">-Finanzierung!E47</f>
        <v>-2234.04867329002</v>
      </c>
      <c r="F50" s="70" t="n">
        <f aca="false">-MIN(AfA_Gebaeude,AfA_Basis+SUM(F$22:F49))</f>
        <v>-4900.4624</v>
      </c>
      <c r="G50" s="70" t="n">
        <f aca="false">-IF(B50&lt;=ND_Inventar,AfA_Inventar,0)</f>
        <v>-0</v>
      </c>
      <c r="H50" s="70" t="n">
        <f aca="false">-IF(AND(Regel15_ok=1,B50&lt;=Erhaltung_Jahre),Renovierung/Erhaltung_Jahre,0)</f>
        <v>-0</v>
      </c>
      <c r="I50" s="92" t="n">
        <f aca="false">SUM(C50:H50)</f>
        <v>9026.29008754797</v>
      </c>
      <c r="J50" s="110" t="n">
        <f aca="false">-I50*Steuersatz_eff</f>
        <v>-3999.54913779251</v>
      </c>
      <c r="K50" s="70" t="n">
        <f aca="false">AfA_Basis+SUM(F$23:F50)</f>
        <v>107810.1728</v>
      </c>
      <c r="L50" s="70" t="n">
        <f aca="false">-(F50+G50)</f>
        <v>4900.4624</v>
      </c>
    </row>
    <row r="51" customFormat="false" ht="15" hidden="false" customHeight="false" outlineLevel="0" collapsed="false">
      <c r="B51" s="88" t="n">
        <v>29</v>
      </c>
      <c r="C51" s="70" t="n">
        <f aca="false">Projektion!E39</f>
        <v>19252.2456718713</v>
      </c>
      <c r="D51" s="70" t="n">
        <f aca="false">-(Hausgeld_nu+Verwaltung)*(1+Kostensteigerung)^(B51-1)</f>
        <v>-2768.22848781655</v>
      </c>
      <c r="E51" s="70" t="n">
        <f aca="false">-Finanzierung!E48</f>
        <v>-1706.15586358807</v>
      </c>
      <c r="F51" s="70" t="n">
        <f aca="false">-MIN(AfA_Gebaeude,AfA_Basis+SUM(F$22:F50))</f>
        <v>-4900.4624</v>
      </c>
      <c r="G51" s="70" t="n">
        <f aca="false">-IF(B51&lt;=ND_Inventar,AfA_Inventar,0)</f>
        <v>-0</v>
      </c>
      <c r="H51" s="70" t="n">
        <f aca="false">-IF(AND(Regel15_ok=1,B51&lt;=Erhaltung_Jahre),Renovierung/Erhaltung_Jahre,0)</f>
        <v>-0</v>
      </c>
      <c r="I51" s="92" t="n">
        <f aca="false">SUM(C51:H51)</f>
        <v>9877.39892046668</v>
      </c>
      <c r="J51" s="110" t="n">
        <f aca="false">-I51*Steuersatz_eff</f>
        <v>-4376.67546165879</v>
      </c>
      <c r="K51" s="70" t="n">
        <f aca="false">AfA_Basis+SUM(F$23:F51)</f>
        <v>102909.7104</v>
      </c>
      <c r="L51" s="70" t="n">
        <f aca="false">-(F51+G51)</f>
        <v>4900.4624</v>
      </c>
    </row>
    <row r="52" customFormat="false" ht="15" hidden="false" customHeight="false" outlineLevel="0" collapsed="false">
      <c r="B52" s="88" t="n">
        <v>30</v>
      </c>
      <c r="C52" s="70" t="n">
        <f aca="false">Projektion!E40</f>
        <v>19637.2905853087</v>
      </c>
      <c r="D52" s="70" t="n">
        <f aca="false">-(Hausgeld_nu+Verwaltung)*(1+Kostensteigerung)^(B52-1)</f>
        <v>-2823.59305757288</v>
      </c>
      <c r="E52" s="70" t="n">
        <f aca="false">-Finanzierung!E49</f>
        <v>-1154.50787744953</v>
      </c>
      <c r="F52" s="70" t="n">
        <f aca="false">-MIN(AfA_Gebaeude,AfA_Basis+SUM(F$22:F51))</f>
        <v>-4900.4624</v>
      </c>
      <c r="G52" s="70" t="n">
        <f aca="false">-IF(B52&lt;=ND_Inventar,AfA_Inventar,0)</f>
        <v>-0</v>
      </c>
      <c r="H52" s="70" t="n">
        <f aca="false">-IF(AND(Regel15_ok=1,B52&lt;=Erhaltung_Jahre),Renovierung/Erhaltung_Jahre,0)</f>
        <v>-0</v>
      </c>
      <c r="I52" s="92" t="n">
        <f aca="false">SUM(C52:H52)</f>
        <v>10758.7272502863</v>
      </c>
      <c r="J52" s="110" t="n">
        <f aca="false">-I52*Steuersatz_eff</f>
        <v>-4767.19204460187</v>
      </c>
      <c r="K52" s="70" t="n">
        <f aca="false">AfA_Basis+SUM(F$23:F52)</f>
        <v>98009.248</v>
      </c>
      <c r="L52" s="70" t="n">
        <f aca="false">-(F52+G52)</f>
        <v>4900.4624</v>
      </c>
    </row>
    <row r="54" customFormat="false" ht="15" hidden="false" customHeight="false" outlineLevel="0" collapsed="false">
      <c r="B54" s="66" t="s">
        <v>291</v>
      </c>
    </row>
    <row r="56" customFormat="false" ht="18" hidden="false" customHeight="true" outlineLevel="0" collapsed="false">
      <c r="B56" s="41" t="s">
        <v>65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3" t="s">
        <v>66</v>
      </c>
    </row>
  </sheetData>
  <mergeCells count="22">
    <mergeCell ref="H2:M2"/>
    <mergeCell ref="B3:G4"/>
    <mergeCell ref="B9:D9"/>
    <mergeCell ref="I9:L9"/>
    <mergeCell ref="B10:D10"/>
    <mergeCell ref="I10:L10"/>
    <mergeCell ref="B11:D11"/>
    <mergeCell ref="I11:L11"/>
    <mergeCell ref="B12:D12"/>
    <mergeCell ref="I12:L12"/>
    <mergeCell ref="B13:D13"/>
    <mergeCell ref="I13:M14"/>
    <mergeCell ref="B14:D14"/>
    <mergeCell ref="B15:D15"/>
    <mergeCell ref="B16:D16"/>
    <mergeCell ref="I16:L16"/>
    <mergeCell ref="B17:D17"/>
    <mergeCell ref="I17:L17"/>
    <mergeCell ref="B18:D18"/>
    <mergeCell ref="I18:L18"/>
    <mergeCell ref="B19:D19"/>
    <mergeCell ref="I19:L19"/>
  </mergeCells>
  <conditionalFormatting sqref="M12">
    <cfRule type="cellIs" priority="2" operator="equal" aboveAverage="0" equalAverage="0" bottom="0" percent="0" rank="0" text="" dxfId="2">
      <formula>1</formula>
    </cfRule>
    <cfRule type="cellIs" priority="3" operator="equal" aboveAverage="0" equalAverage="0" bottom="0" percent="0" rank="0" text="" dxfId="0">
      <formula>0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C9E"/>
    <pageSetUpPr fitToPage="true"/>
  </sheetPr>
  <dimension ref="B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16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9" t="s">
        <v>16</v>
      </c>
      <c r="J6" s="10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292</v>
      </c>
      <c r="C8" s="12"/>
      <c r="D8" s="12"/>
      <c r="E8" s="12"/>
      <c r="F8" s="12"/>
      <c r="G8" s="12"/>
      <c r="H8" s="12"/>
      <c r="I8" s="12"/>
      <c r="J8" s="12"/>
      <c r="K8" s="23" t="s">
        <v>293</v>
      </c>
    </row>
    <row r="9" customFormat="false" ht="22.35" hidden="false" customHeight="true" outlineLevel="0" collapsed="false">
      <c r="B9" s="111"/>
      <c r="C9" s="111"/>
      <c r="D9" s="83" t="s">
        <v>294</v>
      </c>
      <c r="E9" s="83" t="s">
        <v>295</v>
      </c>
      <c r="F9" s="83" t="s">
        <v>296</v>
      </c>
      <c r="G9" s="83" t="s">
        <v>297</v>
      </c>
      <c r="H9" s="111" t="s">
        <v>298</v>
      </c>
      <c r="I9" s="111"/>
      <c r="J9" s="111"/>
      <c r="K9" s="111"/>
    </row>
    <row r="10" customFormat="false" ht="15" hidden="false" customHeight="false" outlineLevel="0" collapsed="false">
      <c r="B10" s="112" t="s">
        <v>299</v>
      </c>
      <c r="C10" s="112"/>
      <c r="D10" s="113" t="n">
        <v>0.02</v>
      </c>
      <c r="E10" s="113" t="n">
        <v>0.025</v>
      </c>
      <c r="F10" s="113" t="n">
        <v>0.03</v>
      </c>
      <c r="G10" s="113" t="n">
        <v>0.05</v>
      </c>
      <c r="H10" s="73" t="s">
        <v>300</v>
      </c>
      <c r="I10" s="73"/>
      <c r="J10" s="73"/>
      <c r="K10" s="73"/>
    </row>
    <row r="11" customFormat="false" ht="25.5" hidden="false" customHeight="true" outlineLevel="0" collapsed="false">
      <c r="B11" s="112" t="s">
        <v>301</v>
      </c>
      <c r="C11" s="112"/>
      <c r="D11" s="114" t="s">
        <v>302</v>
      </c>
      <c r="E11" s="114" t="s">
        <v>303</v>
      </c>
      <c r="F11" s="114" t="s">
        <v>304</v>
      </c>
      <c r="G11" s="114" t="s">
        <v>305</v>
      </c>
      <c r="H11" s="115" t="s">
        <v>306</v>
      </c>
      <c r="I11" s="115"/>
      <c r="J11" s="115"/>
      <c r="K11" s="115"/>
    </row>
    <row r="12" customFormat="false" ht="15" hidden="false" customHeight="false" outlineLevel="0" collapsed="false">
      <c r="B12" s="59" t="s">
        <v>307</v>
      </c>
      <c r="C12" s="59"/>
      <c r="D12" s="94" t="n">
        <f aca="false">D20</f>
        <v>4900.4624</v>
      </c>
      <c r="E12" s="94" t="n">
        <f aca="false">E20</f>
        <v>6125.578</v>
      </c>
      <c r="F12" s="94" t="n">
        <f aca="false">F20</f>
        <v>7350.6936</v>
      </c>
      <c r="G12" s="94" t="n">
        <f aca="false">G20</f>
        <v>12251.156</v>
      </c>
      <c r="H12" s="15"/>
      <c r="I12" s="15"/>
      <c r="J12" s="15"/>
      <c r="K12" s="15"/>
    </row>
    <row r="13" customFormat="false" ht="15" hidden="false" customHeight="false" outlineLevel="0" collapsed="false">
      <c r="B13" s="59" t="s">
        <v>308</v>
      </c>
      <c r="C13" s="59"/>
      <c r="D13" s="94" t="n">
        <f aca="false">SUMPRODUCT(($B$20:$B$49&lt;=Haltedauer)*D$20:D$49)</f>
        <v>58805.5488</v>
      </c>
      <c r="E13" s="94" t="n">
        <f aca="false">SUMPRODUCT(($B$20:$B$49&lt;=Haltedauer)*E$20:E$49)</f>
        <v>73506.936</v>
      </c>
      <c r="F13" s="94" t="n">
        <f aca="false">SUMPRODUCT(($B$20:$B$49&lt;=Haltedauer)*F$20:F$49)</f>
        <v>88208.3232</v>
      </c>
      <c r="G13" s="94" t="n">
        <f aca="false">SUMPRODUCT(($B$20:$B$49&lt;=Haltedauer)*G$20:G$49)</f>
        <v>112622.405397427</v>
      </c>
      <c r="H13" s="116" t="s">
        <v>309</v>
      </c>
      <c r="I13" s="15"/>
      <c r="J13" s="15"/>
      <c r="K13" s="15"/>
    </row>
    <row r="14" customFormat="false" ht="15" hidden="false" customHeight="false" outlineLevel="0" collapsed="false">
      <c r="B14" s="72" t="s">
        <v>310</v>
      </c>
      <c r="C14" s="72"/>
      <c r="D14" s="95" t="n">
        <f aca="false">D13*Steuersatz_eff</f>
        <v>26056.73867328</v>
      </c>
      <c r="E14" s="95" t="n">
        <f aca="false">E13*Steuersatz_eff</f>
        <v>32570.9233416</v>
      </c>
      <c r="F14" s="95" t="n">
        <f aca="false">F13*Steuersatz_eff</f>
        <v>39085.10800992</v>
      </c>
      <c r="G14" s="95" t="n">
        <f aca="false">G13*Steuersatz_eff</f>
        <v>49902.9878316</v>
      </c>
      <c r="H14" s="15"/>
      <c r="I14" s="15"/>
      <c r="J14" s="15"/>
      <c r="K14" s="15"/>
    </row>
    <row r="15" customFormat="false" ht="15" hidden="false" customHeight="false" outlineLevel="0" collapsed="false">
      <c r="B15" s="59" t="s">
        <v>311</v>
      </c>
      <c r="C15" s="59"/>
      <c r="D15" s="94" t="n">
        <f aca="false">AfA_Basis-D13</f>
        <v>186217.5712</v>
      </c>
      <c r="E15" s="94" t="n">
        <f aca="false">AfA_Basis-E13</f>
        <v>171516.184</v>
      </c>
      <c r="F15" s="94" t="n">
        <f aca="false">AfA_Basis-F13</f>
        <v>156814.7968</v>
      </c>
      <c r="G15" s="94" t="n">
        <f aca="false">AfA_Basis-G13</f>
        <v>132400.714602573</v>
      </c>
      <c r="H15" s="15"/>
      <c r="I15" s="15"/>
      <c r="J15" s="15"/>
      <c r="K15" s="15"/>
    </row>
    <row r="16" customFormat="false" ht="15" hidden="false" customHeight="false" outlineLevel="0" collapsed="false">
      <c r="B16" s="59" t="s">
        <v>312</v>
      </c>
      <c r="C16" s="59"/>
      <c r="D16" s="117" t="str">
        <f aca="false">IF(ROUND(AfA_Satz,4)=ROUND(D10,4),"✓ gewählt","")</f>
        <v>✓ gewählt</v>
      </c>
      <c r="E16" s="117" t="str">
        <f aca="false">IF(ROUND(AfA_Satz,4)=ROUND(E10,4),"✓ gewählt","")</f>
        <v/>
      </c>
      <c r="F16" s="117" t="str">
        <f aca="false">IF(ROUND(AfA_Satz,4)=ROUND(F10,4),"✓ gewählt","")</f>
        <v/>
      </c>
      <c r="G16" s="117" t="str">
        <f aca="false">IF(ROUND(AfA_Satz,4)=ROUND(G10,4),"✓ gewählt","")</f>
        <v/>
      </c>
      <c r="H16" s="15"/>
      <c r="I16" s="15"/>
      <c r="J16" s="15"/>
      <c r="K16" s="15"/>
    </row>
    <row r="18" customFormat="false" ht="21" hidden="false" customHeight="true" outlineLevel="0" collapsed="false">
      <c r="B18" s="11" t="s">
        <v>313</v>
      </c>
      <c r="C18" s="12"/>
      <c r="D18" s="12"/>
      <c r="E18" s="12"/>
      <c r="F18" s="12"/>
      <c r="G18" s="12"/>
      <c r="H18" s="12"/>
      <c r="I18" s="12"/>
      <c r="J18" s="12"/>
      <c r="K18" s="23" t="s">
        <v>100</v>
      </c>
    </row>
    <row r="19" customFormat="false" ht="15" hidden="false" customHeight="true" outlineLevel="0" collapsed="false">
      <c r="B19" s="118" t="s">
        <v>101</v>
      </c>
      <c r="C19" s="118"/>
      <c r="D19" s="83" t="s">
        <v>314</v>
      </c>
      <c r="E19" s="83" t="s">
        <v>315</v>
      </c>
      <c r="F19" s="83" t="s">
        <v>316</v>
      </c>
      <c r="G19" s="83" t="s">
        <v>317</v>
      </c>
      <c r="H19" s="83" t="s">
        <v>318</v>
      </c>
      <c r="I19" s="83" t="s">
        <v>319</v>
      </c>
      <c r="J19" s="83" t="s">
        <v>320</v>
      </c>
      <c r="K19" s="83" t="s">
        <v>321</v>
      </c>
    </row>
    <row r="20" customFormat="false" ht="15" hidden="false" customHeight="false" outlineLevel="0" collapsed="false">
      <c r="B20" s="88" t="n">
        <v>1</v>
      </c>
      <c r="C20" s="88"/>
      <c r="D20" s="70" t="n">
        <f aca="false">MIN(D$10*AfA_Basis,AfA_Basis-SUM(D$19:D19))</f>
        <v>4900.4624</v>
      </c>
      <c r="E20" s="70" t="n">
        <f aca="false">MIN(E$10*AfA_Basis,AfA_Basis-SUM(E$19:E19))</f>
        <v>6125.578</v>
      </c>
      <c r="F20" s="70" t="n">
        <f aca="false">MIN(F$10*AfA_Basis,AfA_Basis-SUM(F$19:F19))</f>
        <v>7350.6936</v>
      </c>
      <c r="G20" s="70" t="n">
        <f aca="false">(AfA_Basis-SUM(G$19:G19))*G$10</f>
        <v>12251.156</v>
      </c>
      <c r="H20" s="119" t="n">
        <f aca="false">AfA_Basis-SUM(D$20:D20)</f>
        <v>240122.6576</v>
      </c>
      <c r="I20" s="119" t="n">
        <f aca="false">AfA_Basis-SUM(E$20:E20)</f>
        <v>238897.542</v>
      </c>
      <c r="J20" s="119" t="n">
        <f aca="false">AfA_Basis-SUM(F$20:F20)</f>
        <v>237672.4264</v>
      </c>
      <c r="K20" s="119" t="n">
        <f aca="false">AfA_Basis-SUM(G$20:G20)</f>
        <v>232771.964</v>
      </c>
    </row>
    <row r="21" customFormat="false" ht="15" hidden="false" customHeight="false" outlineLevel="0" collapsed="false">
      <c r="B21" s="88" t="n">
        <v>2</v>
      </c>
      <c r="C21" s="88"/>
      <c r="D21" s="70" t="n">
        <f aca="false">MIN(D$10*AfA_Basis,AfA_Basis-SUM(D$19:D20))</f>
        <v>4900.4624</v>
      </c>
      <c r="E21" s="70" t="n">
        <f aca="false">MIN(E$10*AfA_Basis,AfA_Basis-SUM(E$19:E20))</f>
        <v>6125.578</v>
      </c>
      <c r="F21" s="70" t="n">
        <f aca="false">MIN(F$10*AfA_Basis,AfA_Basis-SUM(F$19:F20))</f>
        <v>7350.6936</v>
      </c>
      <c r="G21" s="70" t="n">
        <f aca="false">(AfA_Basis-SUM(G$19:G20))*G$10</f>
        <v>11638.5982</v>
      </c>
      <c r="H21" s="119" t="n">
        <f aca="false">AfA_Basis-SUM(D$20:D21)</f>
        <v>235222.1952</v>
      </c>
      <c r="I21" s="119" t="n">
        <f aca="false">AfA_Basis-SUM(E$20:E21)</f>
        <v>232771.964</v>
      </c>
      <c r="J21" s="119" t="n">
        <f aca="false">AfA_Basis-SUM(F$20:F21)</f>
        <v>230321.7328</v>
      </c>
      <c r="K21" s="119" t="n">
        <f aca="false">AfA_Basis-SUM(G$20:G21)</f>
        <v>221133.3658</v>
      </c>
    </row>
    <row r="22" customFormat="false" ht="15" hidden="false" customHeight="false" outlineLevel="0" collapsed="false">
      <c r="B22" s="88" t="n">
        <v>3</v>
      </c>
      <c r="C22" s="88"/>
      <c r="D22" s="70" t="n">
        <f aca="false">MIN(D$10*AfA_Basis,AfA_Basis-SUM(D$19:D21))</f>
        <v>4900.4624</v>
      </c>
      <c r="E22" s="70" t="n">
        <f aca="false">MIN(E$10*AfA_Basis,AfA_Basis-SUM(E$19:E21))</f>
        <v>6125.578</v>
      </c>
      <c r="F22" s="70" t="n">
        <f aca="false">MIN(F$10*AfA_Basis,AfA_Basis-SUM(F$19:F21))</f>
        <v>7350.6936</v>
      </c>
      <c r="G22" s="70" t="n">
        <f aca="false">(AfA_Basis-SUM(G$19:G21))*G$10</f>
        <v>11056.66829</v>
      </c>
      <c r="H22" s="119" t="n">
        <f aca="false">AfA_Basis-SUM(D$20:D22)</f>
        <v>230321.7328</v>
      </c>
      <c r="I22" s="119" t="n">
        <f aca="false">AfA_Basis-SUM(E$20:E22)</f>
        <v>226646.386</v>
      </c>
      <c r="J22" s="119" t="n">
        <f aca="false">AfA_Basis-SUM(F$20:F22)</f>
        <v>222971.0392</v>
      </c>
      <c r="K22" s="119" t="n">
        <f aca="false">AfA_Basis-SUM(G$20:G22)</f>
        <v>210076.69751</v>
      </c>
    </row>
    <row r="23" customFormat="false" ht="15" hidden="false" customHeight="false" outlineLevel="0" collapsed="false">
      <c r="B23" s="88" t="n">
        <v>4</v>
      </c>
      <c r="C23" s="88"/>
      <c r="D23" s="70" t="n">
        <f aca="false">MIN(D$10*AfA_Basis,AfA_Basis-SUM(D$19:D22))</f>
        <v>4900.4624</v>
      </c>
      <c r="E23" s="70" t="n">
        <f aca="false">MIN(E$10*AfA_Basis,AfA_Basis-SUM(E$19:E22))</f>
        <v>6125.578</v>
      </c>
      <c r="F23" s="70" t="n">
        <f aca="false">MIN(F$10*AfA_Basis,AfA_Basis-SUM(F$19:F22))</f>
        <v>7350.6936</v>
      </c>
      <c r="G23" s="70" t="n">
        <f aca="false">(AfA_Basis-SUM(G$19:G22))*G$10</f>
        <v>10503.8348755</v>
      </c>
      <c r="H23" s="119" t="n">
        <f aca="false">AfA_Basis-SUM(D$20:D23)</f>
        <v>225421.2704</v>
      </c>
      <c r="I23" s="119" t="n">
        <f aca="false">AfA_Basis-SUM(E$20:E23)</f>
        <v>220520.808</v>
      </c>
      <c r="J23" s="119" t="n">
        <f aca="false">AfA_Basis-SUM(F$20:F23)</f>
        <v>215620.3456</v>
      </c>
      <c r="K23" s="119" t="n">
        <f aca="false">AfA_Basis-SUM(G$20:G23)</f>
        <v>199572.8626345</v>
      </c>
    </row>
    <row r="24" customFormat="false" ht="15" hidden="false" customHeight="false" outlineLevel="0" collapsed="false">
      <c r="B24" s="88" t="n">
        <v>5</v>
      </c>
      <c r="C24" s="88"/>
      <c r="D24" s="70" t="n">
        <f aca="false">MIN(D$10*AfA_Basis,AfA_Basis-SUM(D$19:D23))</f>
        <v>4900.4624</v>
      </c>
      <c r="E24" s="70" t="n">
        <f aca="false">MIN(E$10*AfA_Basis,AfA_Basis-SUM(E$19:E23))</f>
        <v>6125.578</v>
      </c>
      <c r="F24" s="70" t="n">
        <f aca="false">MIN(F$10*AfA_Basis,AfA_Basis-SUM(F$19:F23))</f>
        <v>7350.6936</v>
      </c>
      <c r="G24" s="70" t="n">
        <f aca="false">(AfA_Basis-SUM(G$19:G23))*G$10</f>
        <v>9978.643131725</v>
      </c>
      <c r="H24" s="119" t="n">
        <f aca="false">AfA_Basis-SUM(D$20:D24)</f>
        <v>220520.808</v>
      </c>
      <c r="I24" s="119" t="n">
        <f aca="false">AfA_Basis-SUM(E$20:E24)</f>
        <v>214395.23</v>
      </c>
      <c r="J24" s="119" t="n">
        <f aca="false">AfA_Basis-SUM(F$20:F24)</f>
        <v>208269.652</v>
      </c>
      <c r="K24" s="119" t="n">
        <f aca="false">AfA_Basis-SUM(G$20:G24)</f>
        <v>189594.219502775</v>
      </c>
    </row>
    <row r="25" customFormat="false" ht="15" hidden="false" customHeight="false" outlineLevel="0" collapsed="false">
      <c r="B25" s="88" t="n">
        <v>6</v>
      </c>
      <c r="C25" s="88"/>
      <c r="D25" s="70" t="n">
        <f aca="false">MIN(D$10*AfA_Basis,AfA_Basis-SUM(D$19:D24))</f>
        <v>4900.4624</v>
      </c>
      <c r="E25" s="70" t="n">
        <f aca="false">MIN(E$10*AfA_Basis,AfA_Basis-SUM(E$19:E24))</f>
        <v>6125.578</v>
      </c>
      <c r="F25" s="70" t="n">
        <f aca="false">MIN(F$10*AfA_Basis,AfA_Basis-SUM(F$19:F24))</f>
        <v>7350.6936</v>
      </c>
      <c r="G25" s="70" t="n">
        <f aca="false">(AfA_Basis-SUM(G$19:G24))*G$10</f>
        <v>9479.71097513875</v>
      </c>
      <c r="H25" s="119" t="n">
        <f aca="false">AfA_Basis-SUM(D$20:D25)</f>
        <v>215620.3456</v>
      </c>
      <c r="I25" s="119" t="n">
        <f aca="false">AfA_Basis-SUM(E$20:E25)</f>
        <v>208269.652</v>
      </c>
      <c r="J25" s="119" t="n">
        <f aca="false">AfA_Basis-SUM(F$20:F25)</f>
        <v>200918.9584</v>
      </c>
      <c r="K25" s="119" t="n">
        <f aca="false">AfA_Basis-SUM(G$20:G25)</f>
        <v>180114.508527636</v>
      </c>
    </row>
    <row r="26" customFormat="false" ht="15" hidden="false" customHeight="false" outlineLevel="0" collapsed="false">
      <c r="B26" s="88" t="n">
        <v>7</v>
      </c>
      <c r="C26" s="88"/>
      <c r="D26" s="70" t="n">
        <f aca="false">MIN(D$10*AfA_Basis,AfA_Basis-SUM(D$19:D25))</f>
        <v>4900.4624</v>
      </c>
      <c r="E26" s="70" t="n">
        <f aca="false">MIN(E$10*AfA_Basis,AfA_Basis-SUM(E$19:E25))</f>
        <v>6125.578</v>
      </c>
      <c r="F26" s="70" t="n">
        <f aca="false">MIN(F$10*AfA_Basis,AfA_Basis-SUM(F$19:F25))</f>
        <v>7350.6936</v>
      </c>
      <c r="G26" s="70" t="n">
        <f aca="false">(AfA_Basis-SUM(G$19:G25))*G$10</f>
        <v>9005.72542638181</v>
      </c>
      <c r="H26" s="119" t="n">
        <f aca="false">AfA_Basis-SUM(D$20:D26)</f>
        <v>210719.8832</v>
      </c>
      <c r="I26" s="119" t="n">
        <f aca="false">AfA_Basis-SUM(E$20:E26)</f>
        <v>202144.074</v>
      </c>
      <c r="J26" s="119" t="n">
        <f aca="false">AfA_Basis-SUM(F$20:F26)</f>
        <v>193568.2648</v>
      </c>
      <c r="K26" s="119" t="n">
        <f aca="false">AfA_Basis-SUM(G$20:G26)</f>
        <v>171108.783101254</v>
      </c>
    </row>
    <row r="27" customFormat="false" ht="15" hidden="false" customHeight="false" outlineLevel="0" collapsed="false">
      <c r="B27" s="88" t="n">
        <v>8</v>
      </c>
      <c r="C27" s="88"/>
      <c r="D27" s="70" t="n">
        <f aca="false">MIN(D$10*AfA_Basis,AfA_Basis-SUM(D$19:D26))</f>
        <v>4900.4624</v>
      </c>
      <c r="E27" s="70" t="n">
        <f aca="false">MIN(E$10*AfA_Basis,AfA_Basis-SUM(E$19:E26))</f>
        <v>6125.578</v>
      </c>
      <c r="F27" s="70" t="n">
        <f aca="false">MIN(F$10*AfA_Basis,AfA_Basis-SUM(F$19:F26))</f>
        <v>7350.6936</v>
      </c>
      <c r="G27" s="70" t="n">
        <f aca="false">(AfA_Basis-SUM(G$19:G26))*G$10</f>
        <v>8555.43915506272</v>
      </c>
      <c r="H27" s="119" t="n">
        <f aca="false">AfA_Basis-SUM(D$20:D27)</f>
        <v>205819.4208</v>
      </c>
      <c r="I27" s="119" t="n">
        <f aca="false">AfA_Basis-SUM(E$20:E27)</f>
        <v>196018.496</v>
      </c>
      <c r="J27" s="119" t="n">
        <f aca="false">AfA_Basis-SUM(F$20:F27)</f>
        <v>186217.5712</v>
      </c>
      <c r="K27" s="119" t="n">
        <f aca="false">AfA_Basis-SUM(G$20:G27)</f>
        <v>162553.343946192</v>
      </c>
    </row>
    <row r="28" customFormat="false" ht="15" hidden="false" customHeight="false" outlineLevel="0" collapsed="false">
      <c r="B28" s="88" t="n">
        <v>9</v>
      </c>
      <c r="C28" s="88"/>
      <c r="D28" s="70" t="n">
        <f aca="false">MIN(D$10*AfA_Basis,AfA_Basis-SUM(D$19:D27))</f>
        <v>4900.4624</v>
      </c>
      <c r="E28" s="70" t="n">
        <f aca="false">MIN(E$10*AfA_Basis,AfA_Basis-SUM(E$19:E27))</f>
        <v>6125.578</v>
      </c>
      <c r="F28" s="70" t="n">
        <f aca="false">MIN(F$10*AfA_Basis,AfA_Basis-SUM(F$19:F27))</f>
        <v>7350.6936</v>
      </c>
      <c r="G28" s="70" t="n">
        <f aca="false">(AfA_Basis-SUM(G$19:G27))*G$10</f>
        <v>8127.66719730959</v>
      </c>
      <c r="H28" s="119" t="n">
        <f aca="false">AfA_Basis-SUM(D$20:D28)</f>
        <v>200918.9584</v>
      </c>
      <c r="I28" s="119" t="n">
        <f aca="false">AfA_Basis-SUM(E$20:E28)</f>
        <v>189892.918</v>
      </c>
      <c r="J28" s="119" t="n">
        <f aca="false">AfA_Basis-SUM(F$20:F28)</f>
        <v>178866.8776</v>
      </c>
      <c r="K28" s="119" t="n">
        <f aca="false">AfA_Basis-SUM(G$20:G28)</f>
        <v>154425.676748882</v>
      </c>
    </row>
    <row r="29" customFormat="false" ht="15" hidden="false" customHeight="false" outlineLevel="0" collapsed="false">
      <c r="B29" s="88" t="n">
        <v>10</v>
      </c>
      <c r="C29" s="88"/>
      <c r="D29" s="70" t="n">
        <f aca="false">MIN(D$10*AfA_Basis,AfA_Basis-SUM(D$19:D28))</f>
        <v>4900.4624</v>
      </c>
      <c r="E29" s="70" t="n">
        <f aca="false">MIN(E$10*AfA_Basis,AfA_Basis-SUM(E$19:E28))</f>
        <v>6125.578</v>
      </c>
      <c r="F29" s="70" t="n">
        <f aca="false">MIN(F$10*AfA_Basis,AfA_Basis-SUM(F$19:F28))</f>
        <v>7350.6936</v>
      </c>
      <c r="G29" s="70" t="n">
        <f aca="false">(AfA_Basis-SUM(G$19:G28))*G$10</f>
        <v>7721.28383744411</v>
      </c>
      <c r="H29" s="119" t="n">
        <f aca="false">AfA_Basis-SUM(D$20:D29)</f>
        <v>196018.496</v>
      </c>
      <c r="I29" s="119" t="n">
        <f aca="false">AfA_Basis-SUM(E$20:E29)</f>
        <v>183767.34</v>
      </c>
      <c r="J29" s="119" t="n">
        <f aca="false">AfA_Basis-SUM(F$20:F29)</f>
        <v>171516.184</v>
      </c>
      <c r="K29" s="119" t="n">
        <f aca="false">AfA_Basis-SUM(G$20:G29)</f>
        <v>146704.392911438</v>
      </c>
    </row>
    <row r="30" customFormat="false" ht="15" hidden="false" customHeight="false" outlineLevel="0" collapsed="false">
      <c r="B30" s="88" t="n">
        <v>11</v>
      </c>
      <c r="C30" s="88"/>
      <c r="D30" s="70" t="n">
        <f aca="false">MIN(D$10*AfA_Basis,AfA_Basis-SUM(D$19:D29))</f>
        <v>4900.4624</v>
      </c>
      <c r="E30" s="70" t="n">
        <f aca="false">MIN(E$10*AfA_Basis,AfA_Basis-SUM(E$19:E29))</f>
        <v>6125.578</v>
      </c>
      <c r="F30" s="70" t="n">
        <f aca="false">MIN(F$10*AfA_Basis,AfA_Basis-SUM(F$19:F29))</f>
        <v>7350.6936</v>
      </c>
      <c r="G30" s="70" t="n">
        <f aca="false">(AfA_Basis-SUM(G$19:G29))*G$10</f>
        <v>7335.2196455719</v>
      </c>
      <c r="H30" s="119" t="n">
        <f aca="false">AfA_Basis-SUM(D$20:D30)</f>
        <v>191118.0336</v>
      </c>
      <c r="I30" s="119" t="n">
        <f aca="false">AfA_Basis-SUM(E$20:E30)</f>
        <v>177641.762</v>
      </c>
      <c r="J30" s="119" t="n">
        <f aca="false">AfA_Basis-SUM(F$20:F30)</f>
        <v>164165.4904</v>
      </c>
      <c r="K30" s="119" t="n">
        <f aca="false">AfA_Basis-SUM(G$20:G30)</f>
        <v>139369.173265866</v>
      </c>
    </row>
    <row r="31" customFormat="false" ht="15" hidden="false" customHeight="false" outlineLevel="0" collapsed="false">
      <c r="B31" s="88" t="n">
        <v>12</v>
      </c>
      <c r="C31" s="88"/>
      <c r="D31" s="70" t="n">
        <f aca="false">MIN(D$10*AfA_Basis,AfA_Basis-SUM(D$19:D30))</f>
        <v>4900.4624</v>
      </c>
      <c r="E31" s="70" t="n">
        <f aca="false">MIN(E$10*AfA_Basis,AfA_Basis-SUM(E$19:E30))</f>
        <v>6125.578</v>
      </c>
      <c r="F31" s="70" t="n">
        <f aca="false">MIN(F$10*AfA_Basis,AfA_Basis-SUM(F$19:F30))</f>
        <v>7350.6936</v>
      </c>
      <c r="G31" s="70" t="n">
        <f aca="false">(AfA_Basis-SUM(G$19:G30))*G$10</f>
        <v>6968.45866329331</v>
      </c>
      <c r="H31" s="119" t="n">
        <f aca="false">AfA_Basis-SUM(D$20:D31)</f>
        <v>186217.5712</v>
      </c>
      <c r="I31" s="119" t="n">
        <f aca="false">AfA_Basis-SUM(E$20:E31)</f>
        <v>171516.184</v>
      </c>
      <c r="J31" s="119" t="n">
        <f aca="false">AfA_Basis-SUM(F$20:F31)</f>
        <v>156814.7968</v>
      </c>
      <c r="K31" s="119" t="n">
        <f aca="false">AfA_Basis-SUM(G$20:G31)</f>
        <v>132400.714602573</v>
      </c>
    </row>
    <row r="32" customFormat="false" ht="15" hidden="false" customHeight="false" outlineLevel="0" collapsed="false">
      <c r="B32" s="88" t="n">
        <v>13</v>
      </c>
      <c r="C32" s="88"/>
      <c r="D32" s="70" t="n">
        <f aca="false">MIN(D$10*AfA_Basis,AfA_Basis-SUM(D$19:D31))</f>
        <v>4900.4624</v>
      </c>
      <c r="E32" s="70" t="n">
        <f aca="false">MIN(E$10*AfA_Basis,AfA_Basis-SUM(E$19:E31))</f>
        <v>6125.578</v>
      </c>
      <c r="F32" s="70" t="n">
        <f aca="false">MIN(F$10*AfA_Basis,AfA_Basis-SUM(F$19:F31))</f>
        <v>7350.6936</v>
      </c>
      <c r="G32" s="70" t="n">
        <f aca="false">(AfA_Basis-SUM(G$19:G31))*G$10</f>
        <v>6620.03573012864</v>
      </c>
      <c r="H32" s="119" t="n">
        <f aca="false">AfA_Basis-SUM(D$20:D32)</f>
        <v>181317.1088</v>
      </c>
      <c r="I32" s="119" t="n">
        <f aca="false">AfA_Basis-SUM(E$20:E32)</f>
        <v>165390.606</v>
      </c>
      <c r="J32" s="119" t="n">
        <f aca="false">AfA_Basis-SUM(F$20:F32)</f>
        <v>149464.1032</v>
      </c>
      <c r="K32" s="119" t="n">
        <f aca="false">AfA_Basis-SUM(G$20:G32)</f>
        <v>125780.678872444</v>
      </c>
    </row>
    <row r="33" customFormat="false" ht="15" hidden="false" customHeight="false" outlineLevel="0" collapsed="false">
      <c r="B33" s="88" t="n">
        <v>14</v>
      </c>
      <c r="C33" s="88"/>
      <c r="D33" s="70" t="n">
        <f aca="false">MIN(D$10*AfA_Basis,AfA_Basis-SUM(D$19:D32))</f>
        <v>4900.4624</v>
      </c>
      <c r="E33" s="70" t="n">
        <f aca="false">MIN(E$10*AfA_Basis,AfA_Basis-SUM(E$19:E32))</f>
        <v>6125.578</v>
      </c>
      <c r="F33" s="70" t="n">
        <f aca="false">MIN(F$10*AfA_Basis,AfA_Basis-SUM(F$19:F32))</f>
        <v>7350.6936</v>
      </c>
      <c r="G33" s="70" t="n">
        <f aca="false">(AfA_Basis-SUM(G$19:G32))*G$10</f>
        <v>6289.03394362221</v>
      </c>
      <c r="H33" s="119" t="n">
        <f aca="false">AfA_Basis-SUM(D$20:D33)</f>
        <v>176416.6464</v>
      </c>
      <c r="I33" s="119" t="n">
        <f aca="false">AfA_Basis-SUM(E$20:E33)</f>
        <v>159265.028</v>
      </c>
      <c r="J33" s="119" t="n">
        <f aca="false">AfA_Basis-SUM(F$20:F33)</f>
        <v>142113.4096</v>
      </c>
      <c r="K33" s="119" t="n">
        <f aca="false">AfA_Basis-SUM(G$20:G33)</f>
        <v>119491.644928822</v>
      </c>
    </row>
    <row r="34" customFormat="false" ht="15" hidden="false" customHeight="false" outlineLevel="0" collapsed="false">
      <c r="B34" s="88" t="n">
        <v>15</v>
      </c>
      <c r="C34" s="88"/>
      <c r="D34" s="70" t="n">
        <f aca="false">MIN(D$10*AfA_Basis,AfA_Basis-SUM(D$19:D33))</f>
        <v>4900.4624</v>
      </c>
      <c r="E34" s="70" t="n">
        <f aca="false">MIN(E$10*AfA_Basis,AfA_Basis-SUM(E$19:E33))</f>
        <v>6125.578</v>
      </c>
      <c r="F34" s="70" t="n">
        <f aca="false">MIN(F$10*AfA_Basis,AfA_Basis-SUM(F$19:F33))</f>
        <v>7350.6936</v>
      </c>
      <c r="G34" s="70" t="n">
        <f aca="false">(AfA_Basis-SUM(G$19:G33))*G$10</f>
        <v>5974.5822464411</v>
      </c>
      <c r="H34" s="119" t="n">
        <f aca="false">AfA_Basis-SUM(D$20:D34)</f>
        <v>171516.184</v>
      </c>
      <c r="I34" s="119" t="n">
        <f aca="false">AfA_Basis-SUM(E$20:E34)</f>
        <v>153139.45</v>
      </c>
      <c r="J34" s="119" t="n">
        <f aca="false">AfA_Basis-SUM(F$20:F34)</f>
        <v>134762.716</v>
      </c>
      <c r="K34" s="119" t="n">
        <f aca="false">AfA_Basis-SUM(G$20:G34)</f>
        <v>113517.062682381</v>
      </c>
    </row>
    <row r="35" customFormat="false" ht="15" hidden="false" customHeight="false" outlineLevel="0" collapsed="false">
      <c r="B35" s="88" t="n">
        <v>16</v>
      </c>
      <c r="C35" s="88"/>
      <c r="D35" s="70" t="n">
        <f aca="false">MIN(D$10*AfA_Basis,AfA_Basis-SUM(D$19:D34))</f>
        <v>4900.4624</v>
      </c>
      <c r="E35" s="70" t="n">
        <f aca="false">MIN(E$10*AfA_Basis,AfA_Basis-SUM(E$19:E34))</f>
        <v>6125.578</v>
      </c>
      <c r="F35" s="70" t="n">
        <f aca="false">MIN(F$10*AfA_Basis,AfA_Basis-SUM(F$19:F34))</f>
        <v>7350.6936</v>
      </c>
      <c r="G35" s="70" t="n">
        <f aca="false">(AfA_Basis-SUM(G$19:G34))*G$10</f>
        <v>5675.85313411904</v>
      </c>
      <c r="H35" s="119" t="n">
        <f aca="false">AfA_Basis-SUM(D$20:D35)</f>
        <v>166615.7216</v>
      </c>
      <c r="I35" s="119" t="n">
        <f aca="false">AfA_Basis-SUM(E$20:E35)</f>
        <v>147013.872</v>
      </c>
      <c r="J35" s="119" t="n">
        <f aca="false">AfA_Basis-SUM(F$20:F35)</f>
        <v>127412.0224</v>
      </c>
      <c r="K35" s="119" t="n">
        <f aca="false">AfA_Basis-SUM(G$20:G35)</f>
        <v>107841.209548262</v>
      </c>
    </row>
    <row r="36" customFormat="false" ht="15" hidden="false" customHeight="false" outlineLevel="0" collapsed="false">
      <c r="B36" s="88" t="n">
        <v>17</v>
      </c>
      <c r="C36" s="88"/>
      <c r="D36" s="70" t="n">
        <f aca="false">MIN(D$10*AfA_Basis,AfA_Basis-SUM(D$19:D35))</f>
        <v>4900.4624</v>
      </c>
      <c r="E36" s="70" t="n">
        <f aca="false">MIN(E$10*AfA_Basis,AfA_Basis-SUM(E$19:E35))</f>
        <v>6125.578</v>
      </c>
      <c r="F36" s="70" t="n">
        <f aca="false">MIN(F$10*AfA_Basis,AfA_Basis-SUM(F$19:F35))</f>
        <v>7350.6936</v>
      </c>
      <c r="G36" s="70" t="n">
        <f aca="false">(AfA_Basis-SUM(G$19:G35))*G$10</f>
        <v>5392.06047741309</v>
      </c>
      <c r="H36" s="119" t="n">
        <f aca="false">AfA_Basis-SUM(D$20:D36)</f>
        <v>161715.2592</v>
      </c>
      <c r="I36" s="119" t="n">
        <f aca="false">AfA_Basis-SUM(E$20:E36)</f>
        <v>140888.294</v>
      </c>
      <c r="J36" s="119" t="n">
        <f aca="false">AfA_Basis-SUM(F$20:F36)</f>
        <v>120061.3288</v>
      </c>
      <c r="K36" s="119" t="n">
        <f aca="false">AfA_Basis-SUM(G$20:G36)</f>
        <v>102449.149070849</v>
      </c>
    </row>
    <row r="37" customFormat="false" ht="15" hidden="false" customHeight="false" outlineLevel="0" collapsed="false">
      <c r="B37" s="88" t="n">
        <v>18</v>
      </c>
      <c r="C37" s="88"/>
      <c r="D37" s="70" t="n">
        <f aca="false">MIN(D$10*AfA_Basis,AfA_Basis-SUM(D$19:D36))</f>
        <v>4900.4624</v>
      </c>
      <c r="E37" s="70" t="n">
        <f aca="false">MIN(E$10*AfA_Basis,AfA_Basis-SUM(E$19:E36))</f>
        <v>6125.578</v>
      </c>
      <c r="F37" s="70" t="n">
        <f aca="false">MIN(F$10*AfA_Basis,AfA_Basis-SUM(F$19:F36))</f>
        <v>7350.6936</v>
      </c>
      <c r="G37" s="70" t="n">
        <f aca="false">(AfA_Basis-SUM(G$19:G36))*G$10</f>
        <v>5122.45745354244</v>
      </c>
      <c r="H37" s="119" t="n">
        <f aca="false">AfA_Basis-SUM(D$20:D37)</f>
        <v>156814.7968</v>
      </c>
      <c r="I37" s="119" t="n">
        <f aca="false">AfA_Basis-SUM(E$20:E37)</f>
        <v>134762.716</v>
      </c>
      <c r="J37" s="119" t="n">
        <f aca="false">AfA_Basis-SUM(F$20:F37)</f>
        <v>112710.6352</v>
      </c>
      <c r="K37" s="119" t="n">
        <f aca="false">AfA_Basis-SUM(G$20:G37)</f>
        <v>97326.6916173063</v>
      </c>
    </row>
    <row r="38" customFormat="false" ht="15" hidden="false" customHeight="false" outlineLevel="0" collapsed="false">
      <c r="B38" s="88" t="n">
        <v>19</v>
      </c>
      <c r="C38" s="88"/>
      <c r="D38" s="70" t="n">
        <f aca="false">MIN(D$10*AfA_Basis,AfA_Basis-SUM(D$19:D37))</f>
        <v>4900.4624</v>
      </c>
      <c r="E38" s="70" t="n">
        <f aca="false">MIN(E$10*AfA_Basis,AfA_Basis-SUM(E$19:E37))</f>
        <v>6125.578</v>
      </c>
      <c r="F38" s="70" t="n">
        <f aca="false">MIN(F$10*AfA_Basis,AfA_Basis-SUM(F$19:F37))</f>
        <v>7350.6936</v>
      </c>
      <c r="G38" s="70" t="n">
        <f aca="false">(AfA_Basis-SUM(G$19:G37))*G$10</f>
        <v>4866.33458086532</v>
      </c>
      <c r="H38" s="119" t="n">
        <f aca="false">AfA_Basis-SUM(D$20:D38)</f>
        <v>151914.3344</v>
      </c>
      <c r="I38" s="119" t="n">
        <f aca="false">AfA_Basis-SUM(E$20:E38)</f>
        <v>128637.138</v>
      </c>
      <c r="J38" s="119" t="n">
        <f aca="false">AfA_Basis-SUM(F$20:F38)</f>
        <v>105359.9416</v>
      </c>
      <c r="K38" s="119" t="n">
        <f aca="false">AfA_Basis-SUM(G$20:G38)</f>
        <v>92460.357036441</v>
      </c>
    </row>
    <row r="39" customFormat="false" ht="15" hidden="false" customHeight="false" outlineLevel="0" collapsed="false">
      <c r="B39" s="88" t="n">
        <v>20</v>
      </c>
      <c r="C39" s="88"/>
      <c r="D39" s="70" t="n">
        <f aca="false">MIN(D$10*AfA_Basis,AfA_Basis-SUM(D$19:D38))</f>
        <v>4900.4624</v>
      </c>
      <c r="E39" s="70" t="n">
        <f aca="false">MIN(E$10*AfA_Basis,AfA_Basis-SUM(E$19:E38))</f>
        <v>6125.578</v>
      </c>
      <c r="F39" s="70" t="n">
        <f aca="false">MIN(F$10*AfA_Basis,AfA_Basis-SUM(F$19:F38))</f>
        <v>7350.6936</v>
      </c>
      <c r="G39" s="70" t="n">
        <f aca="false">(AfA_Basis-SUM(G$19:G38))*G$10</f>
        <v>4623.01785182205</v>
      </c>
      <c r="H39" s="119" t="n">
        <f aca="false">AfA_Basis-SUM(D$20:D39)</f>
        <v>147013.872</v>
      </c>
      <c r="I39" s="119" t="n">
        <f aca="false">AfA_Basis-SUM(E$20:E39)</f>
        <v>122511.56</v>
      </c>
      <c r="J39" s="119" t="n">
        <f aca="false">AfA_Basis-SUM(F$20:F39)</f>
        <v>98009.248</v>
      </c>
      <c r="K39" s="119" t="n">
        <f aca="false">AfA_Basis-SUM(G$20:G39)</f>
        <v>87837.3391846189</v>
      </c>
    </row>
    <row r="40" customFormat="false" ht="15" hidden="false" customHeight="false" outlineLevel="0" collapsed="false">
      <c r="B40" s="88" t="n">
        <v>21</v>
      </c>
      <c r="C40" s="88"/>
      <c r="D40" s="70" t="n">
        <f aca="false">MIN(D$10*AfA_Basis,AfA_Basis-SUM(D$19:D39))</f>
        <v>4900.4624</v>
      </c>
      <c r="E40" s="70" t="n">
        <f aca="false">MIN(E$10*AfA_Basis,AfA_Basis-SUM(E$19:E39))</f>
        <v>6125.578</v>
      </c>
      <c r="F40" s="70" t="n">
        <f aca="false">MIN(F$10*AfA_Basis,AfA_Basis-SUM(F$19:F39))</f>
        <v>7350.6936</v>
      </c>
      <c r="G40" s="70" t="n">
        <f aca="false">(AfA_Basis-SUM(G$19:G39))*G$10</f>
        <v>4391.86695923095</v>
      </c>
      <c r="H40" s="119" t="n">
        <f aca="false">AfA_Basis-SUM(D$20:D40)</f>
        <v>142113.4096</v>
      </c>
      <c r="I40" s="119" t="n">
        <f aca="false">AfA_Basis-SUM(E$20:E40)</f>
        <v>116385.982</v>
      </c>
      <c r="J40" s="119" t="n">
        <f aca="false">AfA_Basis-SUM(F$20:F40)</f>
        <v>90658.5544</v>
      </c>
      <c r="K40" s="119" t="n">
        <f aca="false">AfA_Basis-SUM(G$20:G40)</f>
        <v>83445.472225388</v>
      </c>
    </row>
    <row r="41" customFormat="false" ht="15" hidden="false" customHeight="false" outlineLevel="0" collapsed="false">
      <c r="B41" s="88" t="n">
        <v>22</v>
      </c>
      <c r="C41" s="88"/>
      <c r="D41" s="70" t="n">
        <f aca="false">MIN(D$10*AfA_Basis,AfA_Basis-SUM(D$19:D40))</f>
        <v>4900.4624</v>
      </c>
      <c r="E41" s="70" t="n">
        <f aca="false">MIN(E$10*AfA_Basis,AfA_Basis-SUM(E$19:E40))</f>
        <v>6125.578</v>
      </c>
      <c r="F41" s="70" t="n">
        <f aca="false">MIN(F$10*AfA_Basis,AfA_Basis-SUM(F$19:F40))</f>
        <v>7350.6936</v>
      </c>
      <c r="G41" s="70" t="n">
        <f aca="false">(AfA_Basis-SUM(G$19:G40))*G$10</f>
        <v>4172.2736112694</v>
      </c>
      <c r="H41" s="119" t="n">
        <f aca="false">AfA_Basis-SUM(D$20:D41)</f>
        <v>137212.9472</v>
      </c>
      <c r="I41" s="119" t="n">
        <f aca="false">AfA_Basis-SUM(E$20:E41)</f>
        <v>110260.404</v>
      </c>
      <c r="J41" s="119" t="n">
        <f aca="false">AfA_Basis-SUM(F$20:F41)</f>
        <v>83307.8608</v>
      </c>
      <c r="K41" s="119" t="n">
        <f aca="false">AfA_Basis-SUM(G$20:G41)</f>
        <v>79273.1986141186</v>
      </c>
    </row>
    <row r="42" customFormat="false" ht="15" hidden="false" customHeight="false" outlineLevel="0" collapsed="false">
      <c r="B42" s="88" t="n">
        <v>23</v>
      </c>
      <c r="C42" s="88"/>
      <c r="D42" s="70" t="n">
        <f aca="false">MIN(D$10*AfA_Basis,AfA_Basis-SUM(D$19:D41))</f>
        <v>4900.4624</v>
      </c>
      <c r="E42" s="70" t="n">
        <f aca="false">MIN(E$10*AfA_Basis,AfA_Basis-SUM(E$19:E41))</f>
        <v>6125.578</v>
      </c>
      <c r="F42" s="70" t="n">
        <f aca="false">MIN(F$10*AfA_Basis,AfA_Basis-SUM(F$19:F41))</f>
        <v>7350.6936</v>
      </c>
      <c r="G42" s="70" t="n">
        <f aca="false">(AfA_Basis-SUM(G$19:G41))*G$10</f>
        <v>3963.65993070593</v>
      </c>
      <c r="H42" s="119" t="n">
        <f aca="false">AfA_Basis-SUM(D$20:D42)</f>
        <v>132312.4848</v>
      </c>
      <c r="I42" s="119" t="n">
        <f aca="false">AfA_Basis-SUM(E$20:E42)</f>
        <v>104134.826</v>
      </c>
      <c r="J42" s="119" t="n">
        <f aca="false">AfA_Basis-SUM(F$20:F42)</f>
        <v>75957.1672</v>
      </c>
      <c r="K42" s="119" t="n">
        <f aca="false">AfA_Basis-SUM(G$20:G42)</f>
        <v>75309.5386834127</v>
      </c>
    </row>
    <row r="43" customFormat="false" ht="15" hidden="false" customHeight="false" outlineLevel="0" collapsed="false">
      <c r="B43" s="88" t="n">
        <v>24</v>
      </c>
      <c r="C43" s="88"/>
      <c r="D43" s="70" t="n">
        <f aca="false">MIN(D$10*AfA_Basis,AfA_Basis-SUM(D$19:D42))</f>
        <v>4900.4624</v>
      </c>
      <c r="E43" s="70" t="n">
        <f aca="false">MIN(E$10*AfA_Basis,AfA_Basis-SUM(E$19:E42))</f>
        <v>6125.578</v>
      </c>
      <c r="F43" s="70" t="n">
        <f aca="false">MIN(F$10*AfA_Basis,AfA_Basis-SUM(F$19:F42))</f>
        <v>7350.6936</v>
      </c>
      <c r="G43" s="70" t="n">
        <f aca="false">(AfA_Basis-SUM(G$19:G42))*G$10</f>
        <v>3765.47693417063</v>
      </c>
      <c r="H43" s="119" t="n">
        <f aca="false">AfA_Basis-SUM(D$20:D43)</f>
        <v>127412.0224</v>
      </c>
      <c r="I43" s="119" t="n">
        <f aca="false">AfA_Basis-SUM(E$20:E43)</f>
        <v>98009.248</v>
      </c>
      <c r="J43" s="119" t="n">
        <f aca="false">AfA_Basis-SUM(F$20:F43)</f>
        <v>68606.4736</v>
      </c>
      <c r="K43" s="119" t="n">
        <f aca="false">AfA_Basis-SUM(G$20:G43)</f>
        <v>71544.061749242</v>
      </c>
    </row>
    <row r="44" customFormat="false" ht="15" hidden="false" customHeight="false" outlineLevel="0" collapsed="false">
      <c r="B44" s="88" t="n">
        <v>25</v>
      </c>
      <c r="C44" s="88"/>
      <c r="D44" s="70" t="n">
        <f aca="false">MIN(D$10*AfA_Basis,AfA_Basis-SUM(D$19:D43))</f>
        <v>4900.4624</v>
      </c>
      <c r="E44" s="70" t="n">
        <f aca="false">MIN(E$10*AfA_Basis,AfA_Basis-SUM(E$19:E43))</f>
        <v>6125.578</v>
      </c>
      <c r="F44" s="70" t="n">
        <f aca="false">MIN(F$10*AfA_Basis,AfA_Basis-SUM(F$19:F43))</f>
        <v>7350.6936</v>
      </c>
      <c r="G44" s="70" t="n">
        <f aca="false">(AfA_Basis-SUM(G$19:G43))*G$10</f>
        <v>3577.2030874621</v>
      </c>
      <c r="H44" s="119" t="n">
        <f aca="false">AfA_Basis-SUM(D$20:D44)</f>
        <v>122511.56</v>
      </c>
      <c r="I44" s="119" t="n">
        <f aca="false">AfA_Basis-SUM(E$20:E44)</f>
        <v>91883.67</v>
      </c>
      <c r="J44" s="119" t="n">
        <f aca="false">AfA_Basis-SUM(F$20:F44)</f>
        <v>61255.78</v>
      </c>
      <c r="K44" s="119" t="n">
        <f aca="false">AfA_Basis-SUM(G$20:G44)</f>
        <v>67966.8586617799</v>
      </c>
    </row>
    <row r="45" customFormat="false" ht="15" hidden="false" customHeight="false" outlineLevel="0" collapsed="false">
      <c r="B45" s="88" t="n">
        <v>26</v>
      </c>
      <c r="C45" s="88"/>
      <c r="D45" s="70" t="n">
        <f aca="false">MIN(D$10*AfA_Basis,AfA_Basis-SUM(D$19:D44))</f>
        <v>4900.4624</v>
      </c>
      <c r="E45" s="70" t="n">
        <f aca="false">MIN(E$10*AfA_Basis,AfA_Basis-SUM(E$19:E44))</f>
        <v>6125.578</v>
      </c>
      <c r="F45" s="70" t="n">
        <f aca="false">MIN(F$10*AfA_Basis,AfA_Basis-SUM(F$19:F44))</f>
        <v>7350.6936</v>
      </c>
      <c r="G45" s="70" t="n">
        <f aca="false">(AfA_Basis-SUM(G$19:G44))*G$10</f>
        <v>3398.342933089</v>
      </c>
      <c r="H45" s="119" t="n">
        <f aca="false">AfA_Basis-SUM(D$20:D45)</f>
        <v>117611.0976</v>
      </c>
      <c r="I45" s="119" t="n">
        <f aca="false">AfA_Basis-SUM(E$20:E45)</f>
        <v>85758.092</v>
      </c>
      <c r="J45" s="119" t="n">
        <f aca="false">AfA_Basis-SUM(F$20:F45)</f>
        <v>53905.0864</v>
      </c>
      <c r="K45" s="119" t="n">
        <f aca="false">AfA_Basis-SUM(G$20:G45)</f>
        <v>64568.5157286909</v>
      </c>
    </row>
    <row r="46" customFormat="false" ht="15" hidden="false" customHeight="false" outlineLevel="0" collapsed="false">
      <c r="B46" s="88" t="n">
        <v>27</v>
      </c>
      <c r="C46" s="88"/>
      <c r="D46" s="70" t="n">
        <f aca="false">MIN(D$10*AfA_Basis,AfA_Basis-SUM(D$19:D45))</f>
        <v>4900.4624</v>
      </c>
      <c r="E46" s="70" t="n">
        <f aca="false">MIN(E$10*AfA_Basis,AfA_Basis-SUM(E$19:E45))</f>
        <v>6125.578</v>
      </c>
      <c r="F46" s="70" t="n">
        <f aca="false">MIN(F$10*AfA_Basis,AfA_Basis-SUM(F$19:F45))</f>
        <v>7350.6936</v>
      </c>
      <c r="G46" s="70" t="n">
        <f aca="false">(AfA_Basis-SUM(G$19:G45))*G$10</f>
        <v>3228.42578643455</v>
      </c>
      <c r="H46" s="119" t="n">
        <f aca="false">AfA_Basis-SUM(D$20:D46)</f>
        <v>112710.6352</v>
      </c>
      <c r="I46" s="119" t="n">
        <f aca="false">AfA_Basis-SUM(E$20:E46)</f>
        <v>79632.514</v>
      </c>
      <c r="J46" s="119" t="n">
        <f aca="false">AfA_Basis-SUM(F$20:F46)</f>
        <v>46554.3928</v>
      </c>
      <c r="K46" s="119" t="n">
        <f aca="false">AfA_Basis-SUM(G$20:G46)</f>
        <v>61340.0899422564</v>
      </c>
    </row>
    <row r="47" customFormat="false" ht="15" hidden="false" customHeight="false" outlineLevel="0" collapsed="false">
      <c r="B47" s="88" t="n">
        <v>28</v>
      </c>
      <c r="C47" s="88"/>
      <c r="D47" s="70" t="n">
        <f aca="false">MIN(D$10*AfA_Basis,AfA_Basis-SUM(D$19:D46))</f>
        <v>4900.4624</v>
      </c>
      <c r="E47" s="70" t="n">
        <f aca="false">MIN(E$10*AfA_Basis,AfA_Basis-SUM(E$19:E46))</f>
        <v>6125.578</v>
      </c>
      <c r="F47" s="70" t="n">
        <f aca="false">MIN(F$10*AfA_Basis,AfA_Basis-SUM(F$19:F46))</f>
        <v>7350.6936</v>
      </c>
      <c r="G47" s="70" t="n">
        <f aca="false">(AfA_Basis-SUM(G$19:G46))*G$10</f>
        <v>3067.00449711282</v>
      </c>
      <c r="H47" s="119" t="n">
        <f aca="false">AfA_Basis-SUM(D$20:D47)</f>
        <v>107810.1728</v>
      </c>
      <c r="I47" s="119" t="n">
        <f aca="false">AfA_Basis-SUM(E$20:E47)</f>
        <v>73506.936</v>
      </c>
      <c r="J47" s="119" t="n">
        <f aca="false">AfA_Basis-SUM(F$20:F47)</f>
        <v>39203.6992</v>
      </c>
      <c r="K47" s="119" t="n">
        <f aca="false">AfA_Basis-SUM(G$20:G47)</f>
        <v>58273.0854451436</v>
      </c>
    </row>
    <row r="48" customFormat="false" ht="15" hidden="false" customHeight="false" outlineLevel="0" collapsed="false">
      <c r="B48" s="88" t="n">
        <v>29</v>
      </c>
      <c r="C48" s="88"/>
      <c r="D48" s="70" t="n">
        <f aca="false">MIN(D$10*AfA_Basis,AfA_Basis-SUM(D$19:D47))</f>
        <v>4900.4624</v>
      </c>
      <c r="E48" s="70" t="n">
        <f aca="false">MIN(E$10*AfA_Basis,AfA_Basis-SUM(E$19:E47))</f>
        <v>6125.578</v>
      </c>
      <c r="F48" s="70" t="n">
        <f aca="false">MIN(F$10*AfA_Basis,AfA_Basis-SUM(F$19:F47))</f>
        <v>7350.6936</v>
      </c>
      <c r="G48" s="70" t="n">
        <f aca="false">(AfA_Basis-SUM(G$19:G47))*G$10</f>
        <v>2913.65427225718</v>
      </c>
      <c r="H48" s="119" t="n">
        <f aca="false">AfA_Basis-SUM(D$20:D48)</f>
        <v>102909.7104</v>
      </c>
      <c r="I48" s="119" t="n">
        <f aca="false">AfA_Basis-SUM(E$20:E48)</f>
        <v>67381.358</v>
      </c>
      <c r="J48" s="119" t="n">
        <f aca="false">AfA_Basis-SUM(F$20:F48)</f>
        <v>31853.0056</v>
      </c>
      <c r="K48" s="119" t="n">
        <f aca="false">AfA_Basis-SUM(G$20:G48)</f>
        <v>55359.4311728864</v>
      </c>
    </row>
    <row r="49" customFormat="false" ht="15" hidden="false" customHeight="false" outlineLevel="0" collapsed="false">
      <c r="B49" s="88" t="n">
        <v>30</v>
      </c>
      <c r="C49" s="88"/>
      <c r="D49" s="70" t="n">
        <f aca="false">MIN(D$10*AfA_Basis,AfA_Basis-SUM(D$19:D48))</f>
        <v>4900.4624</v>
      </c>
      <c r="E49" s="70" t="n">
        <f aca="false">MIN(E$10*AfA_Basis,AfA_Basis-SUM(E$19:E48))</f>
        <v>6125.578</v>
      </c>
      <c r="F49" s="70" t="n">
        <f aca="false">MIN(F$10*AfA_Basis,AfA_Basis-SUM(F$19:F48))</f>
        <v>7350.6936</v>
      </c>
      <c r="G49" s="70" t="n">
        <f aca="false">(AfA_Basis-SUM(G$19:G48))*G$10</f>
        <v>2767.97155864432</v>
      </c>
      <c r="H49" s="119" t="n">
        <f aca="false">AfA_Basis-SUM(D$20:D49)</f>
        <v>98009.248</v>
      </c>
      <c r="I49" s="119" t="n">
        <f aca="false">AfA_Basis-SUM(E$20:E49)</f>
        <v>61255.78</v>
      </c>
      <c r="J49" s="119" t="n">
        <f aca="false">AfA_Basis-SUM(F$20:F49)</f>
        <v>24502.312</v>
      </c>
      <c r="K49" s="119" t="n">
        <f aca="false">AfA_Basis-SUM(G$20:G49)</f>
        <v>52591.4596142421</v>
      </c>
    </row>
    <row r="50" customFormat="false" ht="15" hidden="false" customHeight="false" outlineLevel="0" collapsed="false">
      <c r="B50" s="66" t="s">
        <v>322</v>
      </c>
    </row>
    <row r="52" customFormat="false" ht="18" hidden="false" customHeight="true" outlineLevel="0" collapsed="false">
      <c r="B52" s="41" t="s">
        <v>65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3" t="s">
        <v>66</v>
      </c>
    </row>
  </sheetData>
  <mergeCells count="44">
    <mergeCell ref="H2:M2"/>
    <mergeCell ref="B3:G4"/>
    <mergeCell ref="B9:C9"/>
    <mergeCell ref="H9:K9"/>
    <mergeCell ref="B10:C10"/>
    <mergeCell ref="H10:K10"/>
    <mergeCell ref="B11:C11"/>
    <mergeCell ref="H11:K11"/>
    <mergeCell ref="B12:C12"/>
    <mergeCell ref="B13:C13"/>
    <mergeCell ref="B14:C14"/>
    <mergeCell ref="B15:C15"/>
    <mergeCell ref="B16:C1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</mergeCells>
  <conditionalFormatting sqref="B20:K49">
    <cfRule type="expression" priority="2" aboveAverage="0" equalAverage="0" bottom="0" percent="0" rank="0" text="" dxfId="10">
      <formula>$B20=Haltedauer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9C9E"/>
    <pageSetUpPr fitToPage="true"/>
  </sheetPr>
  <dimension ref="B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17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9" t="s">
        <v>17</v>
      </c>
      <c r="K6" s="10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323</v>
      </c>
      <c r="C8" s="12"/>
      <c r="D8" s="12"/>
      <c r="E8" s="12"/>
      <c r="F8" s="12"/>
      <c r="G8" s="23" t="s">
        <v>324</v>
      </c>
    </row>
    <row r="9" customFormat="false" ht="15" hidden="false" customHeight="false" outlineLevel="0" collapsed="false">
      <c r="B9" s="59" t="s">
        <v>325</v>
      </c>
      <c r="C9" s="59"/>
      <c r="D9" s="59"/>
      <c r="E9" s="59"/>
      <c r="F9" s="94" t="n">
        <f aca="false">Miete_Monat*12</f>
        <v>11400</v>
      </c>
      <c r="G9" s="15"/>
      <c r="I9" s="66" t="s">
        <v>326</v>
      </c>
    </row>
    <row r="10" customFormat="false" ht="15" hidden="false" customHeight="false" outlineLevel="0" collapsed="false">
      <c r="B10" s="59" t="s">
        <v>327</v>
      </c>
      <c r="C10" s="59"/>
      <c r="D10" s="59"/>
      <c r="E10" s="59"/>
      <c r="F10" s="94" t="n">
        <f aca="false">Hausgeld_nu+Ruecklage+Verwaltung</f>
        <v>2490</v>
      </c>
      <c r="G10" s="15"/>
      <c r="I10" s="66" t="s">
        <v>328</v>
      </c>
    </row>
    <row r="11" customFormat="false" ht="15" hidden="false" customHeight="false" outlineLevel="0" collapsed="false">
      <c r="B11" s="59" t="s">
        <v>329</v>
      </c>
      <c r="C11" s="59"/>
      <c r="D11" s="59"/>
      <c r="E11" s="59"/>
      <c r="F11" s="94" t="n">
        <f aca="false">Hausgeld_nu+Verwaltung</f>
        <v>1590</v>
      </c>
      <c r="G11" s="15"/>
    </row>
    <row r="12" customFormat="false" ht="15" hidden="false" customHeight="false" outlineLevel="0" collapsed="false">
      <c r="B12" s="59" t="s">
        <v>330</v>
      </c>
      <c r="C12" s="59"/>
      <c r="D12" s="59"/>
      <c r="E12" s="59"/>
      <c r="F12" s="94" t="n">
        <f aca="false">-(Steuern!F23+Steuern!G23+Steuern!H23)</f>
        <v>19995.0224</v>
      </c>
      <c r="G12" s="15"/>
    </row>
    <row r="15" customFormat="false" ht="21" hidden="false" customHeight="true" outlineLevel="0" collapsed="false">
      <c r="B15" s="11" t="s">
        <v>331</v>
      </c>
      <c r="C15" s="12"/>
      <c r="D15" s="12"/>
      <c r="E15" s="12"/>
      <c r="F15" s="12"/>
      <c r="G15" s="12"/>
      <c r="H15" s="12"/>
      <c r="I15" s="23" t="s">
        <v>332</v>
      </c>
    </row>
    <row r="16" customFormat="false" ht="15" hidden="false" customHeight="false" outlineLevel="0" collapsed="false">
      <c r="D16" s="120" t="s">
        <v>333</v>
      </c>
      <c r="E16" s="120"/>
      <c r="F16" s="120"/>
      <c r="G16" s="120"/>
      <c r="H16" s="120"/>
    </row>
    <row r="17" customFormat="false" ht="15" hidden="false" customHeight="false" outlineLevel="0" collapsed="false">
      <c r="B17" s="121" t="s">
        <v>334</v>
      </c>
      <c r="C17" s="121" t="s">
        <v>335</v>
      </c>
      <c r="D17" s="122" t="n">
        <v>-0.1</v>
      </c>
      <c r="E17" s="122" t="n">
        <v>-0.05</v>
      </c>
      <c r="F17" s="122" t="n">
        <v>0</v>
      </c>
      <c r="G17" s="122" t="n">
        <v>0.05</v>
      </c>
      <c r="H17" s="122" t="n">
        <v>0.1</v>
      </c>
    </row>
    <row r="18" customFormat="false" ht="15" hidden="false" customHeight="false" outlineLevel="0" collapsed="false">
      <c r="B18" s="123" t="n">
        <f aca="false">Zins+C18</f>
        <v>0.027</v>
      </c>
      <c r="C18" s="124" t="n">
        <v>-0.01</v>
      </c>
      <c r="D18" s="125" t="n">
        <f aca="false">(($F$9*(1+D$17)*(1-Mietausfall))-$F$10-(Darlehen*(Zins+$C18))-(Darlehen*Tilgung)-(($F$9*(1+D$17)*(1-Mietausfall))-$F$11-(Darlehen*(Zins+$C18))-$F$12)*Steuersatz_eff)/12</f>
        <v>336.067508786667</v>
      </c>
      <c r="E18" s="125" t="n">
        <f aca="false">(($F$9*(1+E$17)*(1-Mietausfall))-$F$10-(Darlehen*(Zins+$C18))-(Darlehen*Tilgung)-(($F$9*(1+E$17)*(1-Mietausfall))-$F$11-(Darlehen*(Zins+$C18))-$F$12)*Steuersatz_eff)/12</f>
        <v>361.726676286667</v>
      </c>
      <c r="F18" s="125" t="n">
        <f aca="false">(($F$9*(1+F$17)*(1-Mietausfall))-$F$10-(Darlehen*(Zins+$C18))-(Darlehen*Tilgung)-(($F$9*(1+F$17)*(1-Mietausfall))-$F$11-(Darlehen*(Zins+$C18))-$F$12)*Steuersatz_eff)/12</f>
        <v>387.385843786667</v>
      </c>
      <c r="G18" s="125" t="n">
        <f aca="false">(($F$9*(1+G$17)*(1-Mietausfall))-$F$10-(Darlehen*(Zins+$C18))-(Darlehen*Tilgung)-(($F$9*(1+G$17)*(1-Mietausfall))-$F$11-(Darlehen*(Zins+$C18))-$F$12)*Steuersatz_eff)/12</f>
        <v>413.045011286667</v>
      </c>
      <c r="H18" s="125" t="n">
        <f aca="false">(($F$9*(1+H$17)*(1-Mietausfall))-$F$10-(Darlehen*(Zins+$C18))-(Darlehen*Tilgung)-(($F$9*(1+H$17)*(1-Mietausfall))-$F$11-(Darlehen*(Zins+$C18))-$F$12)*Steuersatz_eff)/12</f>
        <v>438.704178786667</v>
      </c>
    </row>
    <row r="19" customFormat="false" ht="15" hidden="false" customHeight="false" outlineLevel="0" collapsed="false">
      <c r="B19" s="123" t="n">
        <f aca="false">Zins+C19</f>
        <v>0.032</v>
      </c>
      <c r="C19" s="124" t="n">
        <v>-0.005</v>
      </c>
      <c r="D19" s="125" t="n">
        <f aca="false">(($F$9*(1+D$17)*(1-Mietausfall))-$F$10-(Darlehen*(Zins+$C19))-(Darlehen*Tilgung)-(($F$9*(1+D$17)*(1-Mietausfall))-$F$11-(Darlehen*(Zins+$C19))-$F$12)*Steuersatz_eff)/12</f>
        <v>279.217300453333</v>
      </c>
      <c r="E19" s="125" t="n">
        <f aca="false">(($F$9*(1+E$17)*(1-Mietausfall))-$F$10-(Darlehen*(Zins+$C19))-(Darlehen*Tilgung)-(($F$9*(1+E$17)*(1-Mietausfall))-$F$11-(Darlehen*(Zins+$C19))-$F$12)*Steuersatz_eff)/12</f>
        <v>304.876467953334</v>
      </c>
      <c r="F19" s="125" t="n">
        <f aca="false">(($F$9*(1+F$17)*(1-Mietausfall))-$F$10-(Darlehen*(Zins+$C19))-(Darlehen*Tilgung)-(($F$9*(1+F$17)*(1-Mietausfall))-$F$11-(Darlehen*(Zins+$C19))-$F$12)*Steuersatz_eff)/12</f>
        <v>330.535635453333</v>
      </c>
      <c r="G19" s="125" t="n">
        <f aca="false">(($F$9*(1+G$17)*(1-Mietausfall))-$F$10-(Darlehen*(Zins+$C19))-(Darlehen*Tilgung)-(($F$9*(1+G$17)*(1-Mietausfall))-$F$11-(Darlehen*(Zins+$C19))-$F$12)*Steuersatz_eff)/12</f>
        <v>356.194802953333</v>
      </c>
      <c r="H19" s="125" t="n">
        <f aca="false">(($F$9*(1+H$17)*(1-Mietausfall))-$F$10-(Darlehen*(Zins+$C19))-(Darlehen*Tilgung)-(($F$9*(1+H$17)*(1-Mietausfall))-$F$11-(Darlehen*(Zins+$C19))-$F$12)*Steuersatz_eff)/12</f>
        <v>381.853970453333</v>
      </c>
    </row>
    <row r="20" customFormat="false" ht="15" hidden="false" customHeight="false" outlineLevel="0" collapsed="false">
      <c r="B20" s="123" t="n">
        <f aca="false">Zins+C20</f>
        <v>0.037</v>
      </c>
      <c r="C20" s="124" t="n">
        <v>0</v>
      </c>
      <c r="D20" s="125" t="n">
        <f aca="false">(($F$9*(1+D$17)*(1-Mietausfall))-$F$10-(Darlehen*(Zins+$C20))-(Darlehen*Tilgung)-(($F$9*(1+D$17)*(1-Mietausfall))-$F$11-(Darlehen*(Zins+$C20))-$F$12)*Steuersatz_eff)/12</f>
        <v>222.36709212</v>
      </c>
      <c r="E20" s="125" t="n">
        <f aca="false">(($F$9*(1+E$17)*(1-Mietausfall))-$F$10-(Darlehen*(Zins+$C20))-(Darlehen*Tilgung)-(($F$9*(1+E$17)*(1-Mietausfall))-$F$11-(Darlehen*(Zins+$C20))-$F$12)*Steuersatz_eff)/12</f>
        <v>248.02625962</v>
      </c>
      <c r="F20" s="126" t="n">
        <f aca="false">(($F$9*(1+F$17)*(1-Mietausfall))-$F$10-(Darlehen*(Zins+$C20))-(Darlehen*Tilgung)-(($F$9*(1+F$17)*(1-Mietausfall))-$F$11-(Darlehen*(Zins+$C20))-$F$12)*Steuersatz_eff)/12</f>
        <v>273.68542712</v>
      </c>
      <c r="G20" s="125" t="n">
        <f aca="false">(($F$9*(1+G$17)*(1-Mietausfall))-$F$10-(Darlehen*(Zins+$C20))-(Darlehen*Tilgung)-(($F$9*(1+G$17)*(1-Mietausfall))-$F$11-(Darlehen*(Zins+$C20))-$F$12)*Steuersatz_eff)/12</f>
        <v>299.34459462</v>
      </c>
      <c r="H20" s="125" t="n">
        <f aca="false">(($F$9*(1+H$17)*(1-Mietausfall))-$F$10-(Darlehen*(Zins+$C20))-(Darlehen*Tilgung)-(($F$9*(1+H$17)*(1-Mietausfall))-$F$11-(Darlehen*(Zins+$C20))-$F$12)*Steuersatz_eff)/12</f>
        <v>325.00376212</v>
      </c>
    </row>
    <row r="21" customFormat="false" ht="15" hidden="false" customHeight="false" outlineLevel="0" collapsed="false">
      <c r="B21" s="123" t="n">
        <f aca="false">Zins+C21</f>
        <v>0.042</v>
      </c>
      <c r="C21" s="124" t="n">
        <v>0.005</v>
      </c>
      <c r="D21" s="125" t="n">
        <f aca="false">(($F$9*(1+D$17)*(1-Mietausfall))-$F$10-(Darlehen*(Zins+$C21))-(Darlehen*Tilgung)-(($F$9*(1+D$17)*(1-Mietausfall))-$F$11-(Darlehen*(Zins+$C21))-$F$12)*Steuersatz_eff)/12</f>
        <v>165.516883786667</v>
      </c>
      <c r="E21" s="125" t="n">
        <f aca="false">(($F$9*(1+E$17)*(1-Mietausfall))-$F$10-(Darlehen*(Zins+$C21))-(Darlehen*Tilgung)-(($F$9*(1+E$17)*(1-Mietausfall))-$F$11-(Darlehen*(Zins+$C21))-$F$12)*Steuersatz_eff)/12</f>
        <v>191.176051286667</v>
      </c>
      <c r="F21" s="125" t="n">
        <f aca="false">(($F$9*(1+F$17)*(1-Mietausfall))-$F$10-(Darlehen*(Zins+$C21))-(Darlehen*Tilgung)-(($F$9*(1+F$17)*(1-Mietausfall))-$F$11-(Darlehen*(Zins+$C21))-$F$12)*Steuersatz_eff)/12</f>
        <v>216.835218786667</v>
      </c>
      <c r="G21" s="125" t="n">
        <f aca="false">(($F$9*(1+G$17)*(1-Mietausfall))-$F$10-(Darlehen*(Zins+$C21))-(Darlehen*Tilgung)-(($F$9*(1+G$17)*(1-Mietausfall))-$F$11-(Darlehen*(Zins+$C21))-$F$12)*Steuersatz_eff)/12</f>
        <v>242.494386286667</v>
      </c>
      <c r="H21" s="125" t="n">
        <f aca="false">(($F$9*(1+H$17)*(1-Mietausfall))-$F$10-(Darlehen*(Zins+$C21))-(Darlehen*Tilgung)-(($F$9*(1+H$17)*(1-Mietausfall))-$F$11-(Darlehen*(Zins+$C21))-$F$12)*Steuersatz_eff)/12</f>
        <v>268.153553786667</v>
      </c>
    </row>
    <row r="22" customFormat="false" ht="15" hidden="false" customHeight="false" outlineLevel="0" collapsed="false">
      <c r="B22" s="123" t="n">
        <f aca="false">Zins+C22</f>
        <v>0.047</v>
      </c>
      <c r="C22" s="124" t="n">
        <v>0.01</v>
      </c>
      <c r="D22" s="125" t="n">
        <f aca="false">(($F$9*(1+D$17)*(1-Mietausfall))-$F$10-(Darlehen*(Zins+$C22))-(Darlehen*Tilgung)-(($F$9*(1+D$17)*(1-Mietausfall))-$F$11-(Darlehen*(Zins+$C22))-$F$12)*Steuersatz_eff)/12</f>
        <v>108.666675453333</v>
      </c>
      <c r="E22" s="125" t="n">
        <f aca="false">(($F$9*(1+E$17)*(1-Mietausfall))-$F$10-(Darlehen*(Zins+$C22))-(Darlehen*Tilgung)-(($F$9*(1+E$17)*(1-Mietausfall))-$F$11-(Darlehen*(Zins+$C22))-$F$12)*Steuersatz_eff)/12</f>
        <v>134.325842953333</v>
      </c>
      <c r="F22" s="125" t="n">
        <f aca="false">(($F$9*(1+F$17)*(1-Mietausfall))-$F$10-(Darlehen*(Zins+$C22))-(Darlehen*Tilgung)-(($F$9*(1+F$17)*(1-Mietausfall))-$F$11-(Darlehen*(Zins+$C22))-$F$12)*Steuersatz_eff)/12</f>
        <v>159.985010453333</v>
      </c>
      <c r="G22" s="125" t="n">
        <f aca="false">(($F$9*(1+G$17)*(1-Mietausfall))-$F$10-(Darlehen*(Zins+$C22))-(Darlehen*Tilgung)-(($F$9*(1+G$17)*(1-Mietausfall))-$F$11-(Darlehen*(Zins+$C22))-$F$12)*Steuersatz_eff)/12</f>
        <v>185.644177953333</v>
      </c>
      <c r="H22" s="125" t="n">
        <f aca="false">(($F$9*(1+H$17)*(1-Mietausfall))-$F$10-(Darlehen*(Zins+$C22))-(Darlehen*Tilgung)-(($F$9*(1+H$17)*(1-Mietausfall))-$F$11-(Darlehen*(Zins+$C22))-$F$12)*Steuersatz_eff)/12</f>
        <v>211.303345453333</v>
      </c>
    </row>
    <row r="25" customFormat="false" ht="21" hidden="false" customHeight="true" outlineLevel="0" collapsed="false">
      <c r="B25" s="11" t="s">
        <v>336</v>
      </c>
      <c r="C25" s="12"/>
      <c r="D25" s="12"/>
      <c r="E25" s="12"/>
      <c r="F25" s="12"/>
      <c r="G25" s="12"/>
      <c r="H25" s="12"/>
      <c r="I25" s="23" t="s">
        <v>332</v>
      </c>
    </row>
    <row r="26" customFormat="false" ht="15" hidden="false" customHeight="false" outlineLevel="0" collapsed="false">
      <c r="D26" s="120" t="s">
        <v>333</v>
      </c>
      <c r="E26" s="120"/>
      <c r="F26" s="120"/>
      <c r="G26" s="120"/>
      <c r="H26" s="120"/>
    </row>
    <row r="27" customFormat="false" ht="15" hidden="false" customHeight="false" outlineLevel="0" collapsed="false">
      <c r="B27" s="121" t="s">
        <v>334</v>
      </c>
      <c r="C27" s="121" t="s">
        <v>335</v>
      </c>
      <c r="D27" s="122" t="n">
        <v>-0.1</v>
      </c>
      <c r="E27" s="122" t="n">
        <v>-0.05</v>
      </c>
      <c r="F27" s="122" t="n">
        <v>0</v>
      </c>
      <c r="G27" s="122" t="n">
        <v>0.05</v>
      </c>
      <c r="H27" s="122" t="n">
        <v>0.1</v>
      </c>
    </row>
    <row r="28" customFormat="false" ht="15" hidden="false" customHeight="false" outlineLevel="0" collapsed="false">
      <c r="B28" s="123" t="n">
        <f aca="false">Zins+C28</f>
        <v>0.027</v>
      </c>
      <c r="C28" s="124" t="n">
        <v>-0.01</v>
      </c>
      <c r="D28" s="125" t="n">
        <f aca="false">(($F$9*(1+D$27)*(1-Mietausfall))-$F$10-(Darlehen*(Zins+$C28))-(Darlehen*Tilgung))/12</f>
        <v>-337.733333333333</v>
      </c>
      <c r="E28" s="125" t="n">
        <f aca="false">(($F$9*(1+E$27)*(1-Mietausfall))-$F$10-(Darlehen*(Zins+$C28))-(Darlehen*Tilgung))/12</f>
        <v>-291.658333333333</v>
      </c>
      <c r="F28" s="125" t="n">
        <f aca="false">(($F$9*(1+F$27)*(1-Mietausfall))-$F$10-(Darlehen*(Zins+$C28))-(Darlehen*Tilgung))/12</f>
        <v>-245.583333333333</v>
      </c>
      <c r="G28" s="125" t="n">
        <f aca="false">(($F$9*(1+G$27)*(1-Mietausfall))-$F$10-(Darlehen*(Zins+$C28))-(Darlehen*Tilgung))/12</f>
        <v>-199.508333333333</v>
      </c>
      <c r="H28" s="125" t="n">
        <f aca="false">(($F$9*(1+H$27)*(1-Mietausfall))-$F$10-(Darlehen*(Zins+$C28))-(Darlehen*Tilgung))/12</f>
        <v>-153.433333333333</v>
      </c>
    </row>
    <row r="29" customFormat="false" ht="15" hidden="false" customHeight="false" outlineLevel="0" collapsed="false">
      <c r="B29" s="123" t="n">
        <f aca="false">Zins+C29</f>
        <v>0.032</v>
      </c>
      <c r="C29" s="124" t="n">
        <v>-0.005</v>
      </c>
      <c r="D29" s="125" t="n">
        <f aca="false">(($F$9*(1+D$27)*(1-Mietausfall))-$F$10-(Darlehen*(Zins+$C29))-(Darlehen*Tilgung))/12</f>
        <v>-439.816666666667</v>
      </c>
      <c r="E29" s="125" t="n">
        <f aca="false">(($F$9*(1+E$27)*(1-Mietausfall))-$F$10-(Darlehen*(Zins+$C29))-(Darlehen*Tilgung))/12</f>
        <v>-393.741666666667</v>
      </c>
      <c r="F29" s="125" t="n">
        <f aca="false">(($F$9*(1+F$27)*(1-Mietausfall))-$F$10-(Darlehen*(Zins+$C29))-(Darlehen*Tilgung))/12</f>
        <v>-347.666666666667</v>
      </c>
      <c r="G29" s="125" t="n">
        <f aca="false">(($F$9*(1+G$27)*(1-Mietausfall))-$F$10-(Darlehen*(Zins+$C29))-(Darlehen*Tilgung))/12</f>
        <v>-301.591666666667</v>
      </c>
      <c r="H29" s="125" t="n">
        <f aca="false">(($F$9*(1+H$27)*(1-Mietausfall))-$F$10-(Darlehen*(Zins+$C29))-(Darlehen*Tilgung))/12</f>
        <v>-255.516666666667</v>
      </c>
    </row>
    <row r="30" customFormat="false" ht="15" hidden="false" customHeight="false" outlineLevel="0" collapsed="false">
      <c r="B30" s="123" t="n">
        <f aca="false">Zins+C30</f>
        <v>0.037</v>
      </c>
      <c r="C30" s="124" t="n">
        <v>0</v>
      </c>
      <c r="D30" s="125" t="n">
        <f aca="false">(($F$9*(1+D$27)*(1-Mietausfall))-$F$10-(Darlehen*(Zins+$C30))-(Darlehen*Tilgung))/12</f>
        <v>-541.9</v>
      </c>
      <c r="E30" s="125" t="n">
        <f aca="false">(($F$9*(1+E$27)*(1-Mietausfall))-$F$10-(Darlehen*(Zins+$C30))-(Darlehen*Tilgung))/12</f>
        <v>-495.825</v>
      </c>
      <c r="F30" s="126" t="n">
        <f aca="false">(($F$9*(1+F$27)*(1-Mietausfall))-$F$10-(Darlehen*(Zins+$C30))-(Darlehen*Tilgung))/12</f>
        <v>-449.75</v>
      </c>
      <c r="G30" s="125" t="n">
        <f aca="false">(($F$9*(1+G$27)*(1-Mietausfall))-$F$10-(Darlehen*(Zins+$C30))-(Darlehen*Tilgung))/12</f>
        <v>-403.675</v>
      </c>
      <c r="H30" s="125" t="n">
        <f aca="false">(($F$9*(1+H$27)*(1-Mietausfall))-$F$10-(Darlehen*(Zins+$C30))-(Darlehen*Tilgung))/12</f>
        <v>-357.6</v>
      </c>
    </row>
    <row r="31" customFormat="false" ht="15" hidden="false" customHeight="false" outlineLevel="0" collapsed="false">
      <c r="B31" s="123" t="n">
        <f aca="false">Zins+C31</f>
        <v>0.042</v>
      </c>
      <c r="C31" s="124" t="n">
        <v>0.005</v>
      </c>
      <c r="D31" s="125" t="n">
        <f aca="false">(($F$9*(1+D$27)*(1-Mietausfall))-$F$10-(Darlehen*(Zins+$C31))-(Darlehen*Tilgung))/12</f>
        <v>-643.983333333333</v>
      </c>
      <c r="E31" s="125" t="n">
        <f aca="false">(($F$9*(1+E$27)*(1-Mietausfall))-$F$10-(Darlehen*(Zins+$C31))-(Darlehen*Tilgung))/12</f>
        <v>-597.908333333333</v>
      </c>
      <c r="F31" s="125" t="n">
        <f aca="false">(($F$9*(1+F$27)*(1-Mietausfall))-$F$10-(Darlehen*(Zins+$C31))-(Darlehen*Tilgung))/12</f>
        <v>-551.833333333333</v>
      </c>
      <c r="G31" s="125" t="n">
        <f aca="false">(($F$9*(1+G$27)*(1-Mietausfall))-$F$10-(Darlehen*(Zins+$C31))-(Darlehen*Tilgung))/12</f>
        <v>-505.758333333333</v>
      </c>
      <c r="H31" s="125" t="n">
        <f aca="false">(($F$9*(1+H$27)*(1-Mietausfall))-$F$10-(Darlehen*(Zins+$C31))-(Darlehen*Tilgung))/12</f>
        <v>-459.683333333333</v>
      </c>
    </row>
    <row r="32" customFormat="false" ht="15" hidden="false" customHeight="false" outlineLevel="0" collapsed="false">
      <c r="B32" s="123" t="n">
        <f aca="false">Zins+C32</f>
        <v>0.047</v>
      </c>
      <c r="C32" s="124" t="n">
        <v>0.01</v>
      </c>
      <c r="D32" s="125" t="n">
        <f aca="false">(($F$9*(1+D$27)*(1-Mietausfall))-$F$10-(Darlehen*(Zins+$C32))-(Darlehen*Tilgung))/12</f>
        <v>-746.066666666667</v>
      </c>
      <c r="E32" s="125" t="n">
        <f aca="false">(($F$9*(1+E$27)*(1-Mietausfall))-$F$10-(Darlehen*(Zins+$C32))-(Darlehen*Tilgung))/12</f>
        <v>-699.991666666667</v>
      </c>
      <c r="F32" s="125" t="n">
        <f aca="false">(($F$9*(1+F$27)*(1-Mietausfall))-$F$10-(Darlehen*(Zins+$C32))-(Darlehen*Tilgung))/12</f>
        <v>-653.916666666667</v>
      </c>
      <c r="G32" s="125" t="n">
        <f aca="false">(($F$9*(1+G$27)*(1-Mietausfall))-$F$10-(Darlehen*(Zins+$C32))-(Darlehen*Tilgung))/12</f>
        <v>-607.841666666667</v>
      </c>
      <c r="H32" s="125" t="n">
        <f aca="false">(($F$9*(1+H$27)*(1-Mietausfall))-$F$10-(Darlehen*(Zins+$C32))-(Darlehen*Tilgung))/12</f>
        <v>-561.766666666667</v>
      </c>
    </row>
    <row r="35" customFormat="false" ht="21" hidden="false" customHeight="true" outlineLevel="0" collapsed="false">
      <c r="B35" s="11" t="s">
        <v>337</v>
      </c>
      <c r="C35" s="12"/>
      <c r="D35" s="12"/>
      <c r="E35" s="12"/>
      <c r="F35" s="12"/>
      <c r="G35" s="12"/>
      <c r="H35" s="12"/>
      <c r="I35" s="23" t="s">
        <v>338</v>
      </c>
    </row>
    <row r="36" customFormat="false" ht="15" hidden="false" customHeight="false" outlineLevel="0" collapsed="false">
      <c r="D36" s="120" t="s">
        <v>333</v>
      </c>
      <c r="E36" s="120"/>
      <c r="F36" s="120"/>
      <c r="G36" s="120"/>
      <c r="H36" s="120"/>
    </row>
    <row r="37" customFormat="false" ht="15" hidden="false" customHeight="false" outlineLevel="0" collapsed="false">
      <c r="B37" s="121" t="s">
        <v>334</v>
      </c>
      <c r="C37" s="121" t="s">
        <v>335</v>
      </c>
      <c r="D37" s="122" t="n">
        <v>-0.1</v>
      </c>
      <c r="E37" s="122" t="n">
        <v>-0.05</v>
      </c>
      <c r="F37" s="122" t="n">
        <v>0</v>
      </c>
      <c r="G37" s="122" t="n">
        <v>0.05</v>
      </c>
      <c r="H37" s="122" t="n">
        <v>0.1</v>
      </c>
    </row>
    <row r="38" customFormat="false" ht="15" hidden="false" customHeight="false" outlineLevel="0" collapsed="false">
      <c r="B38" s="123" t="n">
        <f aca="false">Zins+C38</f>
        <v>0.027</v>
      </c>
      <c r="C38" s="124" t="n">
        <v>-0.01</v>
      </c>
      <c r="D38" s="127" t="n">
        <f aca="false">(($F$9*(1+D$37)*(1-Mietausfall))-$F$10)/((Darlehen*(Zins+$C38))+(Darlehen*Tilgung))</f>
        <v>0.64804168475901</v>
      </c>
      <c r="E38" s="127" t="n">
        <f aca="false">(($F$9*(1+E$37)*(1-Mietausfall))-$F$10)/((Darlehen*(Zins+$C38))+(Darlehen*Tilgung))</f>
        <v>0.696057316543639</v>
      </c>
      <c r="F38" s="127" t="n">
        <f aca="false">(($F$9*(1+F$37)*(1-Mietausfall))-$F$10)/((Darlehen*(Zins+$C38))+(Darlehen*Tilgung))</f>
        <v>0.744072948328267</v>
      </c>
      <c r="G38" s="127" t="n">
        <f aca="false">(($F$9*(1+G$37)*(1-Mietausfall))-$F$10)/((Darlehen*(Zins+$C38))+(Darlehen*Tilgung))</f>
        <v>0.792088580112896</v>
      </c>
      <c r="H38" s="127" t="n">
        <f aca="false">(($F$9*(1+H$37)*(1-Mietausfall))-$F$10)/((Darlehen*(Zins+$C38))+(Darlehen*Tilgung))</f>
        <v>0.840104211897525</v>
      </c>
    </row>
    <row r="39" customFormat="false" ht="15" hidden="false" customHeight="false" outlineLevel="0" collapsed="false">
      <c r="B39" s="123" t="n">
        <f aca="false">Zins+C39</f>
        <v>0.032</v>
      </c>
      <c r="C39" s="124" t="n">
        <v>-0.005</v>
      </c>
      <c r="D39" s="127" t="n">
        <f aca="false">(($F$9*(1+D$37)*(1-Mietausfall))-$F$10)/((Darlehen*(Zins+$C39))+(Darlehen*Tilgung))</f>
        <v>0.585729984301413</v>
      </c>
      <c r="E39" s="127" t="n">
        <f aca="false">(($F$9*(1+E$37)*(1-Mietausfall))-$F$10)/((Darlehen*(Zins+$C39))+(Darlehen*Tilgung))</f>
        <v>0.629128728414443</v>
      </c>
      <c r="F39" s="127" t="n">
        <f aca="false">(($F$9*(1+F$37)*(1-Mietausfall))-$F$10)/((Darlehen*(Zins+$C39))+(Darlehen*Tilgung))</f>
        <v>0.672527472527473</v>
      </c>
      <c r="G39" s="127" t="n">
        <f aca="false">(($F$9*(1+G$37)*(1-Mietausfall))-$F$10)/((Darlehen*(Zins+$C39))+(Darlehen*Tilgung))</f>
        <v>0.715926216640502</v>
      </c>
      <c r="H39" s="127" t="n">
        <f aca="false">(($F$9*(1+H$37)*(1-Mietausfall))-$F$10)/((Darlehen*(Zins+$C39))+(Darlehen*Tilgung))</f>
        <v>0.759324960753532</v>
      </c>
    </row>
    <row r="40" customFormat="false" ht="15" hidden="false" customHeight="false" outlineLevel="0" collapsed="false">
      <c r="B40" s="123" t="n">
        <f aca="false">Zins+C40</f>
        <v>0.037</v>
      </c>
      <c r="C40" s="124" t="n">
        <v>0</v>
      </c>
      <c r="D40" s="127" t="n">
        <f aca="false">(($F$9*(1+D$37)*(1-Mietausfall))-$F$10)/((Darlehen*(Zins+$C40))+(Darlehen*Tilgung))</f>
        <v>0.534350161117078</v>
      </c>
      <c r="E40" s="127" t="n">
        <f aca="false">(($F$9*(1+E$37)*(1-Mietausfall))-$F$10)/((Darlehen*(Zins+$C40))+(Darlehen*Tilgung))</f>
        <v>0.573941997851772</v>
      </c>
      <c r="F40" s="128" t="n">
        <f aca="false">(($F$9*(1+F$37)*(1-Mietausfall))-$F$10)/((Darlehen*(Zins+$C40))+(Darlehen*Tilgung))</f>
        <v>0.613533834586466</v>
      </c>
      <c r="G40" s="127" t="n">
        <f aca="false">(($F$9*(1+G$37)*(1-Mietausfall))-$F$10)/((Darlehen*(Zins+$C40))+(Darlehen*Tilgung))</f>
        <v>0.65312567132116</v>
      </c>
      <c r="H40" s="127" t="n">
        <f aca="false">(($F$9*(1+H$37)*(1-Mietausfall))-$F$10)/((Darlehen*(Zins+$C40))+(Darlehen*Tilgung))</f>
        <v>0.692717508055854</v>
      </c>
    </row>
    <row r="41" customFormat="false" ht="15" hidden="false" customHeight="false" outlineLevel="0" collapsed="false">
      <c r="B41" s="123" t="n">
        <f aca="false">Zins+C41</f>
        <v>0.042</v>
      </c>
      <c r="C41" s="124" t="n">
        <v>0.005</v>
      </c>
      <c r="D41" s="127" t="n">
        <f aca="false">(($F$9*(1+D$37)*(1-Mietausfall))-$F$10)/((Darlehen*(Zins+$C41))+(Darlehen*Tilgung))</f>
        <v>0.491257406188282</v>
      </c>
      <c r="E41" s="127" t="n">
        <f aca="false">(($F$9*(1+E$37)*(1-Mietausfall))-$F$10)/((Darlehen*(Zins+$C41))+(Darlehen*Tilgung))</f>
        <v>0.527656352863726</v>
      </c>
      <c r="F41" s="127" t="n">
        <f aca="false">(($F$9*(1+F$37)*(1-Mietausfall))-$F$10)/((Darlehen*(Zins+$C41))+(Darlehen*Tilgung))</f>
        <v>0.564055299539171</v>
      </c>
      <c r="G41" s="127" t="n">
        <f aca="false">(($F$9*(1+G$37)*(1-Mietausfall))-$F$10)/((Darlehen*(Zins+$C41))+(Darlehen*Tilgung))</f>
        <v>0.600454246214615</v>
      </c>
      <c r="H41" s="127" t="n">
        <f aca="false">(($F$9*(1+H$37)*(1-Mietausfall))-$F$10)/((Darlehen*(Zins+$C41))+(Darlehen*Tilgung))</f>
        <v>0.636853192890059</v>
      </c>
    </row>
    <row r="42" customFormat="false" ht="15" hidden="false" customHeight="false" outlineLevel="0" collapsed="false">
      <c r="B42" s="123" t="n">
        <f aca="false">Zins+C42</f>
        <v>0.047</v>
      </c>
      <c r="C42" s="124" t="n">
        <v>0.01</v>
      </c>
      <c r="D42" s="127" t="n">
        <f aca="false">(($F$9*(1+D$37)*(1-Mietausfall))-$F$10)/((Darlehen*(Zins+$C42))+(Darlehen*Tilgung))</f>
        <v>0.45459640572647</v>
      </c>
      <c r="E42" s="127" t="n">
        <f aca="false">(($F$9*(1+E$37)*(1-Mietausfall))-$F$10)/((Darlehen*(Zins+$C42))+(Darlehen*Tilgung))</f>
        <v>0.488279013097776</v>
      </c>
      <c r="F42" s="127" t="n">
        <f aca="false">(($F$9*(1+F$37)*(1-Mietausfall))-$F$10)/((Darlehen*(Zins+$C42))+(Darlehen*Tilgung))</f>
        <v>0.521961620469083</v>
      </c>
      <c r="G42" s="127" t="n">
        <f aca="false">(($F$9*(1+G$37)*(1-Mietausfall))-$F$10)/((Darlehen*(Zins+$C42))+(Darlehen*Tilgung))</f>
        <v>0.55564422784039</v>
      </c>
      <c r="H42" s="127" t="n">
        <f aca="false">(($F$9*(1+H$37)*(1-Mietausfall))-$F$10)/((Darlehen*(Zins+$C42))+(Darlehen*Tilgung))</f>
        <v>0.589326835211697</v>
      </c>
    </row>
    <row r="44" customFormat="false" ht="15" hidden="false" customHeight="false" outlineLevel="0" collapsed="false">
      <c r="B44" s="66" t="s">
        <v>339</v>
      </c>
    </row>
    <row r="46" customFormat="false" ht="18" hidden="false" customHeight="true" outlineLevel="0" collapsed="false">
      <c r="B46" s="41" t="s">
        <v>65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3" t="s">
        <v>66</v>
      </c>
    </row>
  </sheetData>
  <mergeCells count="9">
    <mergeCell ref="H2:M2"/>
    <mergeCell ref="B3:G4"/>
    <mergeCell ref="B9:E9"/>
    <mergeCell ref="B10:E10"/>
    <mergeCell ref="B11:E11"/>
    <mergeCell ref="B12:E12"/>
    <mergeCell ref="D16:H16"/>
    <mergeCell ref="D26:H26"/>
    <mergeCell ref="D36:H36"/>
  </mergeCells>
  <conditionalFormatting sqref="D18:H22">
    <cfRule type="cellIs" priority="2" operator="lessThan" aboveAverage="0" equalAverage="0" bottom="0" percent="0" rank="0" text="" dxfId="11">
      <formula>0</formula>
    </cfRule>
    <cfRule type="cellIs" priority="3" operator="greaterThanOrEqual" aboveAverage="0" equalAverage="0" bottom="0" percent="0" rank="0" text="" dxfId="12">
      <formula>0</formula>
    </cfRule>
  </conditionalFormatting>
  <conditionalFormatting sqref="D28:H32">
    <cfRule type="cellIs" priority="4" operator="lessThan" aboveAverage="0" equalAverage="0" bottom="0" percent="0" rank="0" text="" dxfId="11">
      <formula>0</formula>
    </cfRule>
    <cfRule type="cellIs" priority="5" operator="greaterThanOrEqual" aboveAverage="0" equalAverage="0" bottom="0" percent="0" rank="0" text="" dxfId="12">
      <formula>0</formula>
    </cfRule>
  </conditionalFormatting>
  <conditionalFormatting sqref="D38:H42">
    <cfRule type="expression" priority="6" aboveAverage="0" equalAverage="0" bottom="0" percent="0" rank="0" text="" dxfId="11">
      <formula>D38&lt;Ziel_DSCR*Schwelle_Pruefen</formula>
    </cfRule>
    <cfRule type="expression" priority="7" aboveAverage="0" equalAverage="0" bottom="0" percent="0" rank="0" text="" dxfId="13">
      <formula>D38&lt;Ziel_DSCR</formula>
    </cfRule>
    <cfRule type="expression" priority="8" aboveAverage="0" equalAverage="0" bottom="0" percent="0" rank="0" text="" dxfId="12">
      <formula>D38&gt;=Ziel_DSCR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9BB8"/>
    <pageSetUpPr fitToPage="true"/>
  </sheetPr>
  <dimension ref="B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18</v>
      </c>
      <c r="C3" s="4"/>
      <c r="D3" s="4"/>
      <c r="E3" s="4"/>
      <c r="F3" s="4"/>
      <c r="G3" s="4"/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</row>
    <row r="4" customFormat="false" ht="18.75" hidden="false" customHeight="true" outlineLevel="0" collapsed="false">
      <c r="B4" s="4"/>
      <c r="C4" s="4"/>
      <c r="D4" s="4"/>
      <c r="E4" s="4"/>
      <c r="F4" s="4"/>
      <c r="G4" s="4"/>
      <c r="H4" s="6" t="str">
        <f aca="false">Objekt</f>
        <v>3-Zi.-ETW, 75 m²</v>
      </c>
      <c r="I4" s="7" t="n">
        <f aca="false">Kaufdatum</f>
        <v>46357</v>
      </c>
      <c r="J4" s="6" t="str">
        <f aca="false">Investor</f>
        <v>Privatperson</v>
      </c>
      <c r="K4" s="6" t="str">
        <f aca="false">Lage</f>
        <v>Weingarten</v>
      </c>
      <c r="L4" s="8" t="n">
        <f aca="false">Haltedauer</f>
        <v>12</v>
      </c>
      <c r="M4" s="7" t="n">
        <f aca="false">Stand</f>
        <v>46289</v>
      </c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9" t="s">
        <v>18</v>
      </c>
      <c r="L6" s="10" t="s">
        <v>19</v>
      </c>
      <c r="M6" s="10" t="s">
        <v>20</v>
      </c>
    </row>
    <row r="8" customFormat="false" ht="21" hidden="false" customHeight="true" outlineLevel="0" collapsed="false">
      <c r="B8" s="11" t="s">
        <v>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B9" s="59" t="s">
        <v>3</v>
      </c>
      <c r="C9" s="59"/>
      <c r="D9" s="59"/>
      <c r="E9" s="59"/>
      <c r="F9" s="14" t="str">
        <f aca="false">Objekt</f>
        <v>3-Zi.-ETW, 75 m²</v>
      </c>
      <c r="G9" s="15"/>
      <c r="H9" s="15"/>
      <c r="I9" s="15"/>
      <c r="J9" s="15"/>
      <c r="K9" s="15"/>
      <c r="L9" s="15"/>
      <c r="M9" s="15"/>
    </row>
    <row r="10" customFormat="false" ht="15" hidden="false" customHeight="false" outlineLevel="0" collapsed="false">
      <c r="B10" s="59" t="s">
        <v>6</v>
      </c>
      <c r="C10" s="59"/>
      <c r="D10" s="59"/>
      <c r="E10" s="59"/>
      <c r="F10" s="14" t="str">
        <f aca="false">Lage</f>
        <v>Weingarten</v>
      </c>
      <c r="G10" s="15"/>
      <c r="H10" s="15"/>
      <c r="I10" s="15"/>
      <c r="J10" s="15"/>
      <c r="K10" s="15"/>
      <c r="L10" s="15"/>
      <c r="M10" s="15"/>
    </row>
    <row r="11" customFormat="false" ht="15" hidden="false" customHeight="false" outlineLevel="0" collapsed="false">
      <c r="B11" s="59" t="s">
        <v>126</v>
      </c>
      <c r="C11" s="59"/>
      <c r="D11" s="59"/>
      <c r="E11" s="59"/>
      <c r="F11" s="129" t="n">
        <f aca="false">Wohnflaeche</f>
        <v>75</v>
      </c>
      <c r="G11" s="15"/>
      <c r="H11" s="15"/>
      <c r="I11" s="15"/>
      <c r="J11" s="15"/>
      <c r="K11" s="15"/>
      <c r="L11" s="15"/>
      <c r="M11" s="15"/>
    </row>
    <row r="12" customFormat="false" ht="15" hidden="false" customHeight="false" outlineLevel="0" collapsed="false">
      <c r="B12" s="59" t="s">
        <v>24</v>
      </c>
      <c r="C12" s="59"/>
      <c r="D12" s="59"/>
      <c r="E12" s="59"/>
      <c r="F12" s="17" t="n">
        <f aca="false">Kaufpreis</f>
        <v>285000</v>
      </c>
      <c r="G12" s="130" t="str">
        <f aca="false">"Kaufpreis je m²: "&amp;FIXED(Kaufpreis/Wohnflaeche,0)&amp;" €"</f>
        <v>Kaufpreis je m²: 3,800 €</v>
      </c>
      <c r="H12" s="130"/>
      <c r="I12" s="130"/>
      <c r="J12" s="130"/>
      <c r="K12" s="130"/>
      <c r="L12" s="130"/>
      <c r="M12" s="130"/>
    </row>
    <row r="13" customFormat="false" ht="15" hidden="false" customHeight="false" outlineLevel="0" collapsed="false">
      <c r="B13" s="59" t="s">
        <v>340</v>
      </c>
      <c r="C13" s="59"/>
      <c r="D13" s="59"/>
      <c r="E13" s="59"/>
      <c r="F13" s="17" t="n">
        <f aca="false">Marktwert</f>
        <v>297000</v>
      </c>
      <c r="G13" s="15"/>
      <c r="H13" s="15"/>
      <c r="I13" s="15"/>
      <c r="J13" s="15"/>
      <c r="K13" s="15"/>
      <c r="L13" s="15"/>
      <c r="M13" s="15"/>
    </row>
    <row r="14" customFormat="false" ht="15" hidden="false" customHeight="false" outlineLevel="0" collapsed="false">
      <c r="B14" s="59" t="s">
        <v>341</v>
      </c>
      <c r="C14" s="59"/>
      <c r="D14" s="59"/>
      <c r="E14" s="59"/>
      <c r="F14" s="17" t="n">
        <f aca="false">Miete_Monat</f>
        <v>950</v>
      </c>
      <c r="G14" s="130" t="str">
        <f aca="false">"Miete je m²: "&amp;FIXED(Miete_Monat/Wohnflaeche,2)&amp;" €"</f>
        <v>Miete je m²: 12.67 €</v>
      </c>
      <c r="H14" s="130"/>
      <c r="I14" s="130"/>
      <c r="J14" s="130"/>
      <c r="K14" s="130"/>
      <c r="L14" s="130"/>
      <c r="M14" s="130"/>
    </row>
    <row r="16" customFormat="false" ht="21" hidden="false" customHeight="true" outlineLevel="0" collapsed="false">
      <c r="B16" s="11" t="s">
        <v>14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B17" s="59" t="s">
        <v>26</v>
      </c>
      <c r="C17" s="59"/>
      <c r="D17" s="59"/>
      <c r="E17" s="59"/>
      <c r="F17" s="17" t="n">
        <f aca="false">Gesamtinvestition</f>
        <v>328974.5</v>
      </c>
      <c r="G17" s="130" t="str">
        <f aca="false">"davon Kaufnebenkosten "&amp;FIXED(Kaufnebenkosten,0)&amp;" €"</f>
        <v>davon Kaufnebenkosten 29,725 €</v>
      </c>
      <c r="H17" s="130"/>
      <c r="I17" s="130"/>
      <c r="J17" s="130"/>
      <c r="K17" s="130"/>
      <c r="L17" s="130"/>
      <c r="M17" s="130"/>
    </row>
    <row r="18" customFormat="false" ht="15" hidden="false" customHeight="false" outlineLevel="0" collapsed="false">
      <c r="B18" s="59" t="s">
        <v>342</v>
      </c>
      <c r="C18" s="59"/>
      <c r="D18" s="59"/>
      <c r="E18" s="59"/>
      <c r="F18" s="17" t="n">
        <f aca="false">Eigenkapital</f>
        <v>83974.5</v>
      </c>
      <c r="G18" s="130" t="str">
        <f aca="false">"Eigenkapitalquote "&amp;FIXED(EK_Quote*100,1)&amp;" %"</f>
        <v>Eigenkapitalquote 25.5 %</v>
      </c>
      <c r="H18" s="130"/>
      <c r="I18" s="130"/>
      <c r="J18" s="130"/>
      <c r="K18" s="130"/>
      <c r="L18" s="130"/>
      <c r="M18" s="130"/>
    </row>
    <row r="19" customFormat="false" ht="15" hidden="false" customHeight="false" outlineLevel="0" collapsed="false">
      <c r="B19" s="59" t="s">
        <v>343</v>
      </c>
      <c r="C19" s="59"/>
      <c r="D19" s="59"/>
      <c r="E19" s="59"/>
      <c r="F19" s="17" t="n">
        <f aca="false">Darlehen</f>
        <v>245000</v>
      </c>
      <c r="G19" s="15"/>
      <c r="H19" s="15"/>
      <c r="I19" s="15"/>
      <c r="J19" s="15"/>
      <c r="K19" s="15"/>
      <c r="L19" s="15"/>
      <c r="M19" s="15"/>
    </row>
    <row r="20" customFormat="false" ht="15" hidden="false" customHeight="false" outlineLevel="0" collapsed="false">
      <c r="B20" s="59" t="s">
        <v>244</v>
      </c>
      <c r="C20" s="59"/>
      <c r="D20" s="59"/>
      <c r="E20" s="59"/>
      <c r="F20" s="20" t="n">
        <f aca="false">LTV</f>
        <v>0.824915824915825</v>
      </c>
      <c r="G20" s="15"/>
      <c r="H20" s="15"/>
      <c r="I20" s="15"/>
      <c r="J20" s="15"/>
      <c r="K20" s="15"/>
      <c r="L20" s="15"/>
      <c r="M20" s="15"/>
    </row>
    <row r="21" customFormat="false" ht="15" hidden="false" customHeight="false" outlineLevel="0" collapsed="false">
      <c r="B21" s="59" t="s">
        <v>344</v>
      </c>
      <c r="C21" s="59"/>
      <c r="D21" s="59"/>
      <c r="E21" s="59"/>
      <c r="F21" s="14" t="str">
        <f aca="false">FIXED(Zins*100,2)&amp;" % / "&amp;FIXED(Tilgung*100,2)&amp;" %"</f>
        <v>3.70 % / 2.00 %</v>
      </c>
      <c r="G21" s="15"/>
      <c r="H21" s="15"/>
      <c r="I21" s="15"/>
      <c r="J21" s="15"/>
      <c r="K21" s="15"/>
      <c r="L21" s="15"/>
      <c r="M21" s="15"/>
    </row>
    <row r="22" customFormat="false" ht="15" hidden="false" customHeight="false" outlineLevel="0" collapsed="false">
      <c r="B22" s="59" t="s">
        <v>248</v>
      </c>
      <c r="C22" s="59"/>
      <c r="D22" s="59"/>
      <c r="E22" s="59"/>
      <c r="F22" s="17" t="n">
        <f aca="false">Monatsrate</f>
        <v>1163.75</v>
      </c>
      <c r="G22" s="15"/>
      <c r="H22" s="15"/>
      <c r="I22" s="15"/>
      <c r="J22" s="15"/>
      <c r="K22" s="15"/>
      <c r="L22" s="15"/>
      <c r="M22" s="15"/>
    </row>
    <row r="23" customFormat="false" ht="15" hidden="false" customHeight="false" outlineLevel="0" collapsed="false">
      <c r="B23" s="59" t="s">
        <v>159</v>
      </c>
      <c r="C23" s="59"/>
      <c r="D23" s="59"/>
      <c r="E23" s="59"/>
      <c r="F23" s="131" t="n">
        <f aca="false">Zinsbindung</f>
        <v>10</v>
      </c>
      <c r="G23" s="15"/>
      <c r="H23" s="15"/>
      <c r="I23" s="15"/>
      <c r="J23" s="15"/>
      <c r="K23" s="15"/>
      <c r="L23" s="15"/>
      <c r="M23" s="15"/>
    </row>
    <row r="24" customFormat="false" ht="15" hidden="false" customHeight="false" outlineLevel="0" collapsed="false">
      <c r="B24" s="59" t="s">
        <v>250</v>
      </c>
      <c r="C24" s="59"/>
      <c r="D24" s="59"/>
      <c r="E24" s="59"/>
      <c r="F24" s="17" t="n">
        <f aca="false">Restschuld_ZB</f>
        <v>186982.018964313</v>
      </c>
      <c r="G24" s="130" t="str">
        <f aca="false">"Anschlusszins angenommen: "&amp;FIXED(Anschlusszins*100,2)&amp;" %"</f>
        <v>Anschlusszins angenommen: 4.50 %</v>
      </c>
      <c r="H24" s="130"/>
      <c r="I24" s="130"/>
      <c r="J24" s="130"/>
      <c r="K24" s="130"/>
      <c r="L24" s="130"/>
      <c r="M24" s="130"/>
    </row>
    <row r="26" customFormat="false" ht="21" hidden="false" customHeight="true" outlineLevel="0" collapsed="false">
      <c r="B26" s="11" t="s">
        <v>345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customFormat="false" ht="15" hidden="false" customHeight="false" outlineLevel="0" collapsed="false">
      <c r="B27" s="59" t="s">
        <v>346</v>
      </c>
      <c r="C27" s="59"/>
      <c r="D27" s="59"/>
      <c r="E27" s="59"/>
      <c r="F27" s="17" t="n">
        <f aca="false">Projektion!E11</f>
        <v>11058</v>
      </c>
      <c r="G27" s="15"/>
      <c r="H27" s="15"/>
      <c r="I27" s="15"/>
      <c r="J27" s="15"/>
      <c r="K27" s="15"/>
      <c r="L27" s="15"/>
      <c r="M27" s="15"/>
    </row>
    <row r="28" customFormat="false" ht="15" hidden="false" customHeight="false" outlineLevel="0" collapsed="false">
      <c r="B28" s="59" t="s">
        <v>347</v>
      </c>
      <c r="C28" s="59"/>
      <c r="D28" s="59"/>
      <c r="E28" s="59"/>
      <c r="F28" s="17" t="n">
        <f aca="false">Projektion!F11</f>
        <v>-2490</v>
      </c>
      <c r="G28" s="15"/>
      <c r="H28" s="15"/>
      <c r="I28" s="15"/>
      <c r="J28" s="15"/>
      <c r="K28" s="15"/>
      <c r="L28" s="15"/>
      <c r="M28" s="15"/>
    </row>
    <row r="29" customFormat="false" ht="15" hidden="false" customHeight="false" outlineLevel="0" collapsed="false">
      <c r="B29" s="71" t="s">
        <v>348</v>
      </c>
      <c r="C29" s="71"/>
      <c r="D29" s="71"/>
      <c r="E29" s="71"/>
      <c r="F29" s="99" t="n">
        <f aca="false">Projektion!E11+Projektion!F11</f>
        <v>8568</v>
      </c>
      <c r="G29" s="106"/>
      <c r="H29" s="106"/>
      <c r="I29" s="106"/>
      <c r="J29" s="106"/>
      <c r="K29" s="106"/>
      <c r="L29" s="106"/>
      <c r="M29" s="106"/>
    </row>
    <row r="30" customFormat="false" ht="15" hidden="false" customHeight="false" outlineLevel="0" collapsed="false">
      <c r="B30" s="59" t="s">
        <v>349</v>
      </c>
      <c r="C30" s="59"/>
      <c r="D30" s="59"/>
      <c r="E30" s="59"/>
      <c r="F30" s="17" t="n">
        <f aca="false">-Projektion!I11</f>
        <v>13965</v>
      </c>
      <c r="G30" s="15"/>
      <c r="H30" s="15"/>
      <c r="I30" s="15"/>
      <c r="J30" s="15"/>
      <c r="K30" s="15"/>
      <c r="L30" s="15"/>
      <c r="M30" s="15"/>
    </row>
    <row r="31" customFormat="false" ht="15" hidden="false" customHeight="false" outlineLevel="0" collapsed="false">
      <c r="B31" s="59" t="s">
        <v>350</v>
      </c>
      <c r="C31" s="59"/>
      <c r="D31" s="59"/>
      <c r="E31" s="59"/>
      <c r="F31" s="19" t="n">
        <f aca="false">DSCR_J1</f>
        <v>0.613533834586466</v>
      </c>
      <c r="G31" s="130" t="str">
        <f aca="false">IF(DSCR_J1&gt;=Ziel_DSCR,"erfüllt – Bankmaßstab ≥ "&amp;FIXED(Ziel_DSCR,2),"unter Bankmaßstab ≥ "&amp;FIXED(Ziel_DSCR,2)&amp;" – Objekt trägt sich nicht selbst")</f>
        <v>unter Bankmaßstab ≥ 1.20 – Objekt trägt sich nicht selbst</v>
      </c>
      <c r="H31" s="130"/>
      <c r="I31" s="130"/>
      <c r="J31" s="130"/>
      <c r="K31" s="130"/>
      <c r="L31" s="130"/>
      <c r="M31" s="130"/>
    </row>
    <row r="33" customFormat="false" ht="21" hidden="false" customHeight="true" outlineLevel="0" collapsed="false">
      <c r="B33" s="11" t="s">
        <v>351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3" t="s">
        <v>332</v>
      </c>
    </row>
    <row r="34" customFormat="false" ht="15" hidden="false" customHeight="false" outlineLevel="0" collapsed="false">
      <c r="B34" s="59" t="s">
        <v>196</v>
      </c>
      <c r="C34" s="59"/>
      <c r="D34" s="59"/>
      <c r="E34" s="59"/>
      <c r="F34" s="17" t="n">
        <f aca="false">Netto_Einkommen</f>
        <v>5200</v>
      </c>
      <c r="G34" s="15"/>
      <c r="H34" s="15"/>
      <c r="I34" s="15"/>
      <c r="J34" s="15"/>
      <c r="K34" s="15"/>
      <c r="L34" s="15"/>
      <c r="M34" s="15"/>
    </row>
    <row r="35" customFormat="false" ht="15" hidden="false" customHeight="false" outlineLevel="0" collapsed="false">
      <c r="B35" s="59" t="s">
        <v>352</v>
      </c>
      <c r="C35" s="59"/>
      <c r="D35" s="59"/>
      <c r="E35" s="59"/>
      <c r="F35" s="17" t="n">
        <f aca="false">Miete_Monat*Bank_Mietansatz</f>
        <v>712.5</v>
      </c>
      <c r="G35" s="130" t="str">
        <f aca="false">"Bank rechnet "&amp;FIXED(Bank_Mietansatz*100,0)&amp;" % der Sollmiete an"</f>
        <v>Bank rechnet 75 % der Sollmiete an</v>
      </c>
      <c r="H35" s="130"/>
      <c r="I35" s="130"/>
      <c r="J35" s="130"/>
      <c r="K35" s="130"/>
      <c r="L35" s="130"/>
      <c r="M35" s="130"/>
    </row>
    <row r="36" customFormat="false" ht="15" hidden="false" customHeight="false" outlineLevel="0" collapsed="false">
      <c r="B36" s="59" t="s">
        <v>353</v>
      </c>
      <c r="C36" s="59"/>
      <c r="D36" s="59"/>
      <c r="E36" s="59"/>
      <c r="F36" s="17" t="n">
        <f aca="false">-Lebenshaltung</f>
        <v>-1900</v>
      </c>
      <c r="G36" s="15"/>
      <c r="H36" s="15"/>
      <c r="I36" s="15"/>
      <c r="J36" s="15"/>
      <c r="K36" s="15"/>
      <c r="L36" s="15"/>
      <c r="M36" s="15"/>
    </row>
    <row r="37" customFormat="false" ht="15" hidden="false" customHeight="false" outlineLevel="0" collapsed="false">
      <c r="B37" s="59" t="s">
        <v>354</v>
      </c>
      <c r="C37" s="59"/>
      <c r="D37" s="59"/>
      <c r="E37" s="59"/>
      <c r="F37" s="17" t="n">
        <f aca="false">-Wohnkosten</f>
        <v>-1100</v>
      </c>
      <c r="G37" s="15"/>
      <c r="H37" s="15"/>
      <c r="I37" s="15"/>
      <c r="J37" s="15"/>
      <c r="K37" s="15"/>
      <c r="L37" s="15"/>
      <c r="M37" s="15"/>
    </row>
    <row r="38" customFormat="false" ht="15" hidden="false" customHeight="false" outlineLevel="0" collapsed="false">
      <c r="B38" s="59" t="s">
        <v>355</v>
      </c>
      <c r="C38" s="59"/>
      <c r="D38" s="59"/>
      <c r="E38" s="59"/>
      <c r="F38" s="17" t="n">
        <f aca="false">-Kreditraten</f>
        <v>-0</v>
      </c>
      <c r="G38" s="15"/>
      <c r="H38" s="15"/>
      <c r="I38" s="15"/>
      <c r="J38" s="15"/>
      <c r="K38" s="15"/>
      <c r="L38" s="15"/>
      <c r="M38" s="15"/>
    </row>
    <row r="39" customFormat="false" ht="15" hidden="false" customHeight="false" outlineLevel="0" collapsed="false">
      <c r="B39" s="59" t="s">
        <v>356</v>
      </c>
      <c r="C39" s="59"/>
      <c r="D39" s="59"/>
      <c r="E39" s="59"/>
      <c r="F39" s="17" t="n">
        <f aca="false">-(Hausgeld_nu+Ruecklage+Verwaltung)/12</f>
        <v>-207.5</v>
      </c>
      <c r="G39" s="15"/>
      <c r="H39" s="15"/>
      <c r="I39" s="15"/>
      <c r="J39" s="15"/>
      <c r="K39" s="15"/>
      <c r="L39" s="15"/>
      <c r="M39" s="15"/>
    </row>
    <row r="40" customFormat="false" ht="15" hidden="false" customHeight="false" outlineLevel="0" collapsed="false">
      <c r="B40" s="59" t="s">
        <v>357</v>
      </c>
      <c r="C40" s="59"/>
      <c r="D40" s="59"/>
      <c r="E40" s="59"/>
      <c r="F40" s="17" t="n">
        <f aca="false">-Monatsrate</f>
        <v>-1163.75</v>
      </c>
      <c r="G40" s="15"/>
      <c r="H40" s="15"/>
      <c r="I40" s="15"/>
      <c r="J40" s="15"/>
      <c r="K40" s="15"/>
      <c r="L40" s="15"/>
      <c r="M40" s="15"/>
    </row>
    <row r="41" customFormat="false" ht="15" hidden="false" customHeight="false" outlineLevel="0" collapsed="false">
      <c r="B41" s="72" t="s">
        <v>358</v>
      </c>
      <c r="C41" s="72"/>
      <c r="D41" s="72"/>
      <c r="E41" s="72"/>
      <c r="F41" s="95" t="n">
        <f aca="false">SUM(F34:F40)</f>
        <v>1541.25</v>
      </c>
      <c r="G41" s="132" t="str">
        <f aca="false">IF(F41&gt;=0,"tragfähig – ohne Berücksichtigung von Steuererstattungen","nicht tragfähig – Haushalt deckt die Belastung nicht")</f>
        <v>tragfähig – ohne Berücksichtigung von Steuererstattungen</v>
      </c>
      <c r="H41" s="132"/>
      <c r="I41" s="132"/>
      <c r="J41" s="132"/>
      <c r="K41" s="132"/>
      <c r="L41" s="132"/>
      <c r="M41" s="132"/>
    </row>
    <row r="42" customFormat="false" ht="15" hidden="false" customHeight="false" outlineLevel="0" collapsed="false">
      <c r="B42" s="59" t="s">
        <v>359</v>
      </c>
      <c r="C42" s="59"/>
      <c r="D42" s="59"/>
      <c r="E42" s="59"/>
      <c r="F42" s="17" t="n">
        <f aca="false">Reserve</f>
        <v>25000</v>
      </c>
      <c r="G42" s="130" t="str">
        <f aca="false">"entspricht "&amp;FIXED(Reserve/Monatsrate,1)&amp;" Monatsraten (Empfehlung ≥ "&amp;Min_Reserve&amp;")"</f>
        <v>entspricht 21.5 Monatsraten (Empfehlung ≥ 6)</v>
      </c>
      <c r="H42" s="130"/>
      <c r="I42" s="130"/>
      <c r="J42" s="130"/>
      <c r="K42" s="130"/>
      <c r="L42" s="130"/>
      <c r="M42" s="130"/>
    </row>
    <row r="44" customFormat="false" ht="15" hidden="false" customHeight="false" outlineLevel="0" collapsed="false">
      <c r="B44" s="66" t="s">
        <v>360</v>
      </c>
    </row>
    <row r="46" customFormat="false" ht="18" hidden="false" customHeight="true" outlineLevel="0" collapsed="false">
      <c r="B46" s="41" t="s">
        <v>65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3" t="s">
        <v>66</v>
      </c>
    </row>
  </sheetData>
  <mergeCells count="39">
    <mergeCell ref="H2:M2"/>
    <mergeCell ref="B3:G4"/>
    <mergeCell ref="B9:E9"/>
    <mergeCell ref="B10:E10"/>
    <mergeCell ref="B11:E11"/>
    <mergeCell ref="B12:E12"/>
    <mergeCell ref="G12:M12"/>
    <mergeCell ref="B13:E13"/>
    <mergeCell ref="B14:E14"/>
    <mergeCell ref="G14:M14"/>
    <mergeCell ref="B17:E17"/>
    <mergeCell ref="G17:M17"/>
    <mergeCell ref="B18:E18"/>
    <mergeCell ref="G18:M18"/>
    <mergeCell ref="B19:E19"/>
    <mergeCell ref="B20:E20"/>
    <mergeCell ref="B21:E21"/>
    <mergeCell ref="B22:E22"/>
    <mergeCell ref="B23:E23"/>
    <mergeCell ref="B24:E24"/>
    <mergeCell ref="G24:M24"/>
    <mergeCell ref="B27:E27"/>
    <mergeCell ref="B28:E28"/>
    <mergeCell ref="B29:E29"/>
    <mergeCell ref="B30:E30"/>
    <mergeCell ref="B31:E31"/>
    <mergeCell ref="G31:M31"/>
    <mergeCell ref="B34:E34"/>
    <mergeCell ref="B35:E35"/>
    <mergeCell ref="G35:M35"/>
    <mergeCell ref="B36:E36"/>
    <mergeCell ref="B37:E37"/>
    <mergeCell ref="B38:E38"/>
    <mergeCell ref="B39:E39"/>
    <mergeCell ref="B40:E40"/>
    <mergeCell ref="B41:E41"/>
    <mergeCell ref="G41:M41"/>
    <mergeCell ref="B42:E42"/>
    <mergeCell ref="G42:M42"/>
  </mergeCells>
  <conditionalFormatting sqref="F31:M31">
    <cfRule type="expression" priority="2" aboveAverage="0" equalAverage="0" bottom="0" percent="0" rank="0" text="" dxfId="0">
      <formula>$F$31&lt;Ziel_DSCR</formula>
    </cfRule>
    <cfRule type="expression" priority="3" aboveAverage="0" equalAverage="0" bottom="0" percent="0" rank="0" text="" dxfId="2">
      <formula>$F$31&gt;=Ziel_DSCR</formula>
    </cfRule>
  </conditionalFormatting>
  <conditionalFormatting sqref="F41:M41">
    <cfRule type="expression" priority="4" aboveAverage="0" equalAverage="0" bottom="0" percent="0" rank="0" text="" dxfId="0">
      <formula>$F$41&lt;0</formula>
    </cfRule>
  </conditionalFormatting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CDF"/>
    <pageSetUpPr fitToPage="true"/>
  </sheetPr>
  <dimension ref="B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19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9" t="s">
        <v>19</v>
      </c>
      <c r="M6" s="10" t="s">
        <v>20</v>
      </c>
    </row>
    <row r="8" customFormat="false" ht="21" hidden="false" customHeight="true" outlineLevel="0" collapsed="false">
      <c r="B8" s="11" t="s">
        <v>361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customFormat="false" ht="15" hidden="false" customHeight="false" outlineLevel="0" collapsed="false">
      <c r="B9" s="47" t="s">
        <v>78</v>
      </c>
      <c r="C9" s="133" t="s">
        <v>362</v>
      </c>
      <c r="D9" s="133"/>
      <c r="E9" s="133"/>
      <c r="F9" s="133"/>
      <c r="G9" s="133"/>
      <c r="H9" s="133"/>
      <c r="I9" s="133"/>
      <c r="J9" s="133"/>
      <c r="K9" s="133"/>
      <c r="L9" s="133"/>
      <c r="M9" s="133"/>
    </row>
    <row r="10" customFormat="false" ht="15" hidden="false" customHeight="false" outlineLevel="0" collapsed="false">
      <c r="B10" s="47" t="s">
        <v>78</v>
      </c>
      <c r="C10" s="133" t="s">
        <v>363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</row>
    <row r="11" customFormat="false" ht="15" hidden="false" customHeight="false" outlineLevel="0" collapsed="false">
      <c r="B11" s="47" t="s">
        <v>78</v>
      </c>
      <c r="C11" s="133" t="s">
        <v>364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</row>
    <row r="12" customFormat="false" ht="15" hidden="false" customHeight="false" outlineLevel="0" collapsed="false">
      <c r="B12" s="47" t="s">
        <v>78</v>
      </c>
      <c r="C12" s="133" t="s">
        <v>365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</row>
    <row r="13" customFormat="false" ht="15" hidden="false" customHeight="false" outlineLevel="0" collapsed="false">
      <c r="B13" s="47" t="s">
        <v>78</v>
      </c>
      <c r="C13" s="133" t="s">
        <v>366</v>
      </c>
      <c r="D13" s="133"/>
      <c r="E13" s="133"/>
      <c r="F13" s="133"/>
      <c r="G13" s="133"/>
      <c r="H13" s="133"/>
      <c r="I13" s="133"/>
      <c r="J13" s="133"/>
      <c r="K13" s="133"/>
      <c r="L13" s="133"/>
      <c r="M13" s="133"/>
    </row>
    <row r="14" customFormat="false" ht="15" hidden="false" customHeight="false" outlineLevel="0" collapsed="false">
      <c r="B14" s="47" t="s">
        <v>78</v>
      </c>
      <c r="C14" s="133" t="s">
        <v>367</v>
      </c>
      <c r="D14" s="133"/>
      <c r="E14" s="133"/>
      <c r="F14" s="133"/>
      <c r="G14" s="133"/>
      <c r="H14" s="133"/>
      <c r="I14" s="133"/>
      <c r="J14" s="133"/>
      <c r="K14" s="133"/>
      <c r="L14" s="133"/>
      <c r="M14" s="133"/>
    </row>
    <row r="16" customFormat="false" ht="21" hidden="false" customHeight="true" outlineLevel="0" collapsed="false">
      <c r="B16" s="11" t="s">
        <v>368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B17" s="47" t="s">
        <v>78</v>
      </c>
      <c r="C17" s="133" t="s">
        <v>369</v>
      </c>
      <c r="D17" s="133"/>
      <c r="E17" s="133"/>
      <c r="F17" s="133"/>
      <c r="G17" s="133"/>
      <c r="H17" s="133"/>
      <c r="I17" s="133"/>
      <c r="J17" s="133"/>
      <c r="K17" s="133"/>
      <c r="L17" s="133"/>
      <c r="M17" s="133"/>
    </row>
    <row r="18" customFormat="false" ht="15" hidden="false" customHeight="false" outlineLevel="0" collapsed="false">
      <c r="B18" s="47" t="s">
        <v>78</v>
      </c>
      <c r="C18" s="133" t="s">
        <v>370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</row>
    <row r="19" customFormat="false" ht="15" hidden="false" customHeight="false" outlineLevel="0" collapsed="false">
      <c r="B19" s="47" t="s">
        <v>78</v>
      </c>
      <c r="C19" s="133" t="s">
        <v>371</v>
      </c>
      <c r="D19" s="133"/>
      <c r="E19" s="133"/>
      <c r="F19" s="133"/>
      <c r="G19" s="133"/>
      <c r="H19" s="133"/>
      <c r="I19" s="133"/>
      <c r="J19" s="133"/>
      <c r="K19" s="133"/>
      <c r="L19" s="133"/>
      <c r="M19" s="133"/>
    </row>
    <row r="20" customFormat="false" ht="15" hidden="false" customHeight="false" outlineLevel="0" collapsed="false">
      <c r="B20" s="47" t="s">
        <v>78</v>
      </c>
      <c r="C20" s="133" t="s">
        <v>372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customFormat="false" ht="15" hidden="false" customHeight="false" outlineLevel="0" collapsed="false">
      <c r="B21" s="47" t="s">
        <v>78</v>
      </c>
      <c r="C21" s="133" t="s">
        <v>373</v>
      </c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3" customFormat="false" ht="21" hidden="false" customHeight="true" outlineLevel="0" collapsed="false">
      <c r="B23" s="11" t="s">
        <v>374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customFormat="false" ht="15" hidden="false" customHeight="false" outlineLevel="0" collapsed="false">
      <c r="B24" s="47" t="s">
        <v>78</v>
      </c>
      <c r="C24" s="133" t="s">
        <v>375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</row>
    <row r="25" customFormat="false" ht="15" hidden="false" customHeight="false" outlineLevel="0" collapsed="false">
      <c r="B25" s="47" t="s">
        <v>78</v>
      </c>
      <c r="C25" s="133" t="s">
        <v>376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</row>
    <row r="27" customFormat="false" ht="21" hidden="false" customHeight="true" outlineLevel="0" collapsed="false">
      <c r="B27" s="11" t="s">
        <v>377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customFormat="false" ht="15" hidden="false" customHeight="false" outlineLevel="0" collapsed="false">
      <c r="B28" s="47" t="s">
        <v>78</v>
      </c>
      <c r="C28" s="133" t="s">
        <v>66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</row>
    <row r="30" customFormat="false" ht="18" hidden="false" customHeight="true" outlineLevel="0" collapsed="false">
      <c r="B30" s="41" t="s">
        <v>65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3" t="s">
        <v>66</v>
      </c>
    </row>
  </sheetData>
  <mergeCells count="16">
    <mergeCell ref="H2:M2"/>
    <mergeCell ref="B3:G4"/>
    <mergeCell ref="C9:M9"/>
    <mergeCell ref="C10:M10"/>
    <mergeCell ref="C11:M11"/>
    <mergeCell ref="C12:M12"/>
    <mergeCell ref="C13:M13"/>
    <mergeCell ref="C14:M14"/>
    <mergeCell ref="C17:M17"/>
    <mergeCell ref="C18:M18"/>
    <mergeCell ref="C19:M19"/>
    <mergeCell ref="C20:M20"/>
    <mergeCell ref="C21:M21"/>
    <mergeCell ref="C24:M24"/>
    <mergeCell ref="C25:M25"/>
    <mergeCell ref="C28:M28"/>
  </mergeCells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DCDF"/>
    <pageSetUpPr fitToPage="true"/>
  </sheetPr>
  <dimension ref="B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375" defaultRowHeight="15" zeroHeight="false" outlineLevelRow="0" outlineLevelCol="0"/>
  <cols>
    <col collapsed="false" customWidth="true" hidden="false" outlineLevel="0" max="1" min="1" style="0" width="2.4"/>
    <col collapsed="false" customWidth="true" hidden="false" outlineLevel="0" max="13" min="2" style="0" width="12.9"/>
  </cols>
  <sheetData>
    <row r="1" customFormat="false" ht="7.5" hidden="false" customHeight="true" outlineLevel="0" collapsed="false"/>
    <row r="2" customFormat="false" ht="18" hidden="false" customHeight="true" outlineLevel="0" collapsed="false">
      <c r="B2" s="1" t="s">
        <v>0</v>
      </c>
      <c r="C2" s="2"/>
      <c r="D2" s="2"/>
      <c r="E2" s="2"/>
      <c r="F2" s="2"/>
      <c r="G2" s="2"/>
      <c r="H2" s="3" t="s">
        <v>1</v>
      </c>
      <c r="I2" s="3"/>
      <c r="J2" s="3"/>
      <c r="K2" s="3"/>
      <c r="L2" s="3"/>
      <c r="M2" s="3"/>
    </row>
    <row r="3" customFormat="false" ht="18.75" hidden="false" customHeight="true" outlineLevel="0" collapsed="false">
      <c r="B3" s="4" t="s">
        <v>20</v>
      </c>
      <c r="C3" s="4"/>
      <c r="D3" s="4"/>
      <c r="E3" s="4"/>
      <c r="F3" s="4"/>
      <c r="G3" s="4"/>
    </row>
    <row r="4" customFormat="false" ht="18.75" hidden="false" customHeight="true" outlineLevel="0" collapsed="false">
      <c r="B4" s="4"/>
      <c r="C4" s="4"/>
      <c r="D4" s="4"/>
      <c r="E4" s="4"/>
      <c r="F4" s="4"/>
      <c r="G4" s="4"/>
    </row>
    <row r="5" customFormat="false" ht="6" hidden="false" customHeight="true" outlineLevel="0" collapsed="false"/>
    <row r="6" customFormat="false" ht="18.75" hidden="false" customHeight="true" outlineLevel="0" collapsed="false"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9" t="s">
        <v>20</v>
      </c>
    </row>
    <row r="8" customFormat="false" ht="15" hidden="false" customHeight="false" outlineLevel="0" collapsed="false">
      <c r="B8" s="66" t="s">
        <v>378</v>
      </c>
    </row>
    <row r="10" customFormat="false" ht="21" hidden="false" customHeight="true" outlineLevel="0" collapsed="false">
      <c r="B10" s="11" t="s">
        <v>379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23" t="s">
        <v>380</v>
      </c>
    </row>
    <row r="11" customFormat="false" ht="15" hidden="false" customHeight="true" outlineLevel="0" collapsed="false">
      <c r="B11" s="24" t="s">
        <v>89</v>
      </c>
      <c r="C11" s="24"/>
      <c r="D11" s="24"/>
      <c r="E11" s="57" t="s">
        <v>91</v>
      </c>
      <c r="F11" s="24" t="s">
        <v>381</v>
      </c>
      <c r="G11" s="24"/>
      <c r="H11" s="24"/>
      <c r="I11" s="24"/>
      <c r="J11" s="24"/>
      <c r="K11" s="24"/>
      <c r="L11" s="24"/>
      <c r="M11" s="24"/>
    </row>
    <row r="12" customFormat="false" ht="15" hidden="false" customHeight="false" outlineLevel="0" collapsed="false">
      <c r="B12" s="59" t="s">
        <v>84</v>
      </c>
      <c r="C12" s="59"/>
      <c r="D12" s="59"/>
      <c r="E12" s="134" t="n">
        <v>0.05</v>
      </c>
      <c r="F12" s="75" t="s">
        <v>382</v>
      </c>
      <c r="G12" s="75"/>
      <c r="H12" s="75"/>
      <c r="I12" s="75"/>
      <c r="J12" s="75"/>
      <c r="K12" s="75"/>
      <c r="L12" s="75"/>
      <c r="M12" s="75"/>
    </row>
    <row r="13" customFormat="false" ht="15" hidden="false" customHeight="false" outlineLevel="0" collapsed="false">
      <c r="B13" s="59" t="s">
        <v>94</v>
      </c>
      <c r="C13" s="59"/>
      <c r="D13" s="59"/>
      <c r="E13" s="134" t="n">
        <v>0.03</v>
      </c>
      <c r="F13" s="75" t="s">
        <v>383</v>
      </c>
      <c r="G13" s="75"/>
      <c r="H13" s="75"/>
      <c r="I13" s="75"/>
      <c r="J13" s="75"/>
      <c r="K13" s="75"/>
      <c r="L13" s="75"/>
      <c r="M13" s="75"/>
    </row>
    <row r="14" customFormat="false" ht="15" hidden="false" customHeight="false" outlineLevel="0" collapsed="false">
      <c r="B14" s="59" t="s">
        <v>350</v>
      </c>
      <c r="C14" s="59"/>
      <c r="D14" s="59"/>
      <c r="E14" s="135" t="n">
        <v>1.2</v>
      </c>
      <c r="F14" s="75" t="s">
        <v>384</v>
      </c>
      <c r="G14" s="75"/>
      <c r="H14" s="75"/>
      <c r="I14" s="75"/>
      <c r="J14" s="75"/>
      <c r="K14" s="75"/>
      <c r="L14" s="75"/>
      <c r="M14" s="75"/>
    </row>
    <row r="15" customFormat="false" ht="15" hidden="false" customHeight="false" outlineLevel="0" collapsed="false">
      <c r="B15" s="59" t="s">
        <v>23</v>
      </c>
      <c r="C15" s="59"/>
      <c r="D15" s="59"/>
      <c r="E15" s="136" t="n">
        <v>0</v>
      </c>
      <c r="F15" s="75" t="s">
        <v>385</v>
      </c>
      <c r="G15" s="75"/>
      <c r="H15" s="75"/>
      <c r="I15" s="75"/>
      <c r="J15" s="75"/>
      <c r="K15" s="75"/>
      <c r="L15" s="75"/>
      <c r="M15" s="75"/>
    </row>
    <row r="16" customFormat="false" ht="15" hidden="false" customHeight="false" outlineLevel="0" collapsed="false">
      <c r="B16" s="59" t="s">
        <v>95</v>
      </c>
      <c r="C16" s="59"/>
      <c r="D16" s="59"/>
      <c r="E16" s="134" t="n">
        <v>0.1</v>
      </c>
      <c r="F16" s="75" t="s">
        <v>386</v>
      </c>
      <c r="G16" s="75"/>
      <c r="H16" s="75"/>
      <c r="I16" s="75"/>
      <c r="J16" s="75"/>
      <c r="K16" s="75"/>
      <c r="L16" s="75"/>
      <c r="M16" s="75"/>
    </row>
    <row r="17" customFormat="false" ht="15" hidden="false" customHeight="false" outlineLevel="0" collapsed="false">
      <c r="B17" s="59" t="s">
        <v>27</v>
      </c>
      <c r="C17" s="59"/>
      <c r="D17" s="59"/>
      <c r="E17" s="134" t="n">
        <v>0.06</v>
      </c>
      <c r="F17" s="75" t="s">
        <v>387</v>
      </c>
      <c r="G17" s="75"/>
      <c r="H17" s="75"/>
      <c r="I17" s="75"/>
      <c r="J17" s="75"/>
      <c r="K17" s="75"/>
      <c r="L17" s="75"/>
      <c r="M17" s="75"/>
    </row>
    <row r="19" customFormat="false" ht="21" hidden="false" customHeight="true" outlineLevel="0" collapsed="false">
      <c r="B19" s="11" t="s">
        <v>388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customFormat="false" ht="15" hidden="false" customHeight="false" outlineLevel="0" collapsed="false">
      <c r="B20" s="59" t="s">
        <v>389</v>
      </c>
      <c r="C20" s="59"/>
      <c r="D20" s="59"/>
      <c r="E20" s="134" t="n">
        <v>0.75</v>
      </c>
      <c r="F20" s="75" t="s">
        <v>390</v>
      </c>
      <c r="G20" s="75"/>
      <c r="H20" s="75"/>
      <c r="I20" s="75"/>
      <c r="J20" s="75"/>
      <c r="K20" s="75"/>
      <c r="L20" s="75"/>
      <c r="M20" s="75"/>
    </row>
    <row r="21" customFormat="false" ht="15" hidden="false" customHeight="false" outlineLevel="0" collapsed="false">
      <c r="B21" s="59" t="s">
        <v>391</v>
      </c>
      <c r="C21" s="59"/>
      <c r="D21" s="59"/>
      <c r="E21" s="134" t="n">
        <v>0.75</v>
      </c>
      <c r="F21" s="75" t="s">
        <v>392</v>
      </c>
      <c r="G21" s="75"/>
      <c r="H21" s="75"/>
      <c r="I21" s="75"/>
      <c r="J21" s="75"/>
      <c r="K21" s="75"/>
      <c r="L21" s="75"/>
      <c r="M21" s="75"/>
    </row>
    <row r="22" customFormat="false" ht="15" hidden="false" customHeight="false" outlineLevel="0" collapsed="false">
      <c r="B22" s="59" t="s">
        <v>393</v>
      </c>
      <c r="C22" s="59"/>
      <c r="D22" s="59"/>
      <c r="E22" s="137" t="n">
        <v>6</v>
      </c>
      <c r="F22" s="75" t="s">
        <v>394</v>
      </c>
      <c r="G22" s="75"/>
      <c r="H22" s="75"/>
      <c r="I22" s="75"/>
      <c r="J22" s="75"/>
      <c r="K22" s="75"/>
      <c r="L22" s="75"/>
      <c r="M22" s="75"/>
    </row>
    <row r="24" customFormat="false" ht="21" hidden="false" customHeight="true" outlineLevel="0" collapsed="false">
      <c r="B24" s="11" t="s">
        <v>395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23" t="s">
        <v>396</v>
      </c>
    </row>
    <row r="25" customFormat="false" ht="15" hidden="false" customHeight="true" outlineLevel="0" collapsed="false">
      <c r="B25" s="24" t="s">
        <v>185</v>
      </c>
      <c r="C25" s="24"/>
      <c r="D25" s="24"/>
      <c r="E25" s="24" t="s">
        <v>191</v>
      </c>
      <c r="F25" s="24"/>
      <c r="G25" s="24"/>
      <c r="H25" s="24" t="s">
        <v>193</v>
      </c>
      <c r="I25" s="24"/>
      <c r="J25" s="24"/>
    </row>
    <row r="26" customFormat="false" ht="15" hidden="false" customHeight="false" outlineLevel="0" collapsed="false">
      <c r="B26" s="138" t="n">
        <v>0.02</v>
      </c>
      <c r="E26" s="138" t="n">
        <v>0</v>
      </c>
      <c r="H26" s="138" t="n">
        <v>0</v>
      </c>
    </row>
    <row r="27" customFormat="false" ht="15" hidden="false" customHeight="false" outlineLevel="0" collapsed="false">
      <c r="B27" s="138" t="n">
        <v>0.025</v>
      </c>
      <c r="E27" s="138" t="n">
        <v>0.055</v>
      </c>
      <c r="H27" s="138" t="n">
        <v>0.08</v>
      </c>
    </row>
    <row r="28" customFormat="false" ht="15" hidden="false" customHeight="false" outlineLevel="0" collapsed="false">
      <c r="B28" s="138" t="n">
        <v>0.03</v>
      </c>
      <c r="H28" s="138" t="n">
        <v>0.09</v>
      </c>
    </row>
    <row r="30" customFormat="false" ht="15" hidden="false" customHeight="false" outlineLevel="0" collapsed="false">
      <c r="B30" s="66" t="s">
        <v>397</v>
      </c>
    </row>
    <row r="32" customFormat="false" ht="18" hidden="false" customHeight="true" outlineLevel="0" collapsed="false">
      <c r="B32" s="41" t="s">
        <v>65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3" t="s">
        <v>66</v>
      </c>
    </row>
  </sheetData>
  <mergeCells count="25">
    <mergeCell ref="H2:M2"/>
    <mergeCell ref="B3:G4"/>
    <mergeCell ref="B11:D11"/>
    <mergeCell ref="F11:M11"/>
    <mergeCell ref="B12:D12"/>
    <mergeCell ref="F12:M12"/>
    <mergeCell ref="B13:D13"/>
    <mergeCell ref="F13:M13"/>
    <mergeCell ref="B14:D14"/>
    <mergeCell ref="F14:M14"/>
    <mergeCell ref="B15:D15"/>
    <mergeCell ref="F15:M15"/>
    <mergeCell ref="B16:D16"/>
    <mergeCell ref="F16:M16"/>
    <mergeCell ref="B17:D17"/>
    <mergeCell ref="F17:M17"/>
    <mergeCell ref="B20:D20"/>
    <mergeCell ref="F20:M20"/>
    <mergeCell ref="B21:D21"/>
    <mergeCell ref="F21:M21"/>
    <mergeCell ref="B22:D22"/>
    <mergeCell ref="F22:M22"/>
    <mergeCell ref="B25:D25"/>
    <mergeCell ref="E25:G25"/>
    <mergeCell ref="H25:J25"/>
  </mergeCells>
  <hyperlinks>
    <hyperlink ref="B6" location="'Start'!A1" display="Start"/>
    <hyperlink ref="C6" location="'Leitfaden'!A1" display="Leitfaden"/>
    <hyperlink ref="D6" location="'Cockpit'!A1" display="Cockpit"/>
    <hyperlink ref="E6" location="'Eingaben'!A1" display="Eingaben"/>
    <hyperlink ref="F6" location="'Projektion'!A1" display="Projektion"/>
    <hyperlink ref="G6" location="'Finanzierung'!A1" display="Finanzierung"/>
    <hyperlink ref="H6" location="'Steuern'!A1" display="Steuern"/>
    <hyperlink ref="I6" location="'AfA-Vergleich'!A1" display="AfA-Vergleich"/>
    <hyperlink ref="J6" location="'Sensitivität'!A1" display="Sensitivität"/>
    <hyperlink ref="K6" location="'Bankgespräch'!A1" display="Bankgespräch"/>
    <hyperlink ref="L6" location="'Hinweise'!A1" display="Hinweise"/>
    <hyperlink ref="M6" location="'Konfiguration'!A1" display="Konfiguration"/>
  </hyperlink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MM Holding · Immobilien-Kalkulation · &amp;A&amp;R&amp;8 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2026-09-24T09:17:21Z</dcterms:created>
  <dc:creator>MM Holding GmbH</dc:creator>
  <dc:description/>
  <dc:language>en-US</dc:language>
  <cp:lastModifiedBy/>
  <dcterms:modified xsi:type="dcterms:W3CDTF">2026-09-24T09:17:23Z</dcterms:modified>
  <cp:revision>1</cp:revision>
  <dc:subject>Investitions-, Finanzierungs- und Steuerrechnung für eine vermietete Eigentumswohnung</dc:subject>
  <dc:title>Immobilien-Kalkulation – Cockpit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